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https://d.docs.live.net/669795a60f200474/Class Document/2026 05 May/Data Analytic Essential/materials Day 1/"/>
    </mc:Choice>
  </mc:AlternateContent>
  <xr:revisionPtr revIDLastSave="660" documentId="8_{02E167F9-7BA2-464C-AC01-989163918003}" xr6:coauthVersionLast="47" xr6:coauthVersionMax="47" xr10:uidLastSave="{0B0748A7-6BEB-184C-B919-7C97F2489A27}"/>
  <bookViews>
    <workbookView xWindow="0" yWindow="660" windowWidth="30240" windowHeight="18980" activeTab="6" xr2:uid="{78948DC7-D047-7649-AAA7-AF37218912A2}"/>
  </bookViews>
  <sheets>
    <sheet name="survey" sheetId="2" r:id="rId1"/>
    <sheet name="world_cup" sheetId="4" r:id="rId2"/>
    <sheet name="fifa_ranking_2026-06-08" sheetId="6" r:id="rId3"/>
    <sheet name="fifa_ranking_2022-10-06" sheetId="7" r:id="rId4"/>
    <sheet name="summary" sheetId="3" r:id="rId5"/>
    <sheet name="pivot" sheetId="9" r:id="rId6"/>
    <sheet name="Dashboard" sheetId="10" r:id="rId7"/>
    <sheet name="matches_1930_2022" sheetId="8" r:id="rId8"/>
    <sheet name="Sheet2" sheetId="5" r:id="rId9"/>
    <sheet name="Control" sheetId="1" r:id="rId10"/>
  </sheets>
  <definedNames>
    <definedName name="ExternalData_1" localSheetId="2" hidden="1">'fifa_ranking_2026-06-08'!$A$1:$J$212</definedName>
    <definedName name="ExternalData_1" localSheetId="7" hidden="1">matches_1930_2022!$A$1:$AR$965</definedName>
    <definedName name="ExternalData_1" localSheetId="0" hidden="1">survey!$A$1:$L$27</definedName>
    <definedName name="ExternalData_1" localSheetId="1" hidden="1">world_cup!$A$1:$L$23</definedName>
    <definedName name="ExternalData_2" localSheetId="3" hidden="1">'fifa_ranking_2022-10-06'!$A$1:$G$212</definedName>
    <definedName name="Slicer_Host1">#N/A</definedName>
    <definedName name="Slicer_Year">#N/A</definedName>
  </definedNames>
  <calcPr calcId="191029"/>
  <pivotCaches>
    <pivotCache cacheId="47" r:id="rId11"/>
    <pivotCache cacheId="60" r:id="rId12"/>
    <pivotCache cacheId="58"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 i="3" l="1"/>
  <c r="B6" i="10" s="1"/>
  <c r="F6" i="10"/>
  <c r="E6" i="10"/>
  <c r="D6" i="10"/>
  <c r="C6" i="10"/>
  <c r="A6" i="10"/>
  <c r="F29" i="6"/>
  <c r="F89" i="6"/>
  <c r="F120" i="6"/>
  <c r="F122" i="6"/>
  <c r="F131" i="6"/>
  <c r="E2" i="6" a="1"/>
  <c r="E2" i="6" s="1"/>
  <c r="F2" i="6" s="1"/>
  <c r="E3" i="6" a="1"/>
  <c r="E3" i="6" s="1"/>
  <c r="F3" i="6" s="1"/>
  <c r="E4" i="6" a="1"/>
  <c r="E4" i="6" s="1"/>
  <c r="F4" i="6" s="1"/>
  <c r="E5" i="6" a="1"/>
  <c r="E5" i="6" s="1"/>
  <c r="F5" i="6" s="1"/>
  <c r="E6" i="6" a="1"/>
  <c r="E6" i="6" s="1"/>
  <c r="F6" i="6" s="1"/>
  <c r="E7" i="6" a="1"/>
  <c r="E7" i="6" s="1"/>
  <c r="F7" i="6" s="1"/>
  <c r="E8" i="6" a="1"/>
  <c r="E8" i="6" s="1"/>
  <c r="F8" i="6" s="1"/>
  <c r="E9" i="6" a="1"/>
  <c r="E9" i="6" s="1"/>
  <c r="F9" i="6" s="1"/>
  <c r="E10" i="6" a="1"/>
  <c r="E10" i="6" s="1"/>
  <c r="F10" i="6" s="1"/>
  <c r="E11" i="6" a="1"/>
  <c r="E11" i="6" s="1"/>
  <c r="F11" i="6" s="1"/>
  <c r="E12" i="6" a="1"/>
  <c r="E12" i="6" s="1"/>
  <c r="F12" i="6" s="1"/>
  <c r="E13" i="6" a="1"/>
  <c r="E13" i="6" s="1"/>
  <c r="F13" i="6" s="1"/>
  <c r="E14" i="6" a="1"/>
  <c r="E14" i="6" s="1"/>
  <c r="F14" i="6" s="1"/>
  <c r="E15" i="6" a="1"/>
  <c r="E15" i="6" s="1"/>
  <c r="F15" i="6" s="1"/>
  <c r="E16" i="6" a="1"/>
  <c r="E16" i="6" s="1"/>
  <c r="F16" i="6" s="1"/>
  <c r="E17" i="6" a="1"/>
  <c r="E17" i="6" s="1"/>
  <c r="F17" i="6" s="1"/>
  <c r="E18" i="6" a="1"/>
  <c r="E18" i="6" s="1"/>
  <c r="F18" i="6" s="1"/>
  <c r="E19" i="6" a="1"/>
  <c r="E19" i="6" s="1"/>
  <c r="F19" i="6" s="1"/>
  <c r="E20" i="6" a="1"/>
  <c r="E20" i="6" s="1"/>
  <c r="F20" i="6" s="1"/>
  <c r="E21" i="6" a="1"/>
  <c r="E21" i="6" s="1"/>
  <c r="F21" i="6" s="1"/>
  <c r="E22" i="6" a="1"/>
  <c r="E22" i="6" s="1"/>
  <c r="F22" i="6" s="1"/>
  <c r="E23" i="6" a="1"/>
  <c r="E23" i="6" s="1"/>
  <c r="F23" i="6" s="1"/>
  <c r="E24" i="6" a="1"/>
  <c r="E24" i="6" s="1"/>
  <c r="F24" i="6" s="1"/>
  <c r="E25" i="6" a="1"/>
  <c r="E25" i="6" s="1"/>
  <c r="F25" i="6" s="1"/>
  <c r="E26" i="6" a="1"/>
  <c r="E26" i="6" s="1"/>
  <c r="F26" i="6" s="1"/>
  <c r="E27" i="6" a="1"/>
  <c r="E27" i="6" s="1"/>
  <c r="F27" i="6" s="1"/>
  <c r="E28" i="6" a="1"/>
  <c r="E28" i="6" s="1"/>
  <c r="F28" i="6" s="1"/>
  <c r="E29" i="6" a="1"/>
  <c r="E29" i="6" s="1"/>
  <c r="E30" i="6" a="1"/>
  <c r="E30" i="6" s="1"/>
  <c r="F30" i="6" s="1"/>
  <c r="E31" i="6" a="1"/>
  <c r="E31" i="6" s="1"/>
  <c r="F31" i="6" s="1"/>
  <c r="E32" i="6" a="1"/>
  <c r="E32" i="6" s="1"/>
  <c r="F32" i="6" s="1"/>
  <c r="E33" i="6" a="1"/>
  <c r="E33" i="6" s="1"/>
  <c r="F33" i="6" s="1"/>
  <c r="E34" i="6" a="1"/>
  <c r="E34" i="6" s="1"/>
  <c r="F34" i="6" s="1"/>
  <c r="E35" i="6" a="1"/>
  <c r="E35" i="6" s="1"/>
  <c r="F35" i="6" s="1"/>
  <c r="E36" i="6" a="1"/>
  <c r="E36" i="6" s="1"/>
  <c r="F36" i="6" s="1"/>
  <c r="E37" i="6" a="1"/>
  <c r="E37" i="6" s="1"/>
  <c r="F37" i="6" s="1"/>
  <c r="E38" i="6" a="1"/>
  <c r="E38" i="6" s="1"/>
  <c r="F38" i="6" s="1"/>
  <c r="E39" i="6" a="1"/>
  <c r="E39" i="6" s="1"/>
  <c r="F39" i="6" s="1"/>
  <c r="E40" i="6" a="1"/>
  <c r="E40" i="6" s="1"/>
  <c r="F40" i="6" s="1"/>
  <c r="E41" i="6" a="1"/>
  <c r="E41" i="6" s="1"/>
  <c r="F41" i="6" s="1"/>
  <c r="E42" i="6" a="1"/>
  <c r="E42" i="6" s="1"/>
  <c r="F42" i="6" s="1"/>
  <c r="E43" i="6" a="1"/>
  <c r="E43" i="6" s="1"/>
  <c r="F43" i="6" s="1"/>
  <c r="E44" i="6" a="1"/>
  <c r="E44" i="6" s="1"/>
  <c r="F44" i="6" s="1"/>
  <c r="E45" i="6" a="1"/>
  <c r="E45" i="6" s="1"/>
  <c r="F45" i="6" s="1"/>
  <c r="E46" i="6" a="1"/>
  <c r="E46" i="6" s="1"/>
  <c r="F46" i="6" s="1"/>
  <c r="E47" i="6" a="1"/>
  <c r="E47" i="6" s="1"/>
  <c r="F47" i="6" s="1"/>
  <c r="E48" i="6" a="1"/>
  <c r="E48" i="6" s="1"/>
  <c r="F48" i="6" s="1"/>
  <c r="E49" i="6" a="1"/>
  <c r="E49" i="6" s="1"/>
  <c r="F49" i="6" s="1"/>
  <c r="E50" i="6" a="1"/>
  <c r="E50" i="6" s="1"/>
  <c r="F50" i="6" s="1"/>
  <c r="E51" i="6" a="1"/>
  <c r="E51" i="6" s="1"/>
  <c r="F51" i="6" s="1"/>
  <c r="E52" i="6" a="1"/>
  <c r="E52" i="6" s="1"/>
  <c r="F52" i="6" s="1"/>
  <c r="E53" i="6" a="1"/>
  <c r="E53" i="6" s="1"/>
  <c r="F53" i="6" s="1"/>
  <c r="E54" i="6" a="1"/>
  <c r="E54" i="6" s="1"/>
  <c r="F54" i="6" s="1"/>
  <c r="E55" i="6" a="1"/>
  <c r="E55" i="6" s="1"/>
  <c r="F55" i="6" s="1"/>
  <c r="E56" i="6" a="1"/>
  <c r="E56" i="6" s="1"/>
  <c r="F56" i="6" s="1"/>
  <c r="E57" i="6" a="1"/>
  <c r="E57" i="6" s="1"/>
  <c r="F57" i="6" s="1"/>
  <c r="E58" i="6" a="1"/>
  <c r="E58" i="6" s="1"/>
  <c r="F58" i="6" s="1"/>
  <c r="E59" i="6" a="1"/>
  <c r="E59" i="6" s="1"/>
  <c r="F59" i="6" s="1"/>
  <c r="E60" i="6" a="1"/>
  <c r="E60" i="6" s="1"/>
  <c r="F60" i="6" s="1"/>
  <c r="E61" i="6" a="1"/>
  <c r="E61" i="6" s="1"/>
  <c r="F61" i="6" s="1"/>
  <c r="E62" i="6" a="1"/>
  <c r="E62" i="6" s="1"/>
  <c r="F62" i="6" s="1"/>
  <c r="E63" i="6" a="1"/>
  <c r="E63" i="6" s="1"/>
  <c r="F63" i="6" s="1"/>
  <c r="E64" i="6" a="1"/>
  <c r="E64" i="6" s="1"/>
  <c r="F64" i="6" s="1"/>
  <c r="E65" i="6" a="1"/>
  <c r="E65" i="6" s="1"/>
  <c r="F65" i="6" s="1"/>
  <c r="E66" i="6" a="1"/>
  <c r="E66" i="6" s="1"/>
  <c r="F66" i="6" s="1"/>
  <c r="E67" i="6" a="1"/>
  <c r="E67" i="6" s="1"/>
  <c r="F67" i="6" s="1"/>
  <c r="E68" i="6" a="1"/>
  <c r="E68" i="6" s="1"/>
  <c r="F68" i="6" s="1"/>
  <c r="E69" i="6" a="1"/>
  <c r="E69" i="6" s="1"/>
  <c r="F69" i="6" s="1"/>
  <c r="E70" i="6" a="1"/>
  <c r="E70" i="6" s="1"/>
  <c r="F70" i="6" s="1"/>
  <c r="E71" i="6" a="1"/>
  <c r="E71" i="6" s="1"/>
  <c r="F71" i="6" s="1"/>
  <c r="E72" i="6" a="1"/>
  <c r="E72" i="6" s="1"/>
  <c r="F72" i="6" s="1"/>
  <c r="E73" i="6" a="1"/>
  <c r="E73" i="6" s="1"/>
  <c r="F73" i="6" s="1"/>
  <c r="E74" i="6" a="1"/>
  <c r="E74" i="6" s="1"/>
  <c r="F74" i="6" s="1"/>
  <c r="E75" i="6" a="1"/>
  <c r="E75" i="6" s="1"/>
  <c r="F75" i="6" s="1"/>
  <c r="E76" i="6" a="1"/>
  <c r="E76" i="6" s="1"/>
  <c r="F76" i="6" s="1"/>
  <c r="E77" i="6" a="1"/>
  <c r="E77" i="6" s="1"/>
  <c r="F77" i="6" s="1"/>
  <c r="E78" i="6" a="1"/>
  <c r="E78" i="6" s="1"/>
  <c r="F78" i="6" s="1"/>
  <c r="E79" i="6" a="1"/>
  <c r="E79" i="6" s="1"/>
  <c r="F79" i="6" s="1"/>
  <c r="E80" i="6" a="1"/>
  <c r="E80" i="6" s="1"/>
  <c r="F80" i="6" s="1"/>
  <c r="E81" i="6" a="1"/>
  <c r="E81" i="6" s="1"/>
  <c r="F81" i="6" s="1"/>
  <c r="E82" i="6" a="1"/>
  <c r="E82" i="6" s="1"/>
  <c r="F82" i="6" s="1"/>
  <c r="E83" i="6" a="1"/>
  <c r="E83" i="6" s="1"/>
  <c r="F83" i="6" s="1"/>
  <c r="E84" i="6" a="1"/>
  <c r="E84" i="6" s="1"/>
  <c r="F84" i="6" s="1"/>
  <c r="E85" i="6" a="1"/>
  <c r="E85" i="6" s="1"/>
  <c r="F85" i="6" s="1"/>
  <c r="E86" i="6" a="1"/>
  <c r="E86" i="6" s="1"/>
  <c r="F86" i="6" s="1"/>
  <c r="E87" i="6" a="1"/>
  <c r="E87" i="6" s="1"/>
  <c r="F87" i="6" s="1"/>
  <c r="E88" i="6" a="1"/>
  <c r="E88" i="6" s="1"/>
  <c r="F88" i="6" s="1"/>
  <c r="E89" i="6" a="1"/>
  <c r="E89" i="6" s="1"/>
  <c r="E90" i="6" a="1"/>
  <c r="E90" i="6" s="1"/>
  <c r="F90" i="6" s="1"/>
  <c r="E91" i="6" a="1"/>
  <c r="E91" i="6" s="1"/>
  <c r="F91" i="6" s="1"/>
  <c r="E92" i="6" a="1"/>
  <c r="E92" i="6" s="1"/>
  <c r="F92" i="6" s="1"/>
  <c r="E93" i="6" a="1"/>
  <c r="E93" i="6" s="1"/>
  <c r="F93" i="6" s="1"/>
  <c r="E94" i="6" a="1"/>
  <c r="E94" i="6" s="1"/>
  <c r="F94" i="6" s="1"/>
  <c r="E95" i="6" a="1"/>
  <c r="E95" i="6" s="1"/>
  <c r="F95" i="6" s="1"/>
  <c r="E96" i="6" a="1"/>
  <c r="E96" i="6" s="1"/>
  <c r="F96" i="6" s="1"/>
  <c r="E97" i="6" a="1"/>
  <c r="E97" i="6" s="1"/>
  <c r="F97" i="6" s="1"/>
  <c r="E98" i="6" a="1"/>
  <c r="E98" i="6" s="1"/>
  <c r="F98" i="6" s="1"/>
  <c r="E99" i="6" a="1"/>
  <c r="E99" i="6" s="1"/>
  <c r="F99" i="6" s="1"/>
  <c r="E100" i="6" a="1"/>
  <c r="E100" i="6" s="1"/>
  <c r="F100" i="6" s="1"/>
  <c r="E101" i="6" a="1"/>
  <c r="E101" i="6" s="1"/>
  <c r="F101" i="6" s="1"/>
  <c r="E102" i="6" a="1"/>
  <c r="E102" i="6" s="1"/>
  <c r="F102" i="6" s="1"/>
  <c r="E103" i="6" a="1"/>
  <c r="E103" i="6" s="1"/>
  <c r="F103" i="6" s="1"/>
  <c r="E104" i="6" a="1"/>
  <c r="E104" i="6" s="1"/>
  <c r="F104" i="6" s="1"/>
  <c r="E105" i="6" a="1"/>
  <c r="E105" i="6" s="1"/>
  <c r="F105" i="6" s="1"/>
  <c r="E106" i="6" a="1"/>
  <c r="E106" i="6" s="1"/>
  <c r="F106" i="6" s="1"/>
  <c r="E107" i="6" a="1"/>
  <c r="E107" i="6" s="1"/>
  <c r="F107" i="6" s="1"/>
  <c r="E108" i="6" a="1"/>
  <c r="E108" i="6" s="1"/>
  <c r="F108" i="6" s="1"/>
  <c r="E109" i="6" a="1"/>
  <c r="E109" i="6" s="1"/>
  <c r="F109" i="6" s="1"/>
  <c r="E110" i="6" a="1"/>
  <c r="E110" i="6" s="1"/>
  <c r="F110" i="6" s="1"/>
  <c r="E111" i="6" a="1"/>
  <c r="E111" i="6" s="1"/>
  <c r="F111" i="6" s="1"/>
  <c r="E112" i="6" a="1"/>
  <c r="E112" i="6" s="1"/>
  <c r="F112" i="6" s="1"/>
  <c r="E113" i="6" a="1"/>
  <c r="E113" i="6" s="1"/>
  <c r="F113" i="6" s="1"/>
  <c r="E114" i="6" a="1"/>
  <c r="E114" i="6" s="1"/>
  <c r="F114" i="6" s="1"/>
  <c r="E115" i="6" a="1"/>
  <c r="E115" i="6" s="1"/>
  <c r="F115" i="6" s="1"/>
  <c r="E116" i="6" a="1"/>
  <c r="E116" i="6" s="1"/>
  <c r="F116" i="6" s="1"/>
  <c r="E117" i="6" a="1"/>
  <c r="E117" i="6" s="1"/>
  <c r="F117" i="6" s="1"/>
  <c r="E118" i="6" a="1"/>
  <c r="E118" i="6" s="1"/>
  <c r="F118" i="6" s="1"/>
  <c r="E119" i="6" a="1"/>
  <c r="E119" i="6" s="1"/>
  <c r="F119" i="6" s="1"/>
  <c r="E120" i="6" a="1"/>
  <c r="E120" i="6" s="1"/>
  <c r="E121" i="6" a="1"/>
  <c r="E121" i="6" s="1"/>
  <c r="F121" i="6" s="1"/>
  <c r="E122" i="6" a="1"/>
  <c r="E122" i="6" s="1"/>
  <c r="E123" i="6" a="1"/>
  <c r="E123" i="6" s="1"/>
  <c r="F123" i="6" s="1"/>
  <c r="E124" i="6" a="1"/>
  <c r="E124" i="6" s="1"/>
  <c r="F124" i="6" s="1"/>
  <c r="E125" i="6" a="1"/>
  <c r="E125" i="6" s="1"/>
  <c r="F125" i="6" s="1"/>
  <c r="E126" i="6" a="1"/>
  <c r="E126" i="6" s="1"/>
  <c r="F126" i="6" s="1"/>
  <c r="E127" i="6" a="1"/>
  <c r="E127" i="6" s="1"/>
  <c r="F127" i="6" s="1"/>
  <c r="E128" i="6" a="1"/>
  <c r="E128" i="6" s="1"/>
  <c r="F128" i="6" s="1"/>
  <c r="E129" i="6" a="1"/>
  <c r="E129" i="6" s="1"/>
  <c r="F129" i="6" s="1"/>
  <c r="E130" i="6" a="1"/>
  <c r="E130" i="6" s="1"/>
  <c r="F130" i="6" s="1"/>
  <c r="E131" i="6" a="1"/>
  <c r="E131" i="6" s="1"/>
  <c r="E132" i="6" a="1"/>
  <c r="E132" i="6" s="1"/>
  <c r="F132" i="6" s="1"/>
  <c r="E133" i="6" a="1"/>
  <c r="E133" i="6" s="1"/>
  <c r="F133" i="6" s="1"/>
  <c r="E134" i="6" a="1"/>
  <c r="E134" i="6" s="1"/>
  <c r="F134" i="6" s="1"/>
  <c r="E135" i="6" a="1"/>
  <c r="E135" i="6" s="1"/>
  <c r="F135" i="6" s="1"/>
  <c r="E136" i="6" a="1"/>
  <c r="E136" i="6" s="1"/>
  <c r="F136" i="6" s="1"/>
  <c r="E137" i="6" a="1"/>
  <c r="E137" i="6" s="1"/>
  <c r="F137" i="6" s="1"/>
  <c r="E138" i="6" a="1"/>
  <c r="E138" i="6" s="1"/>
  <c r="F138" i="6" s="1"/>
  <c r="E139" i="6" a="1"/>
  <c r="E139" i="6" s="1"/>
  <c r="F139" i="6" s="1"/>
  <c r="E140" i="6" a="1"/>
  <c r="E140" i="6" s="1"/>
  <c r="F140" i="6" s="1"/>
  <c r="E141" i="6" a="1"/>
  <c r="E141" i="6" s="1"/>
  <c r="F141" i="6" s="1"/>
  <c r="E142" i="6" a="1"/>
  <c r="E142" i="6" s="1"/>
  <c r="F142" i="6" s="1"/>
  <c r="E143" i="6" a="1"/>
  <c r="E143" i="6" s="1"/>
  <c r="F143" i="6" s="1"/>
  <c r="E144" i="6" a="1"/>
  <c r="E144" i="6" s="1"/>
  <c r="F144" i="6" s="1"/>
  <c r="E145" i="6" a="1"/>
  <c r="E145" i="6" s="1"/>
  <c r="F145" i="6" s="1"/>
  <c r="E146" i="6" a="1"/>
  <c r="E146" i="6"/>
  <c r="F146" i="6" s="1"/>
  <c r="E147" i="6" a="1"/>
  <c r="E147" i="6" s="1"/>
  <c r="F147" i="6" s="1"/>
  <c r="E148" i="6" a="1"/>
  <c r="E148" i="6" s="1"/>
  <c r="F148" i="6" s="1"/>
  <c r="E149" i="6" a="1"/>
  <c r="E149" i="6" s="1"/>
  <c r="F149" i="6" s="1"/>
  <c r="E150" i="6" a="1"/>
  <c r="E150" i="6" s="1"/>
  <c r="F150" i="6" s="1"/>
  <c r="E151" i="6" a="1"/>
  <c r="E151" i="6" s="1"/>
  <c r="F151" i="6" s="1"/>
  <c r="E152" i="6" a="1"/>
  <c r="E152" i="6" s="1"/>
  <c r="F152" i="6" s="1"/>
  <c r="E153" i="6" a="1"/>
  <c r="E153" i="6" s="1"/>
  <c r="F153" i="6" s="1"/>
  <c r="E154" i="6" a="1"/>
  <c r="E154" i="6" s="1"/>
  <c r="F154" i="6" s="1"/>
  <c r="E155" i="6" a="1"/>
  <c r="E155" i="6" s="1"/>
  <c r="F155" i="6" s="1"/>
  <c r="E156" i="6" a="1"/>
  <c r="E156" i="6" s="1"/>
  <c r="F156" i="6" s="1"/>
  <c r="E157" i="6" a="1"/>
  <c r="E157" i="6" s="1"/>
  <c r="F157" i="6" s="1"/>
  <c r="E158" i="6" a="1"/>
  <c r="E158" i="6" s="1"/>
  <c r="F158" i="6" s="1"/>
  <c r="E159" i="6" a="1"/>
  <c r="E159" i="6" s="1"/>
  <c r="F159" i="6" s="1"/>
  <c r="E160" i="6" a="1"/>
  <c r="E160" i="6" s="1"/>
  <c r="F160" i="6" s="1"/>
  <c r="E161" i="6" a="1"/>
  <c r="E161" i="6" s="1"/>
  <c r="F161" i="6" s="1"/>
  <c r="E162" i="6" a="1"/>
  <c r="E162" i="6" s="1"/>
  <c r="F162" i="6" s="1"/>
  <c r="E163" i="6" a="1"/>
  <c r="E163" i="6" s="1"/>
  <c r="F163" i="6" s="1"/>
  <c r="E164" i="6" a="1"/>
  <c r="E164" i="6" s="1"/>
  <c r="F164" i="6" s="1"/>
  <c r="E165" i="6" a="1"/>
  <c r="E165" i="6" s="1"/>
  <c r="F165" i="6" s="1"/>
  <c r="E166" i="6" a="1"/>
  <c r="E166" i="6" s="1"/>
  <c r="F166" i="6" s="1"/>
  <c r="E167" i="6" a="1"/>
  <c r="E167" i="6" s="1"/>
  <c r="F167" i="6" s="1"/>
  <c r="E168" i="6" a="1"/>
  <c r="E168" i="6" s="1"/>
  <c r="F168" i="6" s="1"/>
  <c r="E169" i="6" a="1"/>
  <c r="E169" i="6" s="1"/>
  <c r="F169" i="6" s="1"/>
  <c r="E170" i="6" a="1"/>
  <c r="E170" i="6" s="1"/>
  <c r="F170" i="6" s="1"/>
  <c r="E171" i="6" a="1"/>
  <c r="E171" i="6" s="1"/>
  <c r="F171" i="6" s="1"/>
  <c r="E172" i="6" a="1"/>
  <c r="E172" i="6" s="1"/>
  <c r="F172" i="6" s="1"/>
  <c r="E173" i="6" a="1"/>
  <c r="E173" i="6" s="1"/>
  <c r="F173" i="6" s="1"/>
  <c r="E174" i="6" a="1"/>
  <c r="E174" i="6" s="1"/>
  <c r="F174" i="6" s="1"/>
  <c r="E175" i="6" a="1"/>
  <c r="E175" i="6" s="1"/>
  <c r="F175" i="6" s="1"/>
  <c r="E176" i="6" a="1"/>
  <c r="E176" i="6" s="1"/>
  <c r="F176" i="6" s="1"/>
  <c r="E177" i="6" a="1"/>
  <c r="E177" i="6" s="1"/>
  <c r="F177" i="6" s="1"/>
  <c r="E178" i="6" a="1"/>
  <c r="E178" i="6" s="1"/>
  <c r="F178" i="6" s="1"/>
  <c r="E179" i="6" a="1"/>
  <c r="E179" i="6" s="1"/>
  <c r="F179" i="6" s="1"/>
  <c r="E180" i="6" a="1"/>
  <c r="E180" i="6" s="1"/>
  <c r="F180" i="6" s="1"/>
  <c r="E181" i="6" a="1"/>
  <c r="E181" i="6" s="1"/>
  <c r="F181" i="6" s="1"/>
  <c r="E182" i="6" a="1"/>
  <c r="E182" i="6" s="1"/>
  <c r="F182" i="6" s="1"/>
  <c r="E183" i="6" a="1"/>
  <c r="E183" i="6" s="1"/>
  <c r="F183" i="6" s="1"/>
  <c r="E184" i="6" a="1"/>
  <c r="E184" i="6" s="1"/>
  <c r="F184" i="6" s="1"/>
  <c r="E185" i="6" a="1"/>
  <c r="E185" i="6" s="1"/>
  <c r="F185" i="6" s="1"/>
  <c r="E186" i="6" a="1"/>
  <c r="E186" i="6" s="1"/>
  <c r="F186" i="6" s="1"/>
  <c r="E187" i="6" a="1"/>
  <c r="E187" i="6"/>
  <c r="F187" i="6" s="1"/>
  <c r="E188" i="6" a="1"/>
  <c r="E188" i="6" s="1"/>
  <c r="F188" i="6" s="1"/>
  <c r="E189" i="6" a="1"/>
  <c r="E189" i="6" s="1"/>
  <c r="F189" i="6" s="1"/>
  <c r="E190" i="6" a="1"/>
  <c r="E190" i="6" s="1"/>
  <c r="F190" i="6" s="1"/>
  <c r="E191" i="6" a="1"/>
  <c r="E191" i="6" s="1"/>
  <c r="F191" i="6" s="1"/>
  <c r="E192" i="6" a="1"/>
  <c r="E192" i="6" s="1"/>
  <c r="F192" i="6" s="1"/>
  <c r="E193" i="6" a="1"/>
  <c r="E193" i="6" s="1"/>
  <c r="F193" i="6" s="1"/>
  <c r="E194" i="6" a="1"/>
  <c r="E194" i="6" s="1"/>
  <c r="F194" i="6" s="1"/>
  <c r="E195" i="6" a="1"/>
  <c r="E195" i="6" s="1"/>
  <c r="F195" i="6" s="1"/>
  <c r="E196" i="6" a="1"/>
  <c r="E196" i="6" s="1"/>
  <c r="F196" i="6" s="1"/>
  <c r="E197" i="6" a="1"/>
  <c r="E197" i="6" s="1"/>
  <c r="F197" i="6" s="1"/>
  <c r="E198" i="6" a="1"/>
  <c r="E198" i="6" s="1"/>
  <c r="F198" i="6" s="1"/>
  <c r="E199" i="6" a="1"/>
  <c r="E199" i="6" s="1"/>
  <c r="F199" i="6" s="1"/>
  <c r="E200" i="6" a="1"/>
  <c r="E200" i="6" s="1"/>
  <c r="F200" i="6" s="1"/>
  <c r="E201" i="6" a="1"/>
  <c r="E201" i="6" s="1"/>
  <c r="F201" i="6" s="1"/>
  <c r="E202" i="6" a="1"/>
  <c r="E202" i="6" s="1"/>
  <c r="F202" i="6" s="1"/>
  <c r="E203" i="6" a="1"/>
  <c r="E203" i="6" s="1"/>
  <c r="F203" i="6" s="1"/>
  <c r="E204" i="6" a="1"/>
  <c r="E204" i="6" s="1"/>
  <c r="F204" i="6" s="1"/>
  <c r="E205" i="6" a="1"/>
  <c r="E205" i="6" s="1"/>
  <c r="F205" i="6" s="1"/>
  <c r="E206" i="6" a="1"/>
  <c r="E206" i="6" s="1"/>
  <c r="F206" i="6" s="1"/>
  <c r="E207" i="6" a="1"/>
  <c r="E207" i="6" s="1"/>
  <c r="F207" i="6" s="1"/>
  <c r="E208" i="6" a="1"/>
  <c r="E208" i="6" s="1"/>
  <c r="F208" i="6" s="1"/>
  <c r="E209" i="6" a="1"/>
  <c r="E209" i="6" s="1"/>
  <c r="F209" i="6" s="1"/>
  <c r="E210" i="6" a="1"/>
  <c r="E210" i="6" s="1"/>
  <c r="F210" i="6" s="1"/>
  <c r="E211" i="6" a="1"/>
  <c r="E211" i="6" s="1"/>
  <c r="F211" i="6" s="1"/>
  <c r="E212" i="6" a="1"/>
  <c r="E212" i="6" s="1"/>
  <c r="F212" i="6" s="1"/>
  <c r="D7" i="3"/>
  <c r="C7" i="3"/>
  <c r="C6" i="3"/>
  <c r="D6" i="3"/>
  <c r="D5" i="3"/>
  <c r="C5" i="3"/>
  <c r="D4" i="3"/>
  <c r="D16" i="4"/>
  <c r="D11" i="4"/>
  <c r="D21" i="4"/>
  <c r="D23" i="4"/>
  <c r="D15" i="4"/>
  <c r="D19" i="4"/>
  <c r="D10" i="4"/>
  <c r="D14" i="4"/>
  <c r="D20" i="4"/>
  <c r="D9" i="4"/>
  <c r="D12" i="4"/>
  <c r="D22" i="4"/>
  <c r="D17" i="4"/>
  <c r="D13" i="4"/>
  <c r="D18" i="4"/>
  <c r="D5" i="4"/>
  <c r="D8" i="4"/>
  <c r="D7" i="4"/>
  <c r="D6" i="4"/>
  <c r="D2" i="4"/>
  <c r="D4" i="4"/>
  <c r="D3" i="4"/>
  <c r="C16" i="4"/>
  <c r="C11" i="4"/>
  <c r="C21" i="4"/>
  <c r="C23" i="4"/>
  <c r="C15" i="4"/>
  <c r="C19" i="4"/>
  <c r="C10" i="4"/>
  <c r="C14" i="4"/>
  <c r="C20" i="4"/>
  <c r="C9" i="4"/>
  <c r="C12" i="4"/>
  <c r="C22" i="4"/>
  <c r="C17" i="4"/>
  <c r="C13" i="4"/>
  <c r="C18" i="4"/>
  <c r="C5" i="4"/>
  <c r="C8" i="4"/>
  <c r="C7" i="4"/>
  <c r="C6" i="4"/>
  <c r="C2" i="4"/>
  <c r="C4" i="4"/>
  <c r="C3" i="4"/>
  <c r="J3" i="4"/>
  <c r="J4" i="4"/>
  <c r="J2" i="4"/>
  <c r="J6" i="4"/>
  <c r="J7" i="4"/>
  <c r="J8" i="4"/>
  <c r="J5" i="4"/>
  <c r="J12" i="4"/>
  <c r="J9" i="4"/>
  <c r="J10" i="4"/>
  <c r="J11" i="4"/>
  <c r="J13" i="4"/>
  <c r="J14" i="4"/>
  <c r="J15" i="4"/>
  <c r="J18" i="4"/>
  <c r="J17" i="4"/>
  <c r="J22" i="4"/>
  <c r="J20" i="4"/>
  <c r="J19" i="4"/>
  <c r="J23" i="4"/>
  <c r="J21" i="4"/>
  <c r="J16" i="4"/>
  <c r="I2" i="2" a="1"/>
  <c r="I2" i="2" s="1"/>
  <c r="O13" i="2" s="1"/>
  <c r="I4" i="2" a="1"/>
  <c r="I4" i="2" s="1"/>
  <c r="I5" i="2" a="1"/>
  <c r="I5" i="2" s="1"/>
  <c r="I6" i="2" a="1"/>
  <c r="I6" i="2" s="1"/>
  <c r="I7" i="2" a="1"/>
  <c r="I7" i="2" s="1"/>
  <c r="I8" i="2" a="1"/>
  <c r="I8" i="2"/>
  <c r="I9" i="2" a="1"/>
  <c r="I9" i="2" s="1"/>
  <c r="I10" i="2" a="1"/>
  <c r="I10" i="2" s="1"/>
  <c r="I11" i="2" a="1"/>
  <c r="I11" i="2"/>
  <c r="I12" i="2" a="1"/>
  <c r="I12" i="2" s="1"/>
  <c r="I13" i="2" a="1"/>
  <c r="I13" i="2" s="1"/>
  <c r="I14" i="2" a="1"/>
  <c r="I14" i="2"/>
  <c r="I15" i="2" a="1"/>
  <c r="I15" i="2" s="1"/>
  <c r="I16" i="2" a="1"/>
  <c r="I16" i="2" s="1"/>
  <c r="I17" i="2" a="1"/>
  <c r="I17" i="2" s="1"/>
  <c r="I18" i="2" a="1"/>
  <c r="I18" i="2"/>
  <c r="I19" i="2" a="1"/>
  <c r="I19" i="2"/>
  <c r="I20" i="2" a="1"/>
  <c r="I20" i="2" s="1"/>
  <c r="I21" i="2" a="1"/>
  <c r="I21" i="2" s="1"/>
  <c r="I22" i="2" a="1"/>
  <c r="I22" i="2"/>
  <c r="I23" i="2" a="1"/>
  <c r="I23" i="2"/>
  <c r="I24" i="2" a="1"/>
  <c r="I24" i="2" s="1"/>
  <c r="I25" i="2" a="1"/>
  <c r="I25" i="2"/>
  <c r="I26" i="2" a="1"/>
  <c r="I26" i="2" s="1"/>
  <c r="I27" i="2" a="1"/>
  <c r="I27" i="2" s="1"/>
  <c r="I3" i="2" a="1"/>
  <c r="I3" i="2" s="1"/>
  <c r="G27" i="2"/>
  <c r="G2" i="2"/>
  <c r="O20" i="2" s="1"/>
  <c r="G3" i="2"/>
  <c r="G4" i="2"/>
  <c r="O6" i="2" s="1"/>
  <c r="G5" i="2"/>
  <c r="G6" i="2"/>
  <c r="G7" i="2"/>
  <c r="G8" i="2"/>
  <c r="G9" i="2"/>
  <c r="G10" i="2"/>
  <c r="G11" i="2"/>
  <c r="G12" i="2"/>
  <c r="G13" i="2"/>
  <c r="G14" i="2"/>
  <c r="G15" i="2"/>
  <c r="G16" i="2"/>
  <c r="G17" i="2"/>
  <c r="G18" i="2"/>
  <c r="G19" i="2"/>
  <c r="G20" i="2"/>
  <c r="G21" i="2"/>
  <c r="G22" i="2"/>
  <c r="G23" i="2"/>
  <c r="G24" i="2"/>
  <c r="G25" i="2"/>
  <c r="G26" i="2"/>
  <c r="D2" i="2"/>
  <c r="E2" i="2" s="1"/>
  <c r="F2" i="2" s="1"/>
  <c r="D3" i="2"/>
  <c r="E3" i="2" s="1"/>
  <c r="F3" i="2" s="1"/>
  <c r="D4" i="2"/>
  <c r="E4" i="2" s="1"/>
  <c r="F4" i="2" s="1"/>
  <c r="D5" i="2"/>
  <c r="E5" i="2" s="1"/>
  <c r="F5" i="2" s="1"/>
  <c r="D6" i="2"/>
  <c r="E6" i="2" s="1"/>
  <c r="F6" i="2" s="1"/>
  <c r="D7" i="2"/>
  <c r="E7" i="2" s="1"/>
  <c r="F7" i="2" s="1"/>
  <c r="D8" i="2"/>
  <c r="E8" i="2" s="1"/>
  <c r="F8" i="2" s="1"/>
  <c r="D9" i="2"/>
  <c r="E9" i="2" s="1"/>
  <c r="F9" i="2" s="1"/>
  <c r="D10" i="2"/>
  <c r="E10" i="2" s="1"/>
  <c r="F10" i="2" s="1"/>
  <c r="D11" i="2"/>
  <c r="E11" i="2" s="1"/>
  <c r="F11" i="2" s="1"/>
  <c r="D12" i="2"/>
  <c r="E12" i="2" s="1"/>
  <c r="F12" i="2" s="1"/>
  <c r="D13" i="2"/>
  <c r="E13" i="2" s="1"/>
  <c r="F13" i="2" s="1"/>
  <c r="D14" i="2"/>
  <c r="E14" i="2" s="1"/>
  <c r="F14" i="2" s="1"/>
  <c r="D15" i="2"/>
  <c r="E15" i="2" s="1"/>
  <c r="F15" i="2" s="1"/>
  <c r="D16" i="2"/>
  <c r="E16" i="2" s="1"/>
  <c r="F16" i="2" s="1"/>
  <c r="D17" i="2"/>
  <c r="E17" i="2" s="1"/>
  <c r="F17" i="2" s="1"/>
  <c r="D18" i="2"/>
  <c r="E18" i="2" s="1"/>
  <c r="F18" i="2" s="1"/>
  <c r="D19" i="2"/>
  <c r="E19" i="2" s="1"/>
  <c r="F19" i="2" s="1"/>
  <c r="D20" i="2"/>
  <c r="E20" i="2" s="1"/>
  <c r="F20" i="2" s="1"/>
  <c r="D21" i="2"/>
  <c r="E21" i="2" s="1"/>
  <c r="F21" i="2" s="1"/>
  <c r="D22" i="2"/>
  <c r="E22" i="2" s="1"/>
  <c r="F22" i="2" s="1"/>
  <c r="D23" i="2"/>
  <c r="E23" i="2" s="1"/>
  <c r="F23" i="2" s="1"/>
  <c r="D24" i="2"/>
  <c r="E24" i="2" s="1"/>
  <c r="F24" i="2" s="1"/>
  <c r="D25" i="2"/>
  <c r="E25" i="2" s="1"/>
  <c r="F25" i="2" s="1"/>
  <c r="D26" i="2"/>
  <c r="E26" i="2" s="1"/>
  <c r="F26" i="2" s="1"/>
  <c r="D27" i="2"/>
  <c r="E27" i="2" s="1"/>
  <c r="F27" i="2" s="1"/>
  <c r="I6" i="10"/>
  <c r="H6" i="10"/>
  <c r="G6" i="10"/>
  <c r="O7" i="2" l="1"/>
  <c r="O8" i="2" s="1"/>
  <c r="O15" i="2"/>
  <c r="O12" i="2"/>
  <c r="O14" i="2"/>
  <c r="O1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856215-6CC6-C342-8240-844E9DF974D5}" keepAlive="1" name="Query - fifa_ranking_2022-10-06" description="Connection to the 'fifa_ranking_2022-10-06' query in the workbook." type="5" refreshedVersion="8" background="1" saveData="1">
    <dbPr connection="Provider=Microsoft.Mashup.OleDb.1;Data Source=$Workbook$;Location=fifa_ranking_2022-10-06;Extended Properties=&quot;&quot;" command="SELECT * FROM [fifa_ranking_2022-10-06]"/>
  </connection>
  <connection id="2" xr16:uid="{CBD2C140-1035-FA47-A87B-4633B92C2FD2}" keepAlive="1" name="Query - fifa_ranking_2026-06-08" description="Connection to the 'fifa_ranking_2026-06-08' query in the workbook." type="5" refreshedVersion="8" background="1" saveData="1">
    <dbPr connection="Provider=Microsoft.Mashup.OleDb.1;Data Source=$Workbook$;Location=fifa_ranking_2026-06-08;Extended Properties=&quot;&quot;" command="SELECT * FROM [fifa_ranking_2026-06-08]"/>
  </connection>
  <connection id="3" xr16:uid="{D2ADC299-29FE-944B-96FD-193BC707AD1A}" keepAlive="1" name="Query - matches_1930_2022" description="Connection to the 'matches_1930_2022' query in the workbook." type="5" refreshedVersion="8" background="1" saveData="1">
    <dbPr connection="Provider=Microsoft.Mashup.OleDb.1;Data Source=$Workbook$;Location=matches_1930_2022;Extended Properties=&quot;&quot;" command="SELECT * FROM [matches_1930_2022]"/>
  </connection>
  <connection id="4" xr16:uid="{2FDACFCD-F0FC-634A-972E-40B7B5712EA7}" keepAlive="1" name="Query - survey" description="Connection to the 'survey' query in the workbook." type="5" refreshedVersion="8" background="1" saveData="1">
    <dbPr connection="Provider=Microsoft.Mashup.OleDb.1;Data Source=$Workbook$;Location=survey;Extended Properties=&quot;&quot;" command="SELECT * FROM [survey]"/>
  </connection>
  <connection id="5" xr16:uid="{071E1414-DCA3-0A4B-A386-1BC0C30AF105}" keepAlive="1" name="Query - world_cup" description="Connection to the 'world_cup' query in the workbook." type="5" refreshedVersion="8" background="1" saveData="1">
    <dbPr connection="Provider=Microsoft.Mashup.OleDb.1;Data Source=$Workbook$;Location=world_cup;Extended Properties=&quot;&quot;" command="SELECT * FROM [world_cup]"/>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<sst xmlns="http://schemas.openxmlformats.org/spreadsheetml/2006/main" count="35447" uniqueCount="8563">
  <si>
    <t>Timestamp</t>
  </si>
  <si>
    <t>Which country are you from?</t>
  </si>
  <si>
    <t>What is your gender?</t>
  </si>
  <si>
    <t>Which country is your favorite in ongoing FIFA worldcup?</t>
  </si>
  <si>
    <t>Which country do you think will win?</t>
  </si>
  <si>
    <t>What is your  name (nickname) ? I will use it to call you in the class.</t>
  </si>
  <si>
    <t>India</t>
  </si>
  <si>
    <t xml:space="preserve">Female </t>
  </si>
  <si>
    <t>No idea</t>
  </si>
  <si>
    <t xml:space="preserve">Anitha </t>
  </si>
  <si>
    <t xml:space="preserve">Myanmar </t>
  </si>
  <si>
    <t>Female</t>
  </si>
  <si>
    <t>Brazil</t>
  </si>
  <si>
    <t xml:space="preserve">Argentina </t>
  </si>
  <si>
    <t>Mihtet</t>
  </si>
  <si>
    <t>Myanmar</t>
  </si>
  <si>
    <t>Any Country</t>
  </si>
  <si>
    <t>Hnin Lae</t>
  </si>
  <si>
    <t>Nepal</t>
  </si>
  <si>
    <t>Norway</t>
  </si>
  <si>
    <t>Spain</t>
  </si>
  <si>
    <t>Raisa</t>
  </si>
  <si>
    <t>Male</t>
  </si>
  <si>
    <t>Kyaw Zin</t>
  </si>
  <si>
    <t>Zaw</t>
  </si>
  <si>
    <t>Vietnam</t>
  </si>
  <si>
    <t>Argentina</t>
  </si>
  <si>
    <t>Suiiiiiiiii</t>
  </si>
  <si>
    <t>Kian</t>
  </si>
  <si>
    <t>Parker</t>
  </si>
  <si>
    <t>Philippines</t>
  </si>
  <si>
    <t>Argentina maybe</t>
  </si>
  <si>
    <t>Mike</t>
  </si>
  <si>
    <t>female</t>
  </si>
  <si>
    <t>Riley</t>
  </si>
  <si>
    <t>Khushi</t>
  </si>
  <si>
    <t>Nishma</t>
  </si>
  <si>
    <t>Win</t>
  </si>
  <si>
    <t>Sovan</t>
  </si>
  <si>
    <t>Thailand</t>
  </si>
  <si>
    <t>-</t>
  </si>
  <si>
    <t>Amm Wannarat</t>
  </si>
  <si>
    <t>Bangladesh</t>
  </si>
  <si>
    <t>Argentina (RIGGED)</t>
  </si>
  <si>
    <t>Naseef</t>
  </si>
  <si>
    <t>Hopefully spain</t>
  </si>
  <si>
    <t>Rahma</t>
  </si>
  <si>
    <t/>
  </si>
  <si>
    <t>Shun Shun</t>
  </si>
  <si>
    <t xml:space="preserve">Bhutan </t>
  </si>
  <si>
    <t xml:space="preserve">Spain </t>
  </si>
  <si>
    <t xml:space="preserve">Tandin </t>
  </si>
  <si>
    <t>England</t>
  </si>
  <si>
    <t>Bill</t>
  </si>
  <si>
    <t>Ying</t>
  </si>
  <si>
    <t>Ranju</t>
  </si>
  <si>
    <t>Thiri</t>
  </si>
  <si>
    <t>Barun</t>
  </si>
  <si>
    <t>Nwenny</t>
  </si>
  <si>
    <t xml:space="preserve">Neha </t>
  </si>
  <si>
    <t>Gender</t>
  </si>
  <si>
    <t>Proper_Gender</t>
  </si>
  <si>
    <t>Trim_Gender</t>
  </si>
  <si>
    <t>F</t>
  </si>
  <si>
    <t>Left_gender</t>
  </si>
  <si>
    <t>M</t>
  </si>
  <si>
    <t>None</t>
  </si>
  <si>
    <t>age</t>
  </si>
  <si>
    <t>age_bracket</t>
  </si>
  <si>
    <t>Count</t>
  </si>
  <si>
    <t xml:space="preserve">Age bracket </t>
  </si>
  <si>
    <t>20-25</t>
  </si>
  <si>
    <t>25-30</t>
  </si>
  <si>
    <t>30-35</t>
  </si>
  <si>
    <t>35-40</t>
  </si>
  <si>
    <t>Total</t>
  </si>
  <si>
    <t>What is the count of females supporting Spain?</t>
  </si>
  <si>
    <t>Year</t>
  </si>
  <si>
    <t>Host</t>
  </si>
  <si>
    <t>Teams</t>
  </si>
  <si>
    <t>Champion</t>
  </si>
  <si>
    <t>Runner-Up</t>
  </si>
  <si>
    <t>TopScorrer</t>
  </si>
  <si>
    <t>Attendance</t>
  </si>
  <si>
    <t>AttendanceAvg</t>
  </si>
  <si>
    <t>Matches</t>
  </si>
  <si>
    <t>Qatar</t>
  </si>
  <si>
    <t>France</t>
  </si>
  <si>
    <t>Kylian Mbappé - 8</t>
  </si>
  <si>
    <t>Russia</t>
  </si>
  <si>
    <t>Croatia</t>
  </si>
  <si>
    <t>Harry Kane - 6</t>
  </si>
  <si>
    <t>Germany</t>
  </si>
  <si>
    <t>James Rodríguez - 6</t>
  </si>
  <si>
    <t>South Africa</t>
  </si>
  <si>
    <t>Netherlands</t>
  </si>
  <si>
    <t>Wesley Sneijder, Thomas Müller... - 5</t>
  </si>
  <si>
    <t>Italy</t>
  </si>
  <si>
    <t>Miroslav Klose - 5</t>
  </si>
  <si>
    <t>Korea Republic, Japan</t>
  </si>
  <si>
    <t>Ronaldo - 8</t>
  </si>
  <si>
    <t>Davor Šuker - 6</t>
  </si>
  <si>
    <t>United States</t>
  </si>
  <si>
    <t>Hristo Stoichkov, Oleg Salenko - 6</t>
  </si>
  <si>
    <t>West Germany</t>
  </si>
  <si>
    <t>Salvatore Schillaci - 6</t>
  </si>
  <si>
    <t>Mexico</t>
  </si>
  <si>
    <t>Gary Lineker - 6</t>
  </si>
  <si>
    <t>Paolo Rossi - 6</t>
  </si>
  <si>
    <t>Mario Kempes - 6</t>
  </si>
  <si>
    <t>Grzegorz Lato - 7</t>
  </si>
  <si>
    <t>Gerd Müller - 10</t>
  </si>
  <si>
    <t>Eusébio - 9</t>
  </si>
  <si>
    <t>Chile</t>
  </si>
  <si>
    <t>Czechoslovakia</t>
  </si>
  <si>
    <t>Leonel Sánchez, Flórián Albert... - 4</t>
  </si>
  <si>
    <t>Sweden</t>
  </si>
  <si>
    <t>Just Fontaine - 13</t>
  </si>
  <si>
    <t>Switzerland</t>
  </si>
  <si>
    <t>Hungary</t>
  </si>
  <si>
    <t>Sándor Kocsis - 11</t>
  </si>
  <si>
    <t>Uruguay</t>
  </si>
  <si>
    <t>Ademir - 8</t>
  </si>
  <si>
    <t>Leônidas - 7</t>
  </si>
  <si>
    <t>Oldřich Nejedlý - 5</t>
  </si>
  <si>
    <t>Guillermo Stábile - 8</t>
  </si>
  <si>
    <t>Propularity</t>
  </si>
  <si>
    <t>team</t>
  </si>
  <si>
    <t>team_code</t>
  </si>
  <si>
    <t>association</t>
  </si>
  <si>
    <t>rank</t>
  </si>
  <si>
    <t>previous_rank</t>
  </si>
  <si>
    <t>points</t>
  </si>
  <si>
    <t>previous_points</t>
  </si>
  <si>
    <t>rated_matches</t>
  </si>
  <si>
    <t>ARG</t>
  </si>
  <si>
    <t>CONMEBOL</t>
  </si>
  <si>
    <t>ESP</t>
  </si>
  <si>
    <t>UEFA</t>
  </si>
  <si>
    <t>FRA</t>
  </si>
  <si>
    <t>ENG</t>
  </si>
  <si>
    <t>Portugal</t>
  </si>
  <si>
    <t>POR</t>
  </si>
  <si>
    <t>BRA</t>
  </si>
  <si>
    <t>Morocco</t>
  </si>
  <si>
    <t>MAR</t>
  </si>
  <si>
    <t>CAF</t>
  </si>
  <si>
    <t>NED</t>
  </si>
  <si>
    <t>Belgium</t>
  </si>
  <si>
    <t>BEL</t>
  </si>
  <si>
    <t>GER</t>
  </si>
  <si>
    <t>CRO</t>
  </si>
  <si>
    <t>ITA</t>
  </si>
  <si>
    <t>Colombia</t>
  </si>
  <si>
    <t>COL</t>
  </si>
  <si>
    <t>MEX</t>
  </si>
  <si>
    <t>CONCACAF</t>
  </si>
  <si>
    <t>Senegal</t>
  </si>
  <si>
    <t>SEN</t>
  </si>
  <si>
    <t>URU</t>
  </si>
  <si>
    <t>USA</t>
  </si>
  <si>
    <t>Japan</t>
  </si>
  <si>
    <t>JPN</t>
  </si>
  <si>
    <t>AFC</t>
  </si>
  <si>
    <t>SUI</t>
  </si>
  <si>
    <t>IR Iran</t>
  </si>
  <si>
    <t>IRN</t>
  </si>
  <si>
    <t>Denmark</t>
  </si>
  <si>
    <t>DEN</t>
  </si>
  <si>
    <t>Türkiye</t>
  </si>
  <si>
    <t>TUR</t>
  </si>
  <si>
    <t>Ecuador</t>
  </si>
  <si>
    <t>ECU</t>
  </si>
  <si>
    <t>Austria</t>
  </si>
  <si>
    <t>AUT</t>
  </si>
  <si>
    <t>Korea Republic</t>
  </si>
  <si>
    <t>KOR</t>
  </si>
  <si>
    <t>Nigeria</t>
  </si>
  <si>
    <t>NGA</t>
  </si>
  <si>
    <t>Australia</t>
  </si>
  <si>
    <t>AUS</t>
  </si>
  <si>
    <t>Algeria</t>
  </si>
  <si>
    <t>ALG</t>
  </si>
  <si>
    <t>Egypt</t>
  </si>
  <si>
    <t>EGY</t>
  </si>
  <si>
    <t>Canada</t>
  </si>
  <si>
    <t>CAN</t>
  </si>
  <si>
    <t>NOR</t>
  </si>
  <si>
    <t>Ukraine</t>
  </si>
  <si>
    <t>UKR</t>
  </si>
  <si>
    <t>Côte d'Ivoire</t>
  </si>
  <si>
    <t>CIV</t>
  </si>
  <si>
    <t>Panama</t>
  </si>
  <si>
    <t>PAN</t>
  </si>
  <si>
    <t>RUS</t>
  </si>
  <si>
    <t>Poland</t>
  </si>
  <si>
    <t>POL</t>
  </si>
  <si>
    <t>Wales</t>
  </si>
  <si>
    <t>WAL</t>
  </si>
  <si>
    <t>SWE</t>
  </si>
  <si>
    <t>Czechia</t>
  </si>
  <si>
    <t>CZE</t>
  </si>
  <si>
    <t>Paraguay</t>
  </si>
  <si>
    <t>PAR</t>
  </si>
  <si>
    <t>HUN</t>
  </si>
  <si>
    <t>Scotland</t>
  </si>
  <si>
    <t>SCO</t>
  </si>
  <si>
    <t>Serbia</t>
  </si>
  <si>
    <t>SRB</t>
  </si>
  <si>
    <t>Cameroon</t>
  </si>
  <si>
    <t>CMR</t>
  </si>
  <si>
    <t>Congo DR</t>
  </si>
  <si>
    <t>COD</t>
  </si>
  <si>
    <t>Tunisia</t>
  </si>
  <si>
    <t>TUN</t>
  </si>
  <si>
    <t>Slovakia</t>
  </si>
  <si>
    <t>SVK</t>
  </si>
  <si>
    <t>Greece</t>
  </si>
  <si>
    <t>GRE</t>
  </si>
  <si>
    <t>Venezuela</t>
  </si>
  <si>
    <t>VEN</t>
  </si>
  <si>
    <t>Uzbekistan</t>
  </si>
  <si>
    <t>UZB</t>
  </si>
  <si>
    <t>Peru</t>
  </si>
  <si>
    <t>PER</t>
  </si>
  <si>
    <t>Costa Rica</t>
  </si>
  <si>
    <t>CRC</t>
  </si>
  <si>
    <t>Romania</t>
  </si>
  <si>
    <t>ROU</t>
  </si>
  <si>
    <t>Mali</t>
  </si>
  <si>
    <t>MLI</t>
  </si>
  <si>
    <t>CHI</t>
  </si>
  <si>
    <t>Iraq</t>
  </si>
  <si>
    <t>IRQ</t>
  </si>
  <si>
    <t>QAT</t>
  </si>
  <si>
    <t>Republic of Ireland</t>
  </si>
  <si>
    <t>IRL</t>
  </si>
  <si>
    <t>Slovenia</t>
  </si>
  <si>
    <t>SVN</t>
  </si>
  <si>
    <t>RSA</t>
  </si>
  <si>
    <t>Saudi Arabia</t>
  </si>
  <si>
    <t>KSA</t>
  </si>
  <si>
    <t>Burkina Faso</t>
  </si>
  <si>
    <t>BFA</t>
  </si>
  <si>
    <t>Jordan</t>
  </si>
  <si>
    <t>JOR</t>
  </si>
  <si>
    <t>Bosnia and Herzegovina</t>
  </si>
  <si>
    <t>BIH</t>
  </si>
  <si>
    <t>Honduras</t>
  </si>
  <si>
    <t>HON</t>
  </si>
  <si>
    <t>Albania</t>
  </si>
  <si>
    <t>ALB</t>
  </si>
  <si>
    <t>Cabo Verde</t>
  </si>
  <si>
    <t>CPV</t>
  </si>
  <si>
    <t>United Arab Emirates</t>
  </si>
  <si>
    <t>UAE</t>
  </si>
  <si>
    <t>North Macedonia</t>
  </si>
  <si>
    <t>MKD</t>
  </si>
  <si>
    <t>Northern Ireland</t>
  </si>
  <si>
    <t>NIR</t>
  </si>
  <si>
    <t>Jamaica</t>
  </si>
  <si>
    <t>JAM</t>
  </si>
  <si>
    <t>Georgia</t>
  </si>
  <si>
    <t>GEO</t>
  </si>
  <si>
    <t>Ghana</t>
  </si>
  <si>
    <t>GHA</t>
  </si>
  <si>
    <t>Iceland</t>
  </si>
  <si>
    <t>ISL</t>
  </si>
  <si>
    <t>Finland</t>
  </si>
  <si>
    <t>FIN</t>
  </si>
  <si>
    <t>Israel</t>
  </si>
  <si>
    <t>ISR</t>
  </si>
  <si>
    <t>Bolivia</t>
  </si>
  <si>
    <t>BOL</t>
  </si>
  <si>
    <t>Kosovo</t>
  </si>
  <si>
    <t>KOS</t>
  </si>
  <si>
    <t>Oman</t>
  </si>
  <si>
    <t>OMA</t>
  </si>
  <si>
    <t>Montenegro</t>
  </si>
  <si>
    <t>MNE</t>
  </si>
  <si>
    <t>Guinea</t>
  </si>
  <si>
    <t>GUI</t>
  </si>
  <si>
    <t>Curaçao</t>
  </si>
  <si>
    <t>CUW</t>
  </si>
  <si>
    <t>Haiti</t>
  </si>
  <si>
    <t>HAI</t>
  </si>
  <si>
    <t>Syria</t>
  </si>
  <si>
    <t>SYR</t>
  </si>
  <si>
    <t>New Zealand</t>
  </si>
  <si>
    <t>NZL</t>
  </si>
  <si>
    <t>OFC</t>
  </si>
  <si>
    <t>Gabon</t>
  </si>
  <si>
    <t>GAB</t>
  </si>
  <si>
    <t>Bulgaria</t>
  </si>
  <si>
    <t>BUL</t>
  </si>
  <si>
    <t>Uganda</t>
  </si>
  <si>
    <t>UGA</t>
  </si>
  <si>
    <t>Angola</t>
  </si>
  <si>
    <t>ANG</t>
  </si>
  <si>
    <t>Benin</t>
  </si>
  <si>
    <t>BEN</t>
  </si>
  <si>
    <t>Zambia</t>
  </si>
  <si>
    <t>ZAM</t>
  </si>
  <si>
    <t>China PR</t>
  </si>
  <si>
    <t>CHN</t>
  </si>
  <si>
    <t>Bahrain</t>
  </si>
  <si>
    <t>BHR</t>
  </si>
  <si>
    <t>THA</t>
  </si>
  <si>
    <t>Palestine</t>
  </si>
  <si>
    <t>PLE</t>
  </si>
  <si>
    <t>Belarus</t>
  </si>
  <si>
    <t>BLR</t>
  </si>
  <si>
    <t>Guatemala</t>
  </si>
  <si>
    <t>GUA</t>
  </si>
  <si>
    <t>Luxembourg</t>
  </si>
  <si>
    <t>LUX</t>
  </si>
  <si>
    <t>VIE</t>
  </si>
  <si>
    <t>Tajikistan</t>
  </si>
  <si>
    <t>TJK</t>
  </si>
  <si>
    <t>El Salvador</t>
  </si>
  <si>
    <t>SLV</t>
  </si>
  <si>
    <t>Mozambique</t>
  </si>
  <si>
    <t>MOZ</t>
  </si>
  <si>
    <t>Trinidad and Tobago</t>
  </si>
  <si>
    <t>TRI</t>
  </si>
  <si>
    <t>Madagascar</t>
  </si>
  <si>
    <t>MAD</t>
  </si>
  <si>
    <t>Equatorial Guinea</t>
  </si>
  <si>
    <t>EQG</t>
  </si>
  <si>
    <t>Kyrgyz Republic</t>
  </si>
  <si>
    <t>KGZ</t>
  </si>
  <si>
    <t>Armenia</t>
  </si>
  <si>
    <t>ARM</t>
  </si>
  <si>
    <t>Comoros</t>
  </si>
  <si>
    <t>COM</t>
  </si>
  <si>
    <t>Kenya</t>
  </si>
  <si>
    <t>KEN</t>
  </si>
  <si>
    <t>Kazakhstan</t>
  </si>
  <si>
    <t>KAZ</t>
  </si>
  <si>
    <t>Libya</t>
  </si>
  <si>
    <t>LBY</t>
  </si>
  <si>
    <t>Niger</t>
  </si>
  <si>
    <t>NIG</t>
  </si>
  <si>
    <t>Tanzania</t>
  </si>
  <si>
    <t>TAN</t>
  </si>
  <si>
    <t>Lebanon</t>
  </si>
  <si>
    <t>LBN</t>
  </si>
  <si>
    <t>Mauritania</t>
  </si>
  <si>
    <t>MTN</t>
  </si>
  <si>
    <t>The Gambia</t>
  </si>
  <si>
    <t>GAM</t>
  </si>
  <si>
    <t>Sudan</t>
  </si>
  <si>
    <t>SDN</t>
  </si>
  <si>
    <t>Sierra Leone</t>
  </si>
  <si>
    <t>SLE</t>
  </si>
  <si>
    <t>Indonesia</t>
  </si>
  <si>
    <t>IDN</t>
  </si>
  <si>
    <t>Korea DPR</t>
  </si>
  <si>
    <t>PRK</t>
  </si>
  <si>
    <t>Namibia</t>
  </si>
  <si>
    <t>NAM</t>
  </si>
  <si>
    <t>Togo</t>
  </si>
  <si>
    <t>TOG</t>
  </si>
  <si>
    <t>Cyprus</t>
  </si>
  <si>
    <t>CYP</t>
  </si>
  <si>
    <t>Suriname</t>
  </si>
  <si>
    <t>SUR</t>
  </si>
  <si>
    <t>Faroe Islands</t>
  </si>
  <si>
    <t>FRO</t>
  </si>
  <si>
    <t>Azerbaijan</t>
  </si>
  <si>
    <t>AZE</t>
  </si>
  <si>
    <t>Rwanda</t>
  </si>
  <si>
    <t>RWA</t>
  </si>
  <si>
    <t>Estonia</t>
  </si>
  <si>
    <t>EST</t>
  </si>
  <si>
    <t>Malawi</t>
  </si>
  <si>
    <t>MWI</t>
  </si>
  <si>
    <t>Zimbabwe</t>
  </si>
  <si>
    <t>ZIM</t>
  </si>
  <si>
    <t>Nicaragua</t>
  </si>
  <si>
    <t>NCA</t>
  </si>
  <si>
    <t>Guinea-Bissau</t>
  </si>
  <si>
    <t>GNB</t>
  </si>
  <si>
    <t>Kuwait</t>
  </si>
  <si>
    <t>KUW</t>
  </si>
  <si>
    <t>Congo</t>
  </si>
  <si>
    <t>CGO</t>
  </si>
  <si>
    <t>PHI</t>
  </si>
  <si>
    <t>Latvia</t>
  </si>
  <si>
    <t>LVA</t>
  </si>
  <si>
    <t>Malaysia</t>
  </si>
  <si>
    <t>MAS</t>
  </si>
  <si>
    <t>Central African Republic</t>
  </si>
  <si>
    <t>CTA</t>
  </si>
  <si>
    <t>IND</t>
  </si>
  <si>
    <t>Turkmenistan</t>
  </si>
  <si>
    <t>TKM</t>
  </si>
  <si>
    <t>Burundi</t>
  </si>
  <si>
    <t>BDI</t>
  </si>
  <si>
    <t>Ethiopia</t>
  </si>
  <si>
    <t>ETH</t>
  </si>
  <si>
    <t>Dominican Republic</t>
  </si>
  <si>
    <t>DOM</t>
  </si>
  <si>
    <t>Liberia</t>
  </si>
  <si>
    <t>LBR</t>
  </si>
  <si>
    <t>Yemen</t>
  </si>
  <si>
    <t>YEM</t>
  </si>
  <si>
    <t>Lesotho</t>
  </si>
  <si>
    <t>LES</t>
  </si>
  <si>
    <t>Botswana</t>
  </si>
  <si>
    <t>BOT</t>
  </si>
  <si>
    <t>Lithuania</t>
  </si>
  <si>
    <t>LTU</t>
  </si>
  <si>
    <t>Singapore</t>
  </si>
  <si>
    <t>SGP</t>
  </si>
  <si>
    <t>Guyana</t>
  </si>
  <si>
    <t>GUY</t>
  </si>
  <si>
    <t>New Caledonia</t>
  </si>
  <si>
    <t>NCL</t>
  </si>
  <si>
    <t>St Kitts and Nevis</t>
  </si>
  <si>
    <t>SKN</t>
  </si>
  <si>
    <t>Solomon Islands</t>
  </si>
  <si>
    <t>SOL</t>
  </si>
  <si>
    <t>Hong Kong, China</t>
  </si>
  <si>
    <t>HKG</t>
  </si>
  <si>
    <t>Fiji</t>
  </si>
  <si>
    <t>FIJ</t>
  </si>
  <si>
    <t>Puerto Rico</t>
  </si>
  <si>
    <t>PUR</t>
  </si>
  <si>
    <t>Tahiti</t>
  </si>
  <si>
    <t>TAH</t>
  </si>
  <si>
    <t>MYA</t>
  </si>
  <si>
    <t>Moldova</t>
  </si>
  <si>
    <t>MDA</t>
  </si>
  <si>
    <t>Vanuatu</t>
  </si>
  <si>
    <t>VAN</t>
  </si>
  <si>
    <t>Malta</t>
  </si>
  <si>
    <t>MLT</t>
  </si>
  <si>
    <t>Antigua and Barbuda</t>
  </si>
  <si>
    <t>ATG</t>
  </si>
  <si>
    <t>Grenada</t>
  </si>
  <si>
    <t>GRN</t>
  </si>
  <si>
    <t>Cuba</t>
  </si>
  <si>
    <t>CUB</t>
  </si>
  <si>
    <t>Eswatini</t>
  </si>
  <si>
    <t>SWZ</t>
  </si>
  <si>
    <t>St Lucia</t>
  </si>
  <si>
    <t>LCA</t>
  </si>
  <si>
    <t>Bermuda</t>
  </si>
  <si>
    <t>BER</t>
  </si>
  <si>
    <t>Papua New Guinea</t>
  </si>
  <si>
    <t>PNG</t>
  </si>
  <si>
    <t>Afghanistan</t>
  </si>
  <si>
    <t>AFG</t>
  </si>
  <si>
    <t>South Sudan</t>
  </si>
  <si>
    <t>SSD</t>
  </si>
  <si>
    <t>St Vincent and the Grenadines</t>
  </si>
  <si>
    <t>VIN</t>
  </si>
  <si>
    <t>Andorra</t>
  </si>
  <si>
    <t>AND</t>
  </si>
  <si>
    <t>Maldives</t>
  </si>
  <si>
    <t>MDV</t>
  </si>
  <si>
    <t>Chinese Taipei</t>
  </si>
  <si>
    <t>TPE</t>
  </si>
  <si>
    <t>Montserrat</t>
  </si>
  <si>
    <t>MSR</t>
  </si>
  <si>
    <t>Cambodia</t>
  </si>
  <si>
    <t>CAM</t>
  </si>
  <si>
    <t>NEP</t>
  </si>
  <si>
    <t>Mauritius</t>
  </si>
  <si>
    <t>MRI</t>
  </si>
  <si>
    <t>Barbados</t>
  </si>
  <si>
    <t>BRB</t>
  </si>
  <si>
    <t>Belize</t>
  </si>
  <si>
    <t>BLZ</t>
  </si>
  <si>
    <t>BAN</t>
  </si>
  <si>
    <t>Dominica</t>
  </si>
  <si>
    <t>DMA</t>
  </si>
  <si>
    <t>Chad</t>
  </si>
  <si>
    <t>CHA</t>
  </si>
  <si>
    <t>Eritrea</t>
  </si>
  <si>
    <t>ERI</t>
  </si>
  <si>
    <t>Laos</t>
  </si>
  <si>
    <t>LAO</t>
  </si>
  <si>
    <t>Cook Islands</t>
  </si>
  <si>
    <t>COK</t>
  </si>
  <si>
    <t>Samoa</t>
  </si>
  <si>
    <t>SAM</t>
  </si>
  <si>
    <t>Bhutan</t>
  </si>
  <si>
    <t>BHU</t>
  </si>
  <si>
    <t>Aruba</t>
  </si>
  <si>
    <t>ARU</t>
  </si>
  <si>
    <t>Mongolia</t>
  </si>
  <si>
    <t>MNG</t>
  </si>
  <si>
    <t>Sri Lanka</t>
  </si>
  <si>
    <t>SRI</t>
  </si>
  <si>
    <t>American Samoa</t>
  </si>
  <si>
    <t>ASA</t>
  </si>
  <si>
    <t>Brunei Darussalam</t>
  </si>
  <si>
    <t>BRU</t>
  </si>
  <si>
    <t>Macau</t>
  </si>
  <si>
    <t>MAC</t>
  </si>
  <si>
    <t>São Tomé and Príncipe</t>
  </si>
  <si>
    <t>STP</t>
  </si>
  <si>
    <t>Djibouti</t>
  </si>
  <si>
    <t>DJI</t>
  </si>
  <si>
    <t>Cayman Islands</t>
  </si>
  <si>
    <t>CAY</t>
  </si>
  <si>
    <t>Somalia</t>
  </si>
  <si>
    <t>SOM</t>
  </si>
  <si>
    <t>Pakistan</t>
  </si>
  <si>
    <t>PAK</t>
  </si>
  <si>
    <t>Tonga</t>
  </si>
  <si>
    <t>TGA</t>
  </si>
  <si>
    <t>Timor-Leste</t>
  </si>
  <si>
    <t>TLS</t>
  </si>
  <si>
    <t>Gibraltar</t>
  </si>
  <si>
    <t>GIB</t>
  </si>
  <si>
    <t>Guam</t>
  </si>
  <si>
    <t>GUM</t>
  </si>
  <si>
    <t>Seychelles</t>
  </si>
  <si>
    <t>SEY</t>
  </si>
  <si>
    <t>Turks and Caicos Islands</t>
  </si>
  <si>
    <t>TCA</t>
  </si>
  <si>
    <t>Liechtenstein</t>
  </si>
  <si>
    <t>LIE</t>
  </si>
  <si>
    <t>Bahamas</t>
  </si>
  <si>
    <t>BAH</t>
  </si>
  <si>
    <t>US Virgin Islands</t>
  </si>
  <si>
    <t>VIR</t>
  </si>
  <si>
    <t>British Virgin Islands</t>
  </si>
  <si>
    <t>VGB</t>
  </si>
  <si>
    <t>Anguilla</t>
  </si>
  <si>
    <t>AIA</t>
  </si>
  <si>
    <t>San Marino</t>
  </si>
  <si>
    <t>SMR</t>
  </si>
  <si>
    <t>rank Xlookup</t>
  </si>
  <si>
    <t>rank Vloolup</t>
  </si>
  <si>
    <t>Hong Kong</t>
  </si>
  <si>
    <t>Max Point</t>
  </si>
  <si>
    <t>Median</t>
  </si>
  <si>
    <t>Min Points</t>
  </si>
  <si>
    <t>Average Points</t>
  </si>
  <si>
    <t>2022_rank</t>
  </si>
  <si>
    <t>2026_rank</t>
  </si>
  <si>
    <t>improve_rank</t>
  </si>
  <si>
    <t>home_team</t>
  </si>
  <si>
    <t>away_team</t>
  </si>
  <si>
    <t>home_score</t>
  </si>
  <si>
    <t>home_xg</t>
  </si>
  <si>
    <t>home_penalty</t>
  </si>
  <si>
    <t>away_score</t>
  </si>
  <si>
    <t>away_xg</t>
  </si>
  <si>
    <t>away_penalty</t>
  </si>
  <si>
    <t>home_manager</t>
  </si>
  <si>
    <t>home_captain</t>
  </si>
  <si>
    <t>away_manager</t>
  </si>
  <si>
    <t>away_captain</t>
  </si>
  <si>
    <t>Venue</t>
  </si>
  <si>
    <t>Officials</t>
  </si>
  <si>
    <t>Round</t>
  </si>
  <si>
    <t>Date</t>
  </si>
  <si>
    <t>Score</t>
  </si>
  <si>
    <t>Referee</t>
  </si>
  <si>
    <t>Notes</t>
  </si>
  <si>
    <t>home_goal</t>
  </si>
  <si>
    <t>away_goal</t>
  </si>
  <si>
    <t>home_goal_long</t>
  </si>
  <si>
    <t>away_goal_long</t>
  </si>
  <si>
    <t>home_own_goal</t>
  </si>
  <si>
    <t>away_own_goal</t>
  </si>
  <si>
    <t>home_penalty_goal</t>
  </si>
  <si>
    <t>away_penalty_goal</t>
  </si>
  <si>
    <t>home_penalty_miss_long</t>
  </si>
  <si>
    <t>away_penalty_miss_long</t>
  </si>
  <si>
    <t>home_penalty_shootout_goal_long</t>
  </si>
  <si>
    <t>away_penalty_shootout_goal_long</t>
  </si>
  <si>
    <t>home_penalty_shootout_miss_long</t>
  </si>
  <si>
    <t>away_penalty_shootout_miss_long</t>
  </si>
  <si>
    <t>home_red_card</t>
  </si>
  <si>
    <t>away_red_card</t>
  </si>
  <si>
    <t>home_yellow_red_card</t>
  </si>
  <si>
    <t>away_yellow_red_card</t>
  </si>
  <si>
    <t>home_yellow_card_long</t>
  </si>
  <si>
    <t>away_yellow_card_long</t>
  </si>
  <si>
    <t>home_substitute_in_long</t>
  </si>
  <si>
    <t>away_substitute_in_long</t>
  </si>
  <si>
    <t>Lionel Scaloni</t>
  </si>
  <si>
    <t>Lionel Messi</t>
  </si>
  <si>
    <t>Didier Deschamps</t>
  </si>
  <si>
    <t>Hugo Lloris</t>
  </si>
  <si>
    <t>Lusail Iconic Stadium, Lusail</t>
  </si>
  <si>
    <t>Szymon Marciniak (Referee) · Paweł Sokolnicki (AR1) · Tomasz Listkiewicz (AR2) · Ismail Elfath (4th) · Tomasz Kwiatkowski (VAR)</t>
  </si>
  <si>
    <t>Final</t>
  </si>
  <si>
    <t>(4) 3–3 (2)</t>
  </si>
  <si>
    <t>Szymon Marciniak</t>
  </si>
  <si>
    <t>Argentina won on penalty kicks following extra time</t>
  </si>
  <si>
    <t>Ángel Di María · 36|Lionel Messi · 108</t>
  </si>
  <si>
    <t>Kylian Mbappé · 81</t>
  </si>
  <si>
    <t>['36&amp;rsquor;|2:0|Ángel Di María|Assist:|Alexis Mac Allister', '108&amp;rsquor;|3:2|Lionel Messi']</t>
  </si>
  <si>
    <t>['81&amp;rsquor;|2:2|Kylian Mbappé|Assist:|Marcus Thuram']</t>
  </si>
  <si>
    <t>Lionel Messi (P) · 23</t>
  </si>
  <si>
    <t>Kylian Mbappé (P) · 80|Kylian Mbappé (P) · 118</t>
  </si>
  <si>
    <t>['2|1:1|Lionel Messi', '4|2:1|Paulo Dybala', '6|3:1|Leandro Paredes', '8|4:2|Gonzalo Montiel']</t>
  </si>
  <si>
    <t>['1|0:1|Kylian Mbappé', '7|3:2|Randal Kolo Muani']</t>
  </si>
  <si>
    <t>['3|1:1|Kingsley Coman', '5|2:1|Aurélien Tchouaméni']</t>
  </si>
  <si>
    <t>['45+7&amp;rsquor;|2:0|Enzo Fernández', '90+8&amp;rsquor;|2:2|Marcos Acuña', '114&amp;rsquor;|3:2|Leandro Paredes', '116&amp;rsquor;|3:2|Gonzalo Montiel', '120+4&amp;rsquor;|3:3|Emiliano Martínez']</t>
  </si>
  <si>
    <t>['55&amp;rsquor;|2:0|Adrien Rabiot', '87&amp;rsquor;|2:2|Marcus Thuram', '90+5&amp;rsquor;|2:2|Olivier Giroud']</t>
  </si>
  <si>
    <t>['64&amp;rsquor;|2:0|Marcos Acuña|for Ángel Di María', '91&amp;rsquor;|2:2|Gonzalo Montiel|for Nahuel Molina', '102&amp;rsquor;|2:2|Leandro Paredes|for Rodrigo De Paul', '103&amp;rsquor;|2:2|Lautaro Martínez|for Julián Álvarez', '116&amp;rsquor;|3:2|Germán Pezzella|for Alexis Mac Allister', '120+1&amp;rsquor;|3:3|Paulo Dybala|for Nicolás Tagliafico']</t>
  </si>
  <si>
    <t>['41&amp;rsquor;|2:0|Randal Kolo Muani|for Ousmane Dembélé', '41&amp;rsquor;|2:0|Marcus Thuram|for Olivier Giroud', '71&amp;rsquor;|2:0|Eduardo Camavinga|for Theo Hernández', '71&amp;rsquor;|2:0|Kingsley Coman|for Antoine Griezmann', '96&amp;rsquor;|2:2|Youssouf Fofana|for Adrien Rabiot', '113&amp;rsquor;|3:2|Ibrahima Konaté|for Raphaël Varane', '120+1&amp;rsquor;|3:3|Axel Disasi|for Jules Koundé']</t>
  </si>
  <si>
    <t>Zlatko Dalić</t>
  </si>
  <si>
    <t>Luka Modrić</t>
  </si>
  <si>
    <t>Hoalid Regragui</t>
  </si>
  <si>
    <t>Hakim Ziyech</t>
  </si>
  <si>
    <t>Khalifa International Stadium, Doha</t>
  </si>
  <si>
    <t>Abdulrahman Ibrahim Al Jassim (Referee) · Taleb Salem Al Marri (AR1) · Saoud Ahmed Al Maqaleh (AR2) · Raphael Claus (4th) · Julio Bascuñán (VAR)</t>
  </si>
  <si>
    <t>Third-place match</t>
  </si>
  <si>
    <t>2–1</t>
  </si>
  <si>
    <t>Abdulrahman Ibrahim Al Jassim</t>
  </si>
  <si>
    <t>Joško Gvardiol · 7|Mislav Oršić · 42</t>
  </si>
  <si>
    <t>Achraf Dari · 9</t>
  </si>
  <si>
    <t>['7&amp;rsquor;|1:0|Joško Gvardiol|Assist:|Ivan Perišić', '42&amp;rsquor;|2:1|Mislav Oršić|Assist:|Marko Livaja']</t>
  </si>
  <si>
    <t>['9&amp;rsquor;|1:1|Achraf Dari']</t>
  </si>
  <si>
    <t>['69&amp;rsquor;|2:1|Azzedine Ounahi', '84&amp;rsquor;|2:1|Selim Amallah']</t>
  </si>
  <si>
    <t>['61&amp;rsquor;|2:1|Nikola Vlašić|for Andrej Kramarić', '66&amp;rsquor;|2:1|Bruno Petković|for Marko Livaja', '66&amp;rsquor;|2:1|Mario Pašalić|for Lovro Majer', '90+5&amp;rsquor;|2:1|Kristijan Jakić|for Mislav Oršić']</t>
  </si>
  <si>
    <t>['46&amp;rsquor;|2:1|Ilias Chair|for Abdelhamid Sabiri', '56&amp;rsquor;|2:1|Azzedine Ounahi|for Bilal El Khannous', '64&amp;rsquor;|2:1|Anass Zaroury|for Sofiane Boufal', '64&amp;rsquor;|2:1|Badr Banoun|for Achraf Dari', '66&amp;rsquor;|2:1|Selim Amallah|for Jawad El Yamiq']</t>
  </si>
  <si>
    <t>Romain Saïss</t>
  </si>
  <si>
    <t>Al Bayt Stadium, Al Khor</t>
  </si>
  <si>
    <t>César Arturo Ramos (Referee) · Alberto Morín (AR1) · Miguel Ángel Hernández (AR2) · Jesús Valenzuela (4th) · Drew Fischer (VAR)</t>
  </si>
  <si>
    <t>Semi-finals</t>
  </si>
  <si>
    <t>2–0</t>
  </si>
  <si>
    <t>César Arturo Ramos</t>
  </si>
  <si>
    <t>Theo Hernández · 5|Randal Kolo Muani · 79</t>
  </si>
  <si>
    <t>['5&amp;rsquor;|1:0|Theo Hernández', '79&amp;rsquor;|2:0|Randal Kolo Muani']</t>
  </si>
  <si>
    <t>['27&amp;rsquor;|1:0|Sofiane Boufal']</t>
  </si>
  <si>
    <t>['65&amp;rsquor;|1:0|Marcus Thuram|for Olivier Giroud', '79&amp;rsquor;|1:0|Randal Kolo Muani|for Ousmane Dembélé']</t>
  </si>
  <si>
    <t>['21&amp;rsquor;|1:0|Selim Amallah|for Romain Saïss', '46&amp;rsquor;|1:0|Yahya Attiat Allah|for Noussair Mazraoui', '66&amp;rsquor;|1:0|Abderrazak Hamdallah|for Youssef En-Nesyri', '66&amp;rsquor;|1:0|Zakaria Aboukhlal|for Sofiane Boufal', '78&amp;rsquor;|1:0|Abdessamad Ezzalzouli|for Selim Amallah']</t>
  </si>
  <si>
    <t>Daniele Orsato (Referee) · Ciro Carbone (AR1) · Alessandro Giallatini (AR2) · Mohammed Abdulla Hassan (4th) · Massimiliano Irrati (VAR)</t>
  </si>
  <si>
    <t>3–0</t>
  </si>
  <si>
    <t>Daniele Orsato</t>
  </si>
  <si>
    <t>Julián Álvarez · 39|Julián Álvarez · 69</t>
  </si>
  <si>
    <t>['39&amp;rsquor;|2:0|Julián Álvarez', '69&amp;rsquor;|3:0|Julián Álvarez|Assist:|Lionel Messi']</t>
  </si>
  <si>
    <t>Lionel Messi (P) · 34</t>
  </si>
  <si>
    <t>['68&amp;rsquor;|2:0|Cristian Romero', '71&amp;rsquor;|3:0|Nicolás Otamendi']</t>
  </si>
  <si>
    <t>['32&amp;rsquor;|0:0|Mateo Kovačić', '32&amp;rsquor;|0:0|Dominik Livaković']</t>
  </si>
  <si>
    <t>['62&amp;rsquor;|2:0|Lisandro Martínez|for Leandro Paredes', '74&amp;rsquor;|3:0|Exequiel Palacios|for Rodrigo De Paul', '74&amp;rsquor;|3:0|Paulo Dybala|for Julián Álvarez', '86&amp;rsquor;|3:0|Ángel Correa|for Alexis Mac Allister', '86&amp;rsquor;|3:0|Juan Foyth|for Nahuel Molina']</t>
  </si>
  <si>
    <t>['46&amp;rsquor;|2:0|Mislav Oršić|for Borna Sosa', '46&amp;rsquor;|2:0|Nikola Vlašić|for Mario Pašalić', '50&amp;rsquor;|2:0|Bruno Petković|for Marcelo Brozović', '72&amp;rsquor;|3:0|Marko Livaja|for Andrej Kramarić', '81&amp;rsquor;|3:0|Lovro Majer|for Luka Modrić']</t>
  </si>
  <si>
    <t>Fernando Santos</t>
  </si>
  <si>
    <t>Pepe</t>
  </si>
  <si>
    <t>Al Thumama Stadium, ath-Thumāma</t>
  </si>
  <si>
    <t>Facundo Tello (Referee) · Ezequiel Brailovsky (AR1) · Gabriel Chade (AR2) · Iván Barton (4th) · Mauro Vigliano (VAR)</t>
  </si>
  <si>
    <t>Quarter-finals</t>
  </si>
  <si>
    <t>1–0</t>
  </si>
  <si>
    <t>Facundo Tello</t>
  </si>
  <si>
    <t>Youssef En-Nesyri · 42</t>
  </si>
  <si>
    <t>['42&amp;rsquor;|1:0|Youssef En-Nesyri|Assist:|Yahya Attiat Allah']</t>
  </si>
  <si>
    <t>Walid Cheddira · 90+3</t>
  </si>
  <si>
    <t>['70&amp;rsquor;|1:0|Achraf Dari', '90+1&amp;rsquor;|1:0|Walid Cheddira']</t>
  </si>
  <si>
    <t>['87&amp;rsquor;|1:0|Vitinha']</t>
  </si>
  <si>
    <t>['57&amp;rsquor;|1:0|Achraf Dari|for Romain Saïss', '65&amp;rsquor;|1:0|Walid Cheddira|for Selim Amallah', '65&amp;rsquor;|1:0|Badr Banoun|for Youssef En-Nesyri', '81&amp;rsquor;|1:0|Zakaria Aboukhlal|for Hakim Ziyech', '82&amp;rsquor;|1:0|Yahya Jabrane|for Sofiane Boufal']</t>
  </si>
  <si>
    <t>['51&amp;rsquor;|1:0|João Cancelo|for Raphaël Guerreiro', '51&amp;rsquor;|1:0|Cristiano Ronaldo|for Rúben Neves', '69&amp;rsquor;|1:0|Vitinha|for Otávio', '69&amp;rsquor;|1:0|Rafael Leão|for Gonçalo Ramos', '79&amp;rsquor;|1:0|Ricardo Horta|for Diogo Dalot']</t>
  </si>
  <si>
    <t>Gareth Southgate</t>
  </si>
  <si>
    <t>Harry Kane</t>
  </si>
  <si>
    <t>Wilton Sampaio (Referee) · Bruno Boschilia (AR1) · Bruno Pires (AR2) · Mohammed Abdulla Hassan (4th) · Nicolás Gallo (VAR)</t>
  </si>
  <si>
    <t>1–2</t>
  </si>
  <si>
    <t>Wilton Sampaio</t>
  </si>
  <si>
    <t>Aurélien Tchouaméni · 17|Olivier Giroud · 78</t>
  </si>
  <si>
    <t>['17&amp;rsquor;|0:1|Aurélien Tchouaméni|Assist:|Antoine Griezmann', '78&amp;rsquor;|1:2|Olivier Giroud|Assist:|Antoine Griezmann']</t>
  </si>
  <si>
    <t>Harry Kane (P) · 54</t>
  </si>
  <si>
    <t>['84&amp;rsquor;|1:2|Harry Kane|Penalty Miss']</t>
  </si>
  <si>
    <t>['90&amp;rsquor;|1:2|Harry Maguire']</t>
  </si>
  <si>
    <t>['43&amp;rsquor;|0:1|Antoine Griezmann', '47&amp;rsquor;|0:1|Ousmane Dembélé', '82&amp;rsquor;|1:2|Theo Hernández']</t>
  </si>
  <si>
    <t>['79&amp;rsquor;|1:2|Raheem Sterling|for Bukayo Saka', '79&amp;rsquor;|1:2|Mason Mount|for Jordan Henderson', '85&amp;rsquor;|1:2|Marcus Rashford|for Phil Foden', '90+8&amp;rsquor;|1:2|Jack Grealish|for John Stones']</t>
  </si>
  <si>
    <t>['79&amp;rsquor;|1:2|Kingsley Coman|for Ousmane Dembélé']</t>
  </si>
  <si>
    <t>Tite</t>
  </si>
  <si>
    <t>Thiago Silva</t>
  </si>
  <si>
    <t>Education City Stadium, Doha</t>
  </si>
  <si>
    <t>Michael Oliver (Referee) · Stuart Burt (AR1) · Gary Beswick (AR2) · Mustapha Ghorbal (4th) · Pol van Boekel (VAR)</t>
  </si>
  <si>
    <t>(4) 1–1 (2)</t>
  </si>
  <si>
    <t>Michael Oliver</t>
  </si>
  <si>
    <t>Croatia won on penalty kicks following extra time</t>
  </si>
  <si>
    <t>Bruno Petković · 117</t>
  </si>
  <si>
    <t>Neymar · 105+1</t>
  </si>
  <si>
    <t>['117&amp;rsquor;|1:1|Bruno Petković|Assist:|Mislav Oršić']</t>
  </si>
  <si>
    <t>['105+1&amp;rsquor;|0:1|Neymar|Assist:|Lucas Paquetá']</t>
  </si>
  <si>
    <t>['1|1:0|Nikola Vlašić', '3|2:0|Lovro Majer', '5|3:1|Luka Modrić', '7|4:2|Mislav Oršić']</t>
  </si>
  <si>
    <t>['4|2:1|Casemiro', '6|3:2|Pedro']</t>
  </si>
  <si>
    <t>['2|1:0|Rodrygo', '8|4:2|Marquinhos']</t>
  </si>
  <si>
    <t>['31&amp;rsquor;|0:0|Marcelo Brozović', '117&amp;rsquor;|1:1|Bruno Petković']</t>
  </si>
  <si>
    <t>['25&amp;rsquor;|0:0|Danilo', '68&amp;rsquor;|0:0|Casemiro', '77&amp;rsquor;|0:0|Marquinhos']</t>
  </si>
  <si>
    <t>['72&amp;rsquor;|0:0|Nikola Vlašić|for Mario Pašalić', '72&amp;rsquor;|0:0|Bruno Petković|for Andrej Kramarić', '106&amp;rsquor;|0:1|Lovro Majer|for Mateo Kovačić', '110&amp;rsquor;|0:1|Ante Budimir|for Borna Sosa', '114&amp;rsquor;|0:1|Mislav Oršić|for Marcelo Brozović']</t>
  </si>
  <si>
    <t>['56&amp;rsquor;|0:0|Antony|for Raphinha', '64&amp;rsquor;|0:0|Rodrygo|for Vinicius Júnior', '84&amp;rsquor;|0:0|Pedro|for Richarlison', '106&amp;rsquor;|0:1|Alex Sandro|for Éder Militão', '106&amp;rsquor;|0:1|Fred|for Lucas Paquetá']</t>
  </si>
  <si>
    <t>Louis van Gaal</t>
  </si>
  <si>
    <t>Virgil van Dijk</t>
  </si>
  <si>
    <t>Antonio Matéu (Referee) · Pau Cebrián (AR1) · Roberto Díaz (AR2) · Victor Gomes (4th) · Alejandro Hernández (VAR)</t>
  </si>
  <si>
    <t>(3) 2–2 (4)</t>
  </si>
  <si>
    <t>Antonio Matéu</t>
  </si>
  <si>
    <t>Wout Weghorst · 83|Wout Weghorst · 90+11</t>
  </si>
  <si>
    <t>Nahuel Molina · 35</t>
  </si>
  <si>
    <t>['83&amp;rsquor;|1:2|Wout Weghorst|Assist:|Steven Berghuis', '90+11&amp;rsquor;|2:2|Wout Weghorst|Assist:|Teun Koopmeiners']</t>
  </si>
  <si>
    <t>['35&amp;rsquor;|0:1|Nahuel Molina|Assist:|Lionel Messi']</t>
  </si>
  <si>
    <t>Lionel Messi (P) · 73</t>
  </si>
  <si>
    <t>['5|1:2|Teun Koopmeiners', '7|2:3|Wout Weghorst', '9|3:3|Luuk de Jong']</t>
  </si>
  <si>
    <t>['2|0:1|Lionel Messi', '4|0:2|Leandro Paredes', '6|1:3|Gonzalo Montiel', '10|3:4|Lautaro Martínez']</t>
  </si>
  <si>
    <t>['1|0:0|Virgil van Dijk', '3|0:1|Steven Berghuis']</t>
  </si>
  <si>
    <t>['8|2:3|Enzo Fernández']</t>
  </si>
  <si>
    <t>Denzel Dumfries · 120+3</t>
  </si>
  <si>
    <t>['43&amp;rsquor;|0:1|Jurriën Timber', '45+2&amp;rsquor;|0:1|Wout Weghorst', '75&amp;rsquor;|0:2|Memphis', '88&amp;rsquor;|1:2|Steven Berghuis', '90+12&amp;rsquor;|2:2|Steven Bergwijn', '120+2&amp;rsquor;|2:2|Noa Lang', '120+2&amp;rsquor;|2:2|Denzel Dumfries']</t>
  </si>
  <si>
    <t>['31&amp;rsquor;|0:0|Walter Samuel', '43&amp;rsquor;|0:1|Marcos Acuña', '45&amp;rsquor;|0:1|Cristian Romero', '75&amp;rsquor;|0:2|Lisandro Martínez', '89&amp;rsquor;|1:2|Leandro Paredes', '90&amp;rsquor;|1:2|Lionel Scaloni', '90+10&amp;rsquor;|1:2|Lionel Messi', '90+12&amp;rsquor;|2:2|Nicolás Otamendi', '109&amp;rsquor;|2:2|Gonzalo Montiel', '112&amp;rsquor;|2:2|Germán Pezzella']</t>
  </si>
  <si>
    <t>['46&amp;rsquor;|0:1|Steven Berghuis|for Steven Bergwijn', '46&amp;rsquor;|0:1|Teun Koopmeiners|for Marten de Roon', '64&amp;rsquor;|0:1|Luuk de Jong|for Daley Blind', '78&amp;rsquor;|0:2|Wout Weghorst|for Memphis', '113&amp;rsquor;|2:2|Noa Lang|for Cody Gakpo']</t>
  </si>
  <si>
    <t>['66&amp;rsquor;|0:1|Leandro Paredes|for Rodrigo De Paul', '78&amp;rsquor;|0:2|Nicolás Tagliafico|for Marcos Acuña', '78&amp;rsquor;|0:2|Germán Pezzella|for Cristian Romero', '82&amp;rsquor;|0:2|Lautaro Martínez|for Julián Álvarez', '106&amp;rsquor;|2:2|Gonzalo Montiel|for Nahuel Molina', '112&amp;rsquor;|2:2|Ángel Di María|for Lisandro Martínez']</t>
  </si>
  <si>
    <t>Luis Enrique</t>
  </si>
  <si>
    <t>Sergio Busquets</t>
  </si>
  <si>
    <t>Fernando Rapallini (Referee) · Juan Pablo Belatti (AR1) · Diego Bonfá (AR2) · Raphael Claus (4th) · Mauro Vigliano (VAR)</t>
  </si>
  <si>
    <t>Round of 16</t>
  </si>
  <si>
    <t>(3) 0–0 (0)</t>
  </si>
  <si>
    <t>Fernando Rapallini</t>
  </si>
  <si>
    <t>Morocco won on penalty kicks following extra time</t>
  </si>
  <si>
    <t>['1|1:0|Abdelhamid Sabiri', '3|2:0|Hakim Ziyech', '7|3:0|Achraf Hakimi']</t>
  </si>
  <si>
    <t>['5|2:0|Badr Banoun']</t>
  </si>
  <si>
    <t>['2|1:0|Pablo Sarabia', '4|2:0|Carlos Soler', '6|2:0|Sergio Busquets']</t>
  </si>
  <si>
    <t>['90&amp;rsquor;|0:0|Romain Saïss']</t>
  </si>
  <si>
    <t>['77&amp;rsquor;|0:0|Aymeric Laporte']</t>
  </si>
  <si>
    <t>['66&amp;rsquor;|0:0|Abdessamad Ezzalzouli|for Sofiane Boufal', '82&amp;rsquor;|0:0|Walid Cheddira|for Selim Amallah', '82&amp;rsquor;|0:0|Abdelhamid Sabiri|for Youssef En-Nesyri', '82&amp;rsquor;|0:0|Yahya Attiat Allah|for Noussair Mazraoui', '84&amp;rsquor;|0:0|Jawad El Yamiq|for Nayef Aguerd', '120&amp;rsquor;|0:0|Badr Banoun|for Azzedine Ounahi']</t>
  </si>
  <si>
    <t>['63&amp;rsquor;|0:0|Álvaro Morata|for Marco Asensio', '63&amp;rsquor;|0:0|Carlos Soler|for Gavi', '75&amp;rsquor;|0:0|Nico Williams|for Ferrán Torres', '98&amp;rsquor;|0:0|Ansu Fati|for Dani Olmo', '98&amp;rsquor;|0:0|Alejandro Balde|for Jordi Alba', '118&amp;rsquor;|0:0|Pablo Sarabia|for Nico Williams']</t>
  </si>
  <si>
    <t>Murat Yakin</t>
  </si>
  <si>
    <t>Granit Xhaka</t>
  </si>
  <si>
    <t>César Arturo Ramos (Referee) · Alberto Morín (AR1) · Miguel Ángel Hernández (AR2) · István Kovács (4th) · Drew Fischer (VAR)</t>
  </si>
  <si>
    <t>6–1</t>
  </si>
  <si>
    <t>Gonçalo Ramos · 17|Pepe · 33|Gonçalo Ramos · 51|Raphaël Guerreiro · 55|Gonçalo Ramos · 67|Rafael Leão · 90+2</t>
  </si>
  <si>
    <t>Manuel Akanji · 58</t>
  </si>
  <si>
    <t>['17&amp;rsquor;|1:0|Gonçalo Ramos|Assist:|João Félix', '33&amp;rsquor;|2:0|Pepe|Assist:|Bruno Fernandes', '51&amp;rsquor;|3:0|Gonçalo Ramos|Assist:|Diogo Dalot', '55&amp;rsquor;|4:0|Raphaël Guerreiro|Assist:|Gonçalo Ramos', '67&amp;rsquor;|5:1|Gonçalo Ramos|Assist:|João Félix', '90+2&amp;rsquor;|6:1|Rafael Leão|Assist:|Raphaël Guerreiro']</t>
  </si>
  <si>
    <t>['58&amp;rsquor;|4:1|Manuel Akanji']</t>
  </si>
  <si>
    <t>['43&amp;rsquor;|2:0|Fabian Schär', '59&amp;rsquor;|4:1|Eray Cömert']</t>
  </si>
  <si>
    <t>['73&amp;rsquor;|5:1|Cristiano Ronaldo|for Gonçalo Ramos', '74&amp;rsquor;|5:1|Ricardo Horta|for João Félix', '74&amp;rsquor;|5:1|Vitinha|for Otávio', '81&amp;rsquor;|5:1|Rúben Neves|for Bernardo Silva', '87&amp;rsquor;|5:1|Rafael Leão|for Bruno Fernandes']</t>
  </si>
  <si>
    <t>['46&amp;rsquor;|2:0|Eray Cömert|for Fabian Schär', '54&amp;rsquor;|3:0|Denis Zakaria|for Remo Freuler', '54&amp;rsquor;|3:0|Haris Seferović|for Djibril Sow', '66&amp;rsquor;|4:1|Noah Okafor|for Ruben Vargas', '89&amp;rsquor;|5:1|Ardon Jasari|for Breel Embolo']</t>
  </si>
  <si>
    <t>Hajime Moriyasu</t>
  </si>
  <si>
    <t>Maya Yoshida</t>
  </si>
  <si>
    <t>Al Janoub Stadium, Al Wakrah</t>
  </si>
  <si>
    <t>Ismail Elfath (Referee) · Corey Parker (AR1) · Kyle Atkins (AR2) · Mustapha Ghorbal (4th) · Nicolás Gallo (VAR)</t>
  </si>
  <si>
    <t>(1) 1–1 (3)</t>
  </si>
  <si>
    <t>Ismail Elfath</t>
  </si>
  <si>
    <t>Daizen Maeda · 43</t>
  </si>
  <si>
    <t>Ivan Perišić · 55</t>
  </si>
  <si>
    <t>['43&amp;rsquor;|1:0|Daizen Maeda|Assist:|Maya Yoshida']</t>
  </si>
  <si>
    <t>['55&amp;rsquor;|1:1|Ivan Perišić|Assist:|Dejan Lovren']</t>
  </si>
  <si>
    <t>['5|1:2|Takuma Asano']</t>
  </si>
  <si>
    <t>['2|0:1|Nikola Vlašić', '4|0:2|Marcelo Brozović', '8|1:3|Mario Pašalić']</t>
  </si>
  <si>
    <t>['1|0:0|Takumi Minamino', '3|0:1|Kaoru Mitoma', '7|1:2|Maya Yoshida']</t>
  </si>
  <si>
    <t>['6|1:2|Marko Livaja']</t>
  </si>
  <si>
    <t>['90&amp;rsquor;|1:1|Mateo Kovačić', '116&amp;rsquor;|1:1|Borna Barišić']</t>
  </si>
  <si>
    <t>['64&amp;rsquor;|1:1|Takuma Asano|for Daizen Maeda', '64&amp;rsquor;|1:1|Kaoru Mitoma|for Yuto Nagatomo', '75&amp;rsquor;|1:1|Hiroki Sakai|for Daichi Kamada', '87&amp;rsquor;|1:1|Takumi Minamino|for Ritsu Doan', '106&amp;rsquor;|1:1|Ao Tanaka|for Hidemasa Morita']</t>
  </si>
  <si>
    <t>['62&amp;rsquor;|1:1|Ante Budimir|for Bruno Petković', '68&amp;rsquor;|1:1|Mario Pašalić|for Andrej Kramarić', '99&amp;rsquor;|1:1|Nikola Vlašić|for Mateo Kovačić', '99&amp;rsquor;|1:1|Lovro Majer|for Luka Modrić', '106&amp;rsquor;|1:1|Marko Livaja|for Ante Budimir', '106&amp;rsquor;|1:1|Mislav Oršić|for Ivan Perišić']</t>
  </si>
  <si>
    <t>Paulo Bento</t>
  </si>
  <si>
    <t>Son Heung-min</t>
  </si>
  <si>
    <t>Stadium 974, Doha</t>
  </si>
  <si>
    <t>Clément Turpin (Referee) · Nicolas Danos (AR1) · Cyril Gringore (AR2) · Slavko Vinčič (4th) · Jérôme Brisard (VAR)</t>
  </si>
  <si>
    <t>4–1</t>
  </si>
  <si>
    <t>Clément Turpin</t>
  </si>
  <si>
    <t>Vinicius Júnior · 7|Richarlison · 29|Lucas Paquetá · 36</t>
  </si>
  <si>
    <t>Paik Seung-ho · 76</t>
  </si>
  <si>
    <t>['7&amp;rsquor;|1:0|Vinicius Júnior|Assist:|Raphinha', '29&amp;rsquor;|3:0|Richarlison|Assist:|Thiago Silva', '36&amp;rsquor;|4:0|Lucas Paquetá|Assist:|Vinicius Júnior']</t>
  </si>
  <si>
    <t>['76&amp;rsquor;|4:1|Paik Seung-ho']</t>
  </si>
  <si>
    <t>Neymar (P) · 11</t>
  </si>
  <si>
    <t>['44&amp;rsquor;|4:0|Jung Woo-young']</t>
  </si>
  <si>
    <t>['63&amp;rsquor;|4:0|Dani Alves|for Éder Militão', '72&amp;rsquor;|4:0|Gleison Bremer|for Danilo', '72&amp;rsquor;|4:0|Martinelli|for Vinicius Júnior', '80&amp;rsquor;|4:1|Wéverton|for Alisson', '81&amp;rsquor;|4:1|Rodrygo|for Neymar']</t>
  </si>
  <si>
    <t>['46&amp;rsquor;|4:0|Hong Chul|for Kim Jin-su', '46&amp;rsquor;|4:0|Son Jun-ho|for Jung Woo-young', '65&amp;rsquor;|4:0|Paik Seung-ho|for Hwang In-beom', '74&amp;rsquor;|4:0|Lee Kangin|for Lee Jae-sung', '80&amp;rsquor;|4:1|Hwang Ui-jo|for Cho Guesung']</t>
  </si>
  <si>
    <t>Czesław Michniewicz</t>
  </si>
  <si>
    <t>Robert Lewandowski</t>
  </si>
  <si>
    <t>Jesús Valenzuela (Referee) · Jorge Urrego (AR1) · Tulio Moreno (AR2) · Kevin Ortega (4th) · Juan Soto (VAR)</t>
  </si>
  <si>
    <t>3–1</t>
  </si>
  <si>
    <t>Jesús Valenzuela</t>
  </si>
  <si>
    <t>Olivier Giroud · 44|Kylian Mbappé · 74|Kylian Mbappé · 90+1</t>
  </si>
  <si>
    <t>['44&amp;rsquor;|1:0|Olivier Giroud|Assist:|Kylian Mbappé', '74&amp;rsquor;|2:0|Kylian Mbappé|Assist:|Ousmane Dembélé', '90+1&amp;rsquor;|3:0|Kylian Mbappé|Assist:|Marcus Thuram']</t>
  </si>
  <si>
    <t>Robert Lewandowski (P) · 90+9</t>
  </si>
  <si>
    <t>['32&amp;rsquor;|0:0|Aurélien Tchouaméni']</t>
  </si>
  <si>
    <t>['47&amp;rsquor;|1:0|Bartosz Bereszyński', '88&amp;rsquor;|2:0|Matty Cash']</t>
  </si>
  <si>
    <t>['66&amp;rsquor;|1:0|Youssouf Fofana|for Aurélien Tchouaméni', '76&amp;rsquor;|2:0|Kingsley Coman|for Ousmane Dembélé', '76&amp;rsquor;|2:0|Marcus Thuram|for Olivier Giroud', '90+2&amp;rsquor;|3:0|Axel Disasi|for Jules Koundé']</t>
  </si>
  <si>
    <t>['64&amp;rsquor;|1:0|Arkadiusz Milik|for Sebastian Szymański', '71&amp;rsquor;|1:0|Nicola Zalewski|for Jakub Kamiński', '71&amp;rsquor;|1:0|Krystian Bielik|for Grzegorz Krychowiak', '86&amp;rsquor;|2:0|Jan Bednarek|for Jakub Kiwior', '87&amp;rsquor;|2:0|Kamil Grosicki|for Przemysław Frankowski']</t>
  </si>
  <si>
    <t>Aliou Cissé</t>
  </si>
  <si>
    <t>Kalidou Koulibaly</t>
  </si>
  <si>
    <t>Iván Barton (Referee) · David Morán (AR1) · Kathryn Nesbitt (AR2) · Said Martínez (4th) · Drew Fischer (VAR)</t>
  </si>
  <si>
    <t>Iván Barton</t>
  </si>
  <si>
    <t>Jordan Henderson · 39|Harry Kane · 45+3|Bukayo Saka · 57</t>
  </si>
  <si>
    <t>['39&amp;rsquor;|1:0|Jordan Henderson|Assist:|Jude Bellingham', '45+3&amp;rsquor;|2:0|Harry Kane|Assist:|Phil Foden', '57&amp;rsquor;|3:0|Bukayo Saka|Assist:|Phil Foden']</t>
  </si>
  <si>
    <t>['76&amp;rsquor;|3:0|Kalidou Koulibaly']</t>
  </si>
  <si>
    <t>['65&amp;rsquor;|3:0|Jack Grealish|for Phil Foden', '65&amp;rsquor;|3:0|Marcus Rashford|for Bukayo Saka', '76&amp;rsquor;|3:0|Eric Dier|for John Stones', '77&amp;rsquor;|3:0|Mason Mount|for Jude Bellingham', '82&amp;rsquor;|3:0|Kalvin Phillips|for Jordan Henderson']</t>
  </si>
  <si>
    <t>['46&amp;rsquor;|2:0|Pape Matar Sarr|for Krépin Diatta', '46&amp;rsquor;|2:0|Pape Gueye|for Pathé Ciss', '46&amp;rsquor;|2:0|Bamba Dieng|for Iliman Ndiaye', '72&amp;rsquor;|3:0|Famara Diedhiou|for Boulaye Dia', '84&amp;rsquor;|3:0|Fodé Ballo-Touré|for Ismail Jakobs']</t>
  </si>
  <si>
    <t>Gregg Berhalter</t>
  </si>
  <si>
    <t>Tyler Adams</t>
  </si>
  <si>
    <t>Wilton Sampaio (Referee) · Bruno Boschilia (AR1) · Bruno Pires (AR2) · Andrés Matonte (4th) · Nicolás Gallo (VAR)</t>
  </si>
  <si>
    <t>Memphis · 10|Daley Blind · 45+1|Denzel Dumfries · 81</t>
  </si>
  <si>
    <t>Haji Wright · 76</t>
  </si>
  <si>
    <t>['10&amp;rsquor;|1:0|Memphis|Assist:|Denzel Dumfries', '45+1&amp;rsquor;|2:0|Daley Blind|Assist:|Denzel Dumfries', '81&amp;rsquor;|3:1|Denzel Dumfries|Assist:|Daley Blind']</t>
  </si>
  <si>
    <t>['76&amp;rsquor;|2:1|Haji Wright|Assist:|Christian Pulisic']</t>
  </si>
  <si>
    <t>['60&amp;rsquor;|2:0|Teun Koopmeiners', '87&amp;rsquor;|3:1|Frenkie de Jong']</t>
  </si>
  <si>
    <t>['46&amp;rsquor;|2:0|Teun Koopmeiners|for Davy Klaassen', '46&amp;rsquor;|2:0|Steven Bergwijn|for Marten de Roon', '82&amp;rsquor;|3:1|Xavi Simons|for Memphis', '90+3&amp;rsquor;|3:1|Matthijs de Ligt|for Nathan Aké', '90+4&amp;rsquor;|3:1|Wout Weghorst|for Cody Gakpo']</t>
  </si>
  <si>
    <t>['46&amp;rsquor;|2:0|Gio Reyna|for Jesús Ferreira', '67&amp;rsquor;|2:0|Brenden Aaronson|for Timothy Weah', '67&amp;rsquor;|2:0|Haji Wright|for Weston McKennie', '75&amp;rsquor;|2:0|DeAndre Yedlin|for Sergiño Dest', '90+2&amp;rsquor;|3:1|Jordan Morris|for Antonee Robinson']</t>
  </si>
  <si>
    <t>Graham Arnold</t>
  </si>
  <si>
    <t>Mathew Ryan</t>
  </si>
  <si>
    <t>Ahmed bin Ali Stadium, Umm al-Afā'ī</t>
  </si>
  <si>
    <t>Szymon Marciniak (Referee) · Paweł Sokolnicki (AR1) · Tomasz Listkiewicz (AR2) · Mario Escobar (4th) · Tomasz Kwiatkowski (VAR)</t>
  </si>
  <si>
    <t>Lionel Messi · 35|Julián Álvarez · 57</t>
  </si>
  <si>
    <t>['35&amp;rsquor;|1:0|Lionel Messi|Assist:|Nicolás Otamendi', '57&amp;rsquor;|2:0|Julián Álvarez']</t>
  </si>
  <si>
    <t>Enzo Fernández (OG) · 77</t>
  </si>
  <si>
    <t>['15&amp;rsquor;|0:0|Jackson Irvine', '38&amp;rsquor;|1:0|Miloš Degenek']</t>
  </si>
  <si>
    <t>['50&amp;rsquor;|1:0|Lisandro Martínez|for Papu Gómez', '71&amp;rsquor;|2:0|Lautaro Martínez|for Julián Álvarez', '72&amp;rsquor;|2:0|Nicolás Tagliafico|for Marcos Acuña', '80&amp;rsquor;|2:1|Exequiel Palacios|for Nahuel Molina', '80&amp;rsquor;|2:1|Gonzalo Montiel|for Alexis Mac Allister']</t>
  </si>
  <si>
    <t>['58&amp;rsquor;|2:0|Craig Goodwin|for Riley McGree', '58&amp;rsquor;|2:0|Ajdin Hrustic|for Keanu Baccus', '72&amp;rsquor;|2:0|Jamie Maclaren|for Mitchell Duke', '72&amp;rsquor;|2:0|Fran Karačić|for Miloš Degenek', '72&amp;rsquor;|2:0|Garang Kuol|for Mathew Leckie']</t>
  </si>
  <si>
    <t>Sérgio Costa</t>
  </si>
  <si>
    <t>Cristiano Ronaldo</t>
  </si>
  <si>
    <t>Facundo Tello (Referee) · Ezequiel Brailovsky (AR1) · Gabriel Chade (AR2) · Maguette Ndiaye (4th) · Nicolás Gallo (VAR)</t>
  </si>
  <si>
    <t>Group stage</t>
  </si>
  <si>
    <t>Kim Young-gwon · 27|Hwang Hee-chan · 90+1</t>
  </si>
  <si>
    <t>Ricardo Horta · 5</t>
  </si>
  <si>
    <t>['27&amp;rsquor;|1:1|Kim Young-gwon', '90+1&amp;rsquor;|2:1|Hwang Hee-chan|Assist:|Son Heung-min']</t>
  </si>
  <si>
    <t>['5&amp;rsquor;|0:1|Ricardo Horta|Assist:|Diogo Dalot']</t>
  </si>
  <si>
    <t>['36&amp;rsquor;|1:1|Lee Kangin', '90+2&amp;rsquor;|2:1|Hwang Hee-chan']</t>
  </si>
  <si>
    <t>['66&amp;rsquor;|1:1|Hwang Hee-chan|for Lee Jae-sung', '81&amp;rsquor;|1:1|Son Jun-ho|for Kim Young-gwon', '81&amp;rsquor;|1:1|Hwang Ui-jo|for Lee Kangin', '90+3&amp;rsquor;|2:1|Cho Yumin|for Cho Guesung']</t>
  </si>
  <si>
    <t>['65&amp;rsquor;|1:1|João Palhinha|for Matheus Nunes', '65&amp;rsquor;|1:1|Rafael Leão|for Rúben Neves', '65&amp;rsquor;|1:1|André Silva|for Cristiano Ronaldo', '82&amp;rsquor;|1:1|Bernardo Silva|for João Mário', '82&amp;rsquor;|1:1|William Carvalho|for Vitinha']</t>
  </si>
  <si>
    <t>Otto Addo</t>
  </si>
  <si>
    <t>André Ayew</t>
  </si>
  <si>
    <t>Diego Alonso</t>
  </si>
  <si>
    <t>Luis Suárez</t>
  </si>
  <si>
    <t>Daniel Siebert (Referee) · Jan Seidel (AR1) · Rafael Foltyn (AR2) · Yoshimi Yamashita (4th) · Bastian Dankert (VAR)</t>
  </si>
  <si>
    <t>0–2</t>
  </si>
  <si>
    <t>Daniel Siebert</t>
  </si>
  <si>
    <t>Giorgian De Arrascaeta · 26|Giorgian De Arrascaeta · 32</t>
  </si>
  <si>
    <t>['26&amp;rsquor;|0:1|Giorgian De Arrascaeta', '32&amp;rsquor;|0:2|Giorgian De Arrascaeta|Assist:|Luis Suárez']</t>
  </si>
  <si>
    <t>['21&amp;rsquor;|0:0|André Ayew|Penalty saved by Sergio Rochet']</t>
  </si>
  <si>
    <t>['86&amp;rsquor;|0:2|Kamaldeen Sulemana', '90+9&amp;rsquor;|0:2|Alidu Seidu']</t>
  </si>
  <si>
    <t>['19&amp;rsquor;|0:0|Darwin Núñez', '60&amp;rsquor;|0:2|Luis Suárez', '87&amp;rsquor;|0:2|Sebastián Coates', '90+10&amp;rsquor;|0:2|Edinson Cavani', '90+10&amp;rsquor;|0:2|José María Giménez']</t>
  </si>
  <si>
    <t>['46&amp;rsquor;|0:2|Kamaldeen Sulemana|for Jordan Ayew', '46&amp;rsquor;|0:2|Osman Bukari|for André Ayew', '72&amp;rsquor;|0:2|Antoine Semenyo|for Daniel Amartey', '72&amp;rsquor;|0:2|Daniel Kyereh|for Salis Abdul Samed', '90+8&amp;rsquor;|0:2|Abdul Fatawu Issahaku|for Kudus Mohammed']</t>
  </si>
  <si>
    <t>['34&amp;rsquor;|0:2|Matías Vecino|for Rodrigo Bentancur', '66&amp;rsquor;|0:2|Edinson Cavani|for Luis Suárez', '66&amp;rsquor;|0:2|Nicolás De La Cruz|for Facundo Pellistri', '80&amp;rsquor;|0:2|Maxi Gómez|for Darwin Núñez', '80&amp;rsquor;|0:2|Agustín Canobbio|for Giorgian De Arrascaeta']</t>
  </si>
  <si>
    <t>Rigobert Song</t>
  </si>
  <si>
    <t>Vincent Aboubakar</t>
  </si>
  <si>
    <t>Dani Alves</t>
  </si>
  <si>
    <t>Ismail Elfath (Referee) · Kyle Atkins (AR1) · Corey Parker (AR2) · Ma Ning (4th) · Alejandro Hernández (VAR)</t>
  </si>
  <si>
    <t>Vincent Aboubakar · 90+2</t>
  </si>
  <si>
    <t>['90+2&amp;rsquor;|1:0|Vincent Aboubakar|Assist:|Andre-Frank Zambo Anguissa']</t>
  </si>
  <si>
    <t>Vincent Aboubakar · 90+3</t>
  </si>
  <si>
    <t>['6&amp;rsquor;|0:0|Nouhou Tolo', '28&amp;rsquor;|0:0|Pierre Kunde', '33&amp;rsquor;|0:0|Collins Fai', '81&amp;rsquor;|0:0|Vincent Aboubakar']</t>
  </si>
  <si>
    <t>['7&amp;rsquor;|0:0|Éder Militão', '85&amp;rsquor;|0:0|Bruno Guimarães']</t>
  </si>
  <si>
    <t>['64&amp;rsquor;|0:0|Karl Toko Ekambi|for Bryan Mbeumo', '66&amp;rsquor;|0:0|Olivier Ntcham|for Pierre Kunde', '86&amp;rsquor;|0:0|Jerome Ngom Mbekeli|for Moumi Ngamaleu']</t>
  </si>
  <si>
    <t>['55&amp;rsquor;|0:0|Everton Ribeiro|for Rodrygo', '55&amp;rsquor;|0:0|Marquinhos|for Alex Telles', '55&amp;rsquor;|0:0|Bruno Guimarães|for Fred', '64&amp;rsquor;|0:0|Pedro|for Gabriel Jesus', '79&amp;rsquor;|0:0|Raphinha|for Antony']</t>
  </si>
  <si>
    <t>Dragan Stojković</t>
  </si>
  <si>
    <t>Dušan Tadić</t>
  </si>
  <si>
    <t>Fernando Rapallini (Referee) · Juan Pablo Belatti (AR1) · Diego Bonfá (AR2) · Kevin Ortega (4th) · Mauro Vigliano (VAR)</t>
  </si>
  <si>
    <t>2–3</t>
  </si>
  <si>
    <t>Aleksandar Mitrović · 26|Dušan Vlahović · 35</t>
  </si>
  <si>
    <t>Xherdan Shaqiri · 20|Breel Embolo · 44|Remo Freuler · 48</t>
  </si>
  <si>
    <t>['26&amp;rsquor;|1:1|Aleksandar Mitrović|Assist:|Dušan Tadić', '35&amp;rsquor;|2:1|Dušan Vlahović']</t>
  </si>
  <si>
    <t>['20&amp;rsquor;|0:1|Xherdan Shaqiri|Assist:|Djibril Sow', '44&amp;rsquor;|2:2|Breel Embolo|Assist:|Silvan Widmer', '48&amp;rsquor;|2:3|Remo Freuler|Assist:|Ruben Vargas']</t>
  </si>
  <si>
    <t>['47&amp;rsquor;|2:2|Sergej Milinković-Savić', '56&amp;rsquor;|2:3|Strahinja Pavlović', '66&amp;rsquor;|2:3|Predrag Rajković', '81&amp;rsquor;|2:3|Nemanja Gudelj', '82&amp;rsquor;|2:3|Aleksandar Mitrović', '90+5&amp;rsquor;|2:3|Nikola Milenković', '90+10&amp;rsquor;|2:3|Saša Lukić']</t>
  </si>
  <si>
    <t>['15&amp;rsquor;|0:0|Silvan Widmer', '34&amp;rsquor;|1:1|Ruben Vargas', '90+5&amp;rsquor;|2:3|Granit Xhaka', '90+9&amp;rsquor;|2:3|Fabian Schär']</t>
  </si>
  <si>
    <t>['55&amp;rsquor;|2:3|Nemanja Gudelj|for Miloš Veljković', '55&amp;rsquor;|2:3|Luka Jović|for Dušan Vlahović', '67&amp;rsquor;|2:3|Nemanja Maksimović|for Sergej Milinković-Savić', '78&amp;rsquor;|2:3|Filip Đuričić|for Dušan Tadić', '78&amp;rsquor;|2:3|Nemanja Radonjić|for Andrija Živković']</t>
  </si>
  <si>
    <t>['68&amp;rsquor;|2:3|Edimilson Fernandes|for Djibril Sow', '69&amp;rsquor;|2:3|Denis Zakaria|for Xherdan Shaqiri', '83&amp;rsquor;|2:3|Christian Fassnacht|for Ruben Vargas', '90+6&amp;rsquor;|2:3|Noah Okafor|for Breel Embolo']</t>
  </si>
  <si>
    <t>John Herdman</t>
  </si>
  <si>
    <t>Milan Borjan</t>
  </si>
  <si>
    <t>Raphael Claus (Referee) · Rodrigo Correa (AR1) · Danilo Manis (AR2) · Yoshimi Yamashita (4th) · Julio Bascuñán (VAR)</t>
  </si>
  <si>
    <t>Raphael Claus</t>
  </si>
  <si>
    <t>Hakim Ziyech · 4|Youssef En-Nesyri · 23</t>
  </si>
  <si>
    <t>['4&amp;rsquor;|0:1|Hakim Ziyech', '23&amp;rsquor;|0:2|Youssef En-Nesyri|Assist:|Achraf Hakimi']</t>
  </si>
  <si>
    <t>Nayef Aguerd (OG) · 40</t>
  </si>
  <si>
    <t>['7&amp;rsquor;|0:1|Junior Hoilett', '26&amp;rsquor;|0:2|Jonathan Osorio', '45+2&amp;rsquor;|1:2|Sam Adekugbe', '84&amp;rsquor;|1:2|Steven Vitória']</t>
  </si>
  <si>
    <t>['60&amp;rsquor;|1:2|Atiba Hutchinson|for Mark-Anthony Kaye', '60&amp;rsquor;|1:2|Ismaël Koné|for Sam Adekugbe', '60&amp;rsquor;|1:2|Jonathan David|for Cyle Larin', '65&amp;rsquor;|1:2|Richie Laryea|for Jonathan Osorio', '76&amp;rsquor;|1:2|David Wotherspoon|for Junior Hoilett']</t>
  </si>
  <si>
    <t>['65&amp;rsquor;|1:2|Selim Amallah|for Abdelhamid Sabiri', '65&amp;rsquor;|1:2|Zakaria Aboukhlal|for Sofiane Boufal', '76&amp;rsquor;|1:2|Abderrazak Hamdallah|for Hakim Ziyech', '77&amp;rsquor;|1:2|Jawad El Yamiq|for Azzedine Ounahi', '85&amp;rsquor;|1:2|Yahya Jabrane|for Achraf Hakimi']</t>
  </si>
  <si>
    <t>Roberto Martínez</t>
  </si>
  <si>
    <t>Kevin De Bruyne</t>
  </si>
  <si>
    <t>Anthony Taylor (Referee) · Gary Beswick (AR1) · Adam Nunn (AR2) · István Kovács (4th) · Marco Fritz (VAR)</t>
  </si>
  <si>
    <t>0–0</t>
  </si>
  <si>
    <t>Anthony Taylor</t>
  </si>
  <si>
    <t>['67&amp;rsquor;|0:0|Leander Dendoncker']</t>
  </si>
  <si>
    <t>['64&amp;rsquor;|0:0|Bruno Petković|for Marko Livaja', '64&amp;rsquor;|0:0|Mario Pašalić|for Andrej Kramarić', '90+2&amp;rsquor;|0:0|Lovro Majer|for Mateo Kovačić']</t>
  </si>
  <si>
    <t>['46&amp;rsquor;|0:0|Romelu Lukaku|for Dries Mertens', '59&amp;rsquor;|0:0|Thorgan Hazard|for Leandro Trossard', '72&amp;rsquor;|0:0|Youri Tielemans|for Leander Dendoncker', '72&amp;rsquor;|0:0|Jeremy Doku|for Yannick Carrasco', '87&amp;rsquor;|0:0|Eden Hazard|for Thomas Meunier']</t>
  </si>
  <si>
    <t>Luis Fernando Suárez</t>
  </si>
  <si>
    <t>Keylor Navas</t>
  </si>
  <si>
    <t>Hansi Flick</t>
  </si>
  <si>
    <t>Manuel Neuer</t>
  </si>
  <si>
    <t>Stéphanie Frappart (Referee) · Neuza Back (AR1) · Karen Díaz (AR2) · Said Martínez (4th) · Drew Fischer (VAR)</t>
  </si>
  <si>
    <t>2–4</t>
  </si>
  <si>
    <t>Stéphanie Frappart</t>
  </si>
  <si>
    <t>Yeltsin Tejeda · 58</t>
  </si>
  <si>
    <t>Serge Gnabry · 10|Kai Havertz · 73|Kai Havertz · 85|Niclas Füllkrug · 90</t>
  </si>
  <si>
    <t>['58&amp;rsquor;|1:1|Yeltsin Tejeda']</t>
  </si>
  <si>
    <t>['10&amp;rsquor;|0:1|Serge Gnabry|Assist:|David Raum', '73&amp;rsquor;|2:2|Kai Havertz|Assist:|Niclas Füllkrug', '85&amp;rsquor;|2:3|Kai Havertz|Assist:|Serge Gnabry', '90&amp;rsquor;|2:4|Niclas Füllkrug|Assist:|Leroy Sané']</t>
  </si>
  <si>
    <t>Manuel Neuer (OG) · 70</t>
  </si>
  <si>
    <t>['77&amp;rsquor;|2:2|Óscar Duarte']</t>
  </si>
  <si>
    <t>['46&amp;rsquor;|0:1|Youstin Salas|for Brandon Aguilera', '74&amp;rsquor;|2:2|Rónald Matarrita|for Johan Venegas', '74&amp;rsquor;|2:2|Jewison Bennette|for Keysher Fuller', '90+3&amp;rsquor;|2:4|Roan Wilson|for Yeltsin Tejeda', '90+3&amp;rsquor;|2:4|Anthony Contreras|for Bryan Oviedo']</t>
  </si>
  <si>
    <t>['46&amp;rsquor;|0:1|Lukas Klostermann|for Leon Goretzka', '55&amp;rsquor;|0:1|Niclas Füllkrug|for İlkay Gündoğan', '67&amp;rsquor;|1:1|Mario Götze|for David Raum', '67&amp;rsquor;|1:1|Kai Havertz|for Thomas Müller', '90+3&amp;rsquor;|2:4|Matthias Ginter|for Niklas Süle']</t>
  </si>
  <si>
    <t>Victor Gomes (Referee) · Zakhele Siwela (AR1) · Souru Phatsoane (AR2) · Salima Mukansanga (4th) · Fernando Guerrero (VAR)</t>
  </si>
  <si>
    <t>Victor Gomes</t>
  </si>
  <si>
    <t>Ritsu Doan · 48|Ao Tanaka · 51</t>
  </si>
  <si>
    <t>Álvaro Morata · 12</t>
  </si>
  <si>
    <t>['48&amp;rsquor;|1:1|Ritsu Doan|Assist:|Junya Ito', '51&amp;rsquor;|2:1|Ao Tanaka|Assist:|Kaoru Mitoma']</t>
  </si>
  <si>
    <t>['12&amp;rsquor;|0:1|Álvaro Morata|Assist:|César Azpilicueta']</t>
  </si>
  <si>
    <t>['39&amp;rsquor;|0:1|Ko Itakura', '44&amp;rsquor;|0:1|Shogo Taniguchi', '45&amp;rsquor;|0:1|Maya Yoshida']</t>
  </si>
  <si>
    <t>['46&amp;rsquor;|0:1|Ritsu Doan|for Takefusa Kubo', '46&amp;rsquor;|0:1|Kaoru Mitoma|for Yuto Nagatomo', '62&amp;rsquor;|2:1|Takuma Asano|for Daizen Maeda', '69&amp;rsquor;|2:1|Takehiro Tomiyasu|for Daichi Kamada', '87&amp;rsquor;|2:1|Wataru Endo|for Ao Tanaka']</t>
  </si>
  <si>
    <t>['46&amp;rsquor;|0:1|Dani Carvajal|for César Azpilicueta', '57&amp;rsquor;|2:1|Ferrán Torres|for Nico Williams', '57&amp;rsquor;|2:1|Marco Asensio|for Álvaro Morata', '68&amp;rsquor;|2:1|Ansu Fati|for Gavi', '68&amp;rsquor;|2:1|Jordi Alba|for Alejandro Balde']</t>
  </si>
  <si>
    <t>Kasper Hjulmand</t>
  </si>
  <si>
    <t>Christian Eriksen</t>
  </si>
  <si>
    <t>Mustapha Ghorbal (Referee) · Mokrane Gourari (AR1) · Abdelhak Etchiali (AR2) · Maguette Ndiaye (4th) · Mauro Vigliano (VAR)</t>
  </si>
  <si>
    <t>Mustapha Ghorbal</t>
  </si>
  <si>
    <t>Mathew Leckie · 60</t>
  </si>
  <si>
    <t>['60&amp;rsquor;|1:0|Mathew Leckie|Assist:|Riley McGree']</t>
  </si>
  <si>
    <t>['4&amp;rsquor;|0:0|Aziz Behich', '57&amp;rsquor;|0:0|Miloš Degenek']</t>
  </si>
  <si>
    <t>['75&amp;rsquor;|1:0|Robert Skov']</t>
  </si>
  <si>
    <t>['46&amp;rsquor;|0:0|Keanu Baccus|for Craig Goodwin', '74&amp;rsquor;|1:0|Bailey Wright|for Riley McGree', '82&amp;rsquor;|1:0|Jamie Maclaren|for Mitchell Duke', '89&amp;rsquor;|1:0|Ajdin Hrustic|for Mathew Leckie']</t>
  </si>
  <si>
    <t>['46&amp;rsquor;|0:0|Alexander Bah|for Rasmus Nissen', '59&amp;rsquor;|0:0|Kasper Dolberg|for Martin Braithwaite', '59&amp;rsquor;|0:0|Mikkel Damsgaard|for Mathias Jensen', '69&amp;rsquor;|1:0|Robert Skov|for Andreas Skov Olsen', '70&amp;rsquor;|1:0|Andreas Cornelius|for Joakim Mæhle']</t>
  </si>
  <si>
    <t>Jalel Kadri</t>
  </si>
  <si>
    <t>Wahbi Khazri</t>
  </si>
  <si>
    <t>Raphaël Varane</t>
  </si>
  <si>
    <t>Matt Conger (Referee) · Mark Rule (AR1) · Tevita Makasini (AR2) · Salima Mukansanga (4th) · Abdulla Ali Al Marri (VAR)</t>
  </si>
  <si>
    <t>Matt Conger</t>
  </si>
  <si>
    <t>Wahbi Khazri · 58</t>
  </si>
  <si>
    <t>['58&amp;rsquor;|1:0|Wahbi Khazri|Assist:|Aïssa Laïdouni']</t>
  </si>
  <si>
    <t>['28&amp;rsquor;|0:0|Wajdi Kechrida']</t>
  </si>
  <si>
    <t>['60&amp;rsquor;|1:0|Issam Jebali|for Wahbi Khazri', '74&amp;rsquor;|1:0|Ghaylène Chaalali|for Mohamed Ali Ben Romdhane', '83&amp;rsquor;|1:0|Ali Abdi|for Anis Ben Slimane']</t>
  </si>
  <si>
    <t>['63&amp;rsquor;|1:0|William Saliba|for Raphaël Varane', '63&amp;rsquor;|1:0|Kylian Mbappé|for Kingsley Coman', '63&amp;rsquor;|1:0|Adrien Rabiot|for Jordan Veretout', '73&amp;rsquor;|1:0|Antoine Griezmann|for Youssouf Fofana', '79&amp;rsquor;|1:0|Ousmane Dembélé|for Mattéo Guendouzi']</t>
  </si>
  <si>
    <t>Hervé Renard</t>
  </si>
  <si>
    <t>Salem Al-Dawsari</t>
  </si>
  <si>
    <t>Tata Martino</t>
  </si>
  <si>
    <t>Guillermo Ochoa</t>
  </si>
  <si>
    <t>Michael Oliver (Referee) · Stuart Burt (AR1) · Simon Bennett (AR2) · István Kovács (4th) · Massimiliano Irrati (VAR)</t>
  </si>
  <si>
    <t>Salem Al-Dawsari · 90+5</t>
  </si>
  <si>
    <t>Henry Martín · 47|Luis Chávez · 52</t>
  </si>
  <si>
    <t>['90+5&amp;rsquor;|1:2|Salem Al-Dawsari|Assist:|Hattan Bahebri']</t>
  </si>
  <si>
    <t>['47&amp;rsquor;|0:1|Henry Martín|Assist:|César Montes', '52&amp;rsquor;|0:2|Luis Chávez']</t>
  </si>
  <si>
    <t>['28&amp;rsquor;|0:0|Saleh Al-Shehri', '34&amp;rsquor;|0:0|Ali Al Hassan', '52&amp;rsquor;|0:1|Hassan Al Tambakti', '81&amp;rsquor;|0:2|Abdullah Madu', '90+1&amp;rsquor;|0:2|Abdulelah Al-Amri', '90+7&amp;rsquor;|1:2|Hattan Bahebri']</t>
  </si>
  <si>
    <t>['16&amp;rsquor;|0:0|Edson Álvarez']</t>
  </si>
  <si>
    <t>['37&amp;rsquor;|0:0|Riyadh Sharahili|for Ali Al-Bulaihi', '46&amp;rsquor;|0:0|Abdullah Madu|for Ali Al Hassan', '62&amp;rsquor;|0:2|Abdulrahman Al-Aboud|for Saleh Al-Shehri', '88&amp;rsquor;|0:2|Hattan Bahebri|for Sultan Al-Ghanam']</t>
  </si>
  <si>
    <t>['46&amp;rsquor;|0:0|Uriel Antuna|for Alexis Vega', '77&amp;rsquor;|0:2|Raúl Jiménez|for Henry Martín', '77&amp;rsquor;|0:2|Charly Rodríguez|for Orbelín Pineda', '86&amp;rsquor;|0:2|Kevin Álvarez|for Jorge Eduardo Sánchez', '86&amp;rsquor;|0:2|Rogelio Funes Mori|for Edson Álvarez']</t>
  </si>
  <si>
    <t>Danny Makkelie (Referee) · Hessel Steegstra (AR1) · Jan de Vries (AR2) · Said Martínez (4th) · Pol van Boekel (VAR)</t>
  </si>
  <si>
    <t>Danny Makkelie</t>
  </si>
  <si>
    <t>Alexis Mac Allister · 46|Julián Álvarez · 67</t>
  </si>
  <si>
    <t>['46&amp;rsquor;|0:1|Alexis Mac Allister|Assist:|Nahuel Molina', '67&amp;rsquor;|0:2|Julián Álvarez|Assist:|Enzo Fernández']</t>
  </si>
  <si>
    <t>['39&amp;rsquor;|0:0|Lionel Messi|Penalty saved by Wojciech Szczęsny|—']</t>
  </si>
  <si>
    <t>['78&amp;rsquor;|0:2|Grzegorz Krychowiak']</t>
  </si>
  <si>
    <t>['49&amp;rsquor;|0:1|Marcos Acuña']</t>
  </si>
  <si>
    <t>['46&amp;rsquor;|0:0|Jakub Kamiński|for Przemysław Frankowski', '46&amp;rsquor;|0:0|Michał Skóraś|for Karol Świderski', '62&amp;rsquor;|0:1|Damian Szymański|for Krystian Bielik', '72&amp;rsquor;|0:2|Artur Jędrzejczyk|for Bartosz Bereszyński', '83&amp;rsquor;|0:2|Krzysztof Piątek|for Grzegorz Krychowiak']</t>
  </si>
  <si>
    <t>['59&amp;rsquor;|0:1|Leandro Paredes|for Ángel Di María', '59&amp;rsquor;|0:1|Nicolás Tagliafico|for Marcos Acuña', '79&amp;rsquor;|0:2|Germán Pezzella|for Enzo Fernández', '79&amp;rsquor;|0:2|Lautaro Martínez|for Julián Álvarez', '84&amp;rsquor;|0:2|Thiago Almada|for Alexis Mac Allister']</t>
  </si>
  <si>
    <t>Gustavo Alfaro</t>
  </si>
  <si>
    <t>Enner Valencia</t>
  </si>
  <si>
    <t>Clément Turpin (Referee) · Nicolas Danos (AR1) · Cyril Gringore (AR2) · István Kovács (4th) · Jérôme Brisard (VAR)</t>
  </si>
  <si>
    <t>Moisés Caicedo · 67</t>
  </si>
  <si>
    <t>Kalidou Koulibaly · 70</t>
  </si>
  <si>
    <t>['67&amp;rsquor;|1:1|Moisés Caicedo|Assist:|Félix Torres Caicedo']</t>
  </si>
  <si>
    <t>['70&amp;rsquor;|1:2|Kalidou Koulibaly']</t>
  </si>
  <si>
    <t>Ismaila Sarr (P) · 44</t>
  </si>
  <si>
    <t>['66&amp;rsquor;|0:1|Idrissa Gana Gueye']</t>
  </si>
  <si>
    <t>['46&amp;rsquor;|0:1|Jeremy Sarmiento|for Alan Franco', '46&amp;rsquor;|0:1|José Cifuentes|for Carlos Gruezo', '64&amp;rsquor;|0:1|Djorkaeff Reasco|for Michael Estrada', '85&amp;rsquor;|1:2|Jackson Porozo|for Ángelo Preciado']</t>
  </si>
  <si>
    <t>['75&amp;rsquor;|1:2|Nampalys Mendy|for Pathé Ciss', '75&amp;rsquor;|1:2|Bamba Dieng|for Iliman Ndiaye', '90+5&amp;rsquor;|1:2|Pape Abou Cissé|for Boulaye Dia']</t>
  </si>
  <si>
    <t>Félix Sánchez</t>
  </si>
  <si>
    <t>Hassan Al-Haydos</t>
  </si>
  <si>
    <t>Bakary Papa Gassama (Referee) · Elvis Noupue (AR1) · Mahmoud Abo El Regal (AR2) · Ma Ning (4th) · Redouane Jiyed (VAR)</t>
  </si>
  <si>
    <t>Bakary Papa Gassama</t>
  </si>
  <si>
    <t>Cody Gakpo · 26|Frenkie de Jong · 49</t>
  </si>
  <si>
    <t>['26&amp;rsquor;|1:0|Cody Gakpo|Assist:|Davy Klaassen', '49&amp;rsquor;|2:0|Frenkie de Jong']</t>
  </si>
  <si>
    <t>['52&amp;rsquor;|2:0|Nathan Aké']</t>
  </si>
  <si>
    <t>['66&amp;rsquor;|2:0|Vincent Janssen|for Memphis', '66&amp;rsquor;|2:0|Steven Berghuis|for Davy Klaassen', '82&amp;rsquor;|2:0|Wout Weghorst|for Cody Gakpo', '82&amp;rsquor;|2:0|Teun Koopmeiners|for Marten de Roon', '86&amp;rsquor;|2:0|Kenneth Taylor|for Frenkie de Jong']</t>
  </si>
  <si>
    <t>['64&amp;rsquor;|2:0|Karim Boudiaf|for Assim Madibo', '64&amp;rsquor;|2:0|Mohammed Muntari|for Almoez Ali', '64&amp;rsquor;|2:0|Ali Assadalla|for Hassan Al-Haydos', '85&amp;rsquor;|2:0|Ahmed Alaaeldin|for Abdulaziz Hatem', '85&amp;rsquor;|2:0|Musab Kheder|for Ismail Mohamad']</t>
  </si>
  <si>
    <t>Carlos Queiroz</t>
  </si>
  <si>
    <t>Ehsan Hajsafi</t>
  </si>
  <si>
    <t>Antonio Matéu (Referee) · Pau Cebrián (AR1) · Roberto Díaz (AR2) · Kevin Ortega (4th) · Juan Martínez (VAR)</t>
  </si>
  <si>
    <t>0–1</t>
  </si>
  <si>
    <t>Christian Pulisic · 38</t>
  </si>
  <si>
    <t>['38&amp;rsquor;|0:1|Christian Pulisic|Assist:|Sergiño Dest']</t>
  </si>
  <si>
    <t>['77&amp;rsquor;|0:1|Majid Hosseini', '83&amp;rsquor;|0:1|Hossein Kanaanizadegan', '90+6&amp;rsquor;|0:1|Abolfazl Jalali']</t>
  </si>
  <si>
    <t>['43&amp;rsquor;|0:1|Tyler Adams']</t>
  </si>
  <si>
    <t>['45+2&amp;rsquor;|0:1|Ali Karimi|for Milad Mohammadi', '46&amp;rsquor;|0:1|Saman Ghoddos|for Sardar Azmoun', '71&amp;rsquor;|0:1|Mehdi Torabi|for Ahmad Nourollahi', '72&amp;rsquor;|0:1|Abolfazl Jalali|for Ehsan Hajsafi', '79&amp;rsquor;|0:1|Karim Ansarifard|for Ali Gholizadeh']</t>
  </si>
  <si>
    <t>['46&amp;rsquor;|0:1|Brenden Aaronson|for Christian Pulisic', '65&amp;rsquor;|0:1|Kellyn Acosta|for Weston McKennie', '77&amp;rsquor;|0:1|Haji Wright|for Josh Sargent', '82&amp;rsquor;|0:1|Shaquell Moore|for Sergiño Dest', '82&amp;rsquor;|0:1|Walker Zimmerman|for Timothy Weah']</t>
  </si>
  <si>
    <t>Rob Page</t>
  </si>
  <si>
    <t>Gareth Bale</t>
  </si>
  <si>
    <t>Slavko Vinčič (Referee) · Tomaž Klančnik (AR1) · Andraž Kovačič (AR2) · Yoshimi Yamashita (4th) · Marco Fritz (VAR)</t>
  </si>
  <si>
    <t>0–3</t>
  </si>
  <si>
    <t>Slavko Vinčič</t>
  </si>
  <si>
    <t>Marcus Rashford · 50|Phil Foden · 52|Marcus Rashford · 68</t>
  </si>
  <si>
    <t>['50&amp;rsquor;|0:1|Marcus Rashford', '52&amp;rsquor;|0:2|Phil Foden|Assist:|Harry Kane', '68&amp;rsquor;|0:3|Marcus Rashford|Assist:|Kalvin Phillips']</t>
  </si>
  <si>
    <t>['29&amp;rsquor;|0:0|Daniel James', '61&amp;rsquor;|0:2|Aaron Ramsey']</t>
  </si>
  <si>
    <t>['37&amp;rsquor;|0:0|Connor Roberts|for Neco Williams', '46&amp;rsquor;|0:0|Brennan Johnson|for Gareth Bale', '59&amp;rsquor;|0:2|Joe Morrell|for Ben Davies', '77&amp;rsquor;|0:3|Harry Wilson|for Daniel James', '81&amp;rsquor;|0:3|Rubin Colwill|for Joe Allen']</t>
  </si>
  <si>
    <t>['57&amp;rsquor;|0:2|Trent Alexander-Arnold|for Kyle Walker', '58&amp;rsquor;|0:2|Kalvin Phillips|for Declan Rice', '58&amp;rsquor;|0:2|Callum Wilson|for Harry Kane', '65&amp;rsquor;|0:2|Kieran Trippier|for Luke Shaw', '75&amp;rsquor;|0:3|Jack Grealish|for Marcus Rashford']</t>
  </si>
  <si>
    <t>Eric Maxim Choupo-Moting</t>
  </si>
  <si>
    <t>Mohammed Abdulla Hassan (Referee) · Mohamed Ahmed Al Hammadi (AR1) · Hasan Mohamed Suqatari (AR2) · Ma Ning (4th) · Nicolás Gallo (VAR)</t>
  </si>
  <si>
    <t>3–3</t>
  </si>
  <si>
    <t>Mohammed Abdulla Hassan</t>
  </si>
  <si>
    <t>Jean-Charles Castelletto · 29|Vincent Aboubakar · 64|Eric Maxim Choupo-Moting · 66</t>
  </si>
  <si>
    <t>Strahinja Pavlović · 45+1|Sergej Milinković-Savić · 45+3|Aleksandar Mitrović · 53</t>
  </si>
  <si>
    <t>['29&amp;rsquor;|1:0|Jean-Charles Castelletto|Assist:|Nicolas Nkoulou', '64&amp;rsquor;|2:3|Vincent Aboubakar|Assist:|Jean-Charles Castelletto', '66&amp;rsquor;|3:3|Eric Maxim Choupo-Moting|Assist:|Vincent Aboubakar']</t>
  </si>
  <si>
    <t>['45+1&amp;rsquor;|1:1|Strahinja Pavlović|Assist:|Dušan Tadić', '45+3&amp;rsquor;|1:2|Sergej Milinković-Savić|Assist:|Andrija Živković', '53&amp;rsquor;|1:3|Aleksandar Mitrović|Assist:|Andrija Živković']</t>
  </si>
  <si>
    <t>['24&amp;rsquor;|0:0|Nicolas Nkoulou', '30&amp;rsquor;|1:0|Christian Bassogog']</t>
  </si>
  <si>
    <t>['45+4&amp;rsquor;|1:2|Luka Jović', '90+3&amp;rsquor;|3:3|Nikola Milenković']</t>
  </si>
  <si>
    <t>['55&amp;rsquor;|1:3|Vincent Aboubakar|for Martin Hongla', '67&amp;rsquor;|3:3|Christian Bassogog|for Karl Toko Ekambi', '67&amp;rsquor;|3:3|Gaël Ondoua|for Pierre Kunde', "81&amp;rsquor;|3:3|Georges-Kévin N'Koudou|for Bryan Mbeumo", '81&amp;rsquor;|3:3|Samuel Oum Gouet|for Andre-Frank Zambo Anguissa']</t>
  </si>
  <si>
    <t>['56&amp;rsquor;|1:3|Stefan Mitrović|for Strahinja Pavlović', '78&amp;rsquor;|3:3|Marko Grujić|for Sergej Milinković-Savić', '78&amp;rsquor;|3:3|Nemanja Radonjić|for Andrija Živković', '78&amp;rsquor;|3:3|Srđan Babić|for Miloš Veljković', '90+2&amp;rsquor;|3:3|Filip Đuričić|for Filip Kostić']</t>
  </si>
  <si>
    <t>Anthony Taylor (Referee) · Gary Beswick (AR1) · Adam Nunn (AR2) · Kevin Ortega (4th) · Tomasz Kwiatkowski (VAR)</t>
  </si>
  <si>
    <t>Cho Guesung · 58|Cho Guesung · 61</t>
  </si>
  <si>
    <t>Mohammed Salisu · 24|Kudus Mohammed · 34|Kudus Mohammed · 68</t>
  </si>
  <si>
    <t>['58&amp;rsquor;|1:2|Cho Guesung|Assist:|Lee Kangin', '61&amp;rsquor;|2:2|Cho Guesung|Assist:|Kim Jin-su']</t>
  </si>
  <si>
    <t>['24&amp;rsquor;|0:1|Mohammed Salisu', '34&amp;rsquor;|0:2|Kudus Mohammed|Assist:|Jordan Ayew', '68&amp;rsquor;|2:3|Kudus Mohammed|Assist:|Gideon Mensah']</t>
  </si>
  <si>
    <t>Paulo Bento · 90+11</t>
  </si>
  <si>
    <t>['27&amp;rsquor;|0:1|Jung Woo-young', '77&amp;rsquor;|2:3|Kim Young-gwon']</t>
  </si>
  <si>
    <t>['21&amp;rsquor;|0:0|Daniel Amartey', '73&amp;rsquor;|2:3|Tariq Lamptey']</t>
  </si>
  <si>
    <t>['46&amp;rsquor;|0:2|Na Sang-ho|for Jeong Woo-yeong', '57&amp;rsquor;|0:2|Lee Kangin|for Kwon Chang-hoon', '79&amp;rsquor;|2:3|Hwang Ui-jo|for Jung Woo-young', '90+2&amp;rsquor;|2:3|Kwon Kyung-won|for Kim Min-jae']</t>
  </si>
  <si>
    <t>['78&amp;rsquor;|2:3|Daniel Kyereh|for André Ayew', '78&amp;rsquor;|2:3|Denis Odoi|for Tariq Lamptey', '78&amp;rsquor;|2:3|Kamaldeen Sulemana|for Jordan Ayew', '83&amp;rsquor;|2:3|Alexander Djiku|for Kudus Mohammed', '88&amp;rsquor;|2:3|Baba Rahman|for Gideon Mensah']</t>
  </si>
  <si>
    <t>Iván Barton (Referee) · David Morán (AR1) · Zachari Zeegelaar (AR2) · Said Martínez (4th) · Drew Fischer (VAR)</t>
  </si>
  <si>
    <t>Casemiro · 83</t>
  </si>
  <si>
    <t>['83&amp;rsquor;|1:0|Casemiro|Assist:|Rodrygo']</t>
  </si>
  <si>
    <t>['52&amp;rsquor;|0:0|Fred']</t>
  </si>
  <si>
    <t>['50&amp;rsquor;|0:0|Fabian Rieder']</t>
  </si>
  <si>
    <t>['46&amp;rsquor;|0:0|Rodrygo|for Lucas Paquetá', '58&amp;rsquor;|0:0|Bruno Guimarães|for Fred', '73&amp;rsquor;|0:0|Antony|for Raphinha', '73&amp;rsquor;|0:0|Gabriel Jesus|for Richarlison', '86&amp;rsquor;|1:0|Alex Telles|for Alex Sandro']</t>
  </si>
  <si>
    <t>['59&amp;rsquor;|0:0|Edimilson Fernandes|for Ruben Vargas', '59&amp;rsquor;|0:0|Renato Steffen|for Fabian Rieder', '75&amp;rsquor;|0:0|Michel Aebischer|for Djibril Sow', '76&amp;rsquor;|0:0|Haris Seferović|for Breel Embolo', '86&amp;rsquor;|1:0|Fabian Frei|for Silvan Widmer']</t>
  </si>
  <si>
    <t>Diego Godín</t>
  </si>
  <si>
    <t>Alireza Faghani (Referee) · Mohammadreza Mansouri (AR1) · Mohammadreza Abolfazli (AR2) · Abdulrahman Ibrahim Al Jassim (4th) · Abdulla Ali Al Marri (VAR)</t>
  </si>
  <si>
    <t>Alireza Faghani</t>
  </si>
  <si>
    <t>Bruno Fernandes · 54</t>
  </si>
  <si>
    <t>['54&amp;rsquor;|1:0|Bruno Fernandes|Assist:|Raphaël Guerreiro']</t>
  </si>
  <si>
    <t>Bruno Fernandes (P) · 90+3</t>
  </si>
  <si>
    <t>['38&amp;rsquor;|0:0|Rúben Neves', '77&amp;rsquor;|1:0|João Félix', '89&amp;rsquor;|1:0|Rúben Dias']</t>
  </si>
  <si>
    <t>['6&amp;rsquor;|0:0|Rodrigo Bentancur', '44&amp;rsquor;|0:0|Mathías Olivera']</t>
  </si>
  <si>
    <t>['42&amp;rsquor;|0:0|Raphaël Guerreiro|for Nuno Mendes', '69&amp;rsquor;|1:0|Rafael Leão|for Rúben Neves', '82&amp;rsquor;|1:0|Matheus Nunes|for João Félix', '82&amp;rsquor;|1:0|Gonçalo Ramos|for Cristiano Ronaldo', '82&amp;rsquor;|1:0|João Palhinha|for William Carvalho']</t>
  </si>
  <si>
    <t>['62&amp;rsquor;|1:0|Giorgian De Arrascaeta|for Matías Vecino', '62&amp;rsquor;|1:0|Facundo Pellistri|for Diego Godín', '72&amp;rsquor;|1:0|Maxi Gómez|for Darwin Núñez', '73&amp;rsquor;|1:0|Luis Suárez|for Edinson Cavani', '86&amp;rsquor;|1:0|Matías Viña|for Mathías Olivera']</t>
  </si>
  <si>
    <t>Michael Oliver (Referee) · Stuart Burt (AR1) · Simon Bennett (AR2) · Maguette Ndiaye (4th) · Jérôme Brisard (VAR)</t>
  </si>
  <si>
    <t>Keysher Fuller · 81</t>
  </si>
  <si>
    <t>['81&amp;rsquor;|0:1|Keysher Fuller|Assist:|Yeltsin Tejeda']</t>
  </si>
  <si>
    <t>['44&amp;rsquor;|0:0|Miki Yamane', '84&amp;rsquor;|0:1|Ko Itakura', '90+3&amp;rsquor;|0:1|Wataru Endo']</t>
  </si>
  <si>
    <t>['41&amp;rsquor;|0:0|Anthony Contreras', '62&amp;rsquor;|0:0|Celso Borges', '70&amp;rsquor;|0:0|Francisco Calvo']</t>
  </si>
  <si>
    <t>['46&amp;rsquor;|0:0|Takuma Asano|for Ayase Ueda', '46&amp;rsquor;|0:0|Hiroki Ito|for Yuto Nagatomo', '62&amp;rsquor;|0:0|Kaoru Mitoma|for Miki Yamane', '67&amp;rsquor;|0:0|Junya Ito|for Ritsu Doan', '82&amp;rsquor;|0:1|Takumi Minamino|for Yuki Soma']</t>
  </si>
  <si>
    <t>['65&amp;rsquor;|0:0|Jewison Bennette|for Anthony Contreras', '65&amp;rsquor;|0:0|Brandon Aguilera|for Gerson Torres', '89&amp;rsquor;|0:1|Youstin Salas|for Celso Borges', '90+5&amp;rsquor;|0:1|Daniel Chacón|for Joel Campbell']</t>
  </si>
  <si>
    <t>Eden Hazard</t>
  </si>
  <si>
    <t>César Arturo Ramos (Referee) · Alberto Morín (AR1) · Miguel Ángel Hernández (AR2) · Yoshimi Yamashita (4th) · Fernando Guerrero (VAR)</t>
  </si>
  <si>
    <t>Romain Saïss · 73|Zakaria Aboukhlal · 90+2</t>
  </si>
  <si>
    <t>['73&amp;rsquor;|0:1|Romain Saïss|Assist:|Abdelhamid Sabiri', '90+2&amp;rsquor;|0:2|Zakaria Aboukhlal|Assist:|Hakim Ziyech']</t>
  </si>
  <si>
    <t>['28&amp;rsquor;|0:0|Amadou Onana']</t>
  </si>
  <si>
    <t>['90+5&amp;rsquor;|0:2|Abdelhamid Sabiri']</t>
  </si>
  <si>
    <t>['60&amp;rsquor;|0:0|Youri Tielemans|for Amadou Onana', '60&amp;rsquor;|0:0|Dries Mertens|for Eden Hazard', '75&amp;rsquor;|0:1|Leandro Trossard|for Michy Batshuayi', '75&amp;rsquor;|0:1|Charles De Ketelaere|for Thorgan Hazard', '81&amp;rsquor;|0:1|Romelu Lukaku|for Thomas Meunier']</t>
  </si>
  <si>
    <t>['67&amp;rsquor;|0:0|Abdelhamid Sabiri|for Selim Amallah', '68&amp;rsquor;|0:0|Yahya Attiat Allah|for Achraf Hakimi', '73&amp;rsquor;|0:1|Abderrazak Hamdallah|for Youssef En-Nesyri', '73&amp;rsquor;|0:1|Zakaria Aboukhlal|for Sofiane Boufal', '78&amp;rsquor;|0:1|Jawad El Yamiq|for Azzedine Ounahi']</t>
  </si>
  <si>
    <t>Atiba Hutchinson</t>
  </si>
  <si>
    <t>Andrés Matonte (Referee) · Nicolás Tarán (AR1) · Martín Soppi (AR2) · Kevin Ortega (4th) · Mauro Vigliano (VAR)</t>
  </si>
  <si>
    <t>Andrés Matonte</t>
  </si>
  <si>
    <t>Andrej Kramarić · 36|Marko Livaja · 44|Andrej Kramarić · 70|Lovro Majer · 90+4</t>
  </si>
  <si>
    <t>Alphonso Davies · 2</t>
  </si>
  <si>
    <t>['36&amp;rsquor;|1:1|Andrej Kramarić|Assist:|Ivan Perišić', '44&amp;rsquor;|2:1|Marko Livaja|Assist:|Josip Juranović', '70&amp;rsquor;|3:1|Andrej Kramarić|Assist:|Ivan Perišić', '90+4&amp;rsquor;|4:1|Lovro Majer|Assist:|Mislav Oršić']</t>
  </si>
  <si>
    <t>['2&amp;rsquor;|0:1|Alphonso Davies|Assist:|Tajon Buchanan']</t>
  </si>
  <si>
    <t>['56&amp;rsquor;|2:1|Dejan Lovren', '85&amp;rsquor;|3:1|Luka Modrić']</t>
  </si>
  <si>
    <t>['52&amp;rsquor;|2:1|Tajon Buchanan', '85&amp;rsquor;|3:1|Kamal Miller']</t>
  </si>
  <si>
    <t>['60&amp;rsquor;|2:1|Bruno Petković|for Marko Livaja', '73&amp;rsquor;|3:1|Nikola Vlašić|for Andrej Kramarić', '86&amp;rsquor;|3:1|Mislav Oršić|for Ivan Perišić', '86&amp;rsquor;|3:1|Lovro Majer|for Luka Modrić', '86&amp;rsquor;|3:1|Mario Pašalić|for Mateo Kovačić']</t>
  </si>
  <si>
    <t>['46&amp;rsquor;|2:1|Ismaël Koné|for Stephen Eustáquio', '46&amp;rsquor;|2:1|Jonathan Osorio|for Cyle Larin', '62&amp;rsquor;|2:1|Junior Hoilett|for Richie Laryea', '72&amp;rsquor;|3:1|Lucas Cavallini|for Jonathan David', '72&amp;rsquor;|3:1|Sam Adekugbe|for Atiba Hutchinson']</t>
  </si>
  <si>
    <t>Danny Makkelie (Referee) · Hessel Steegstra (AR1) · Jan de Vries (AR2) · István Kovács (4th) · Pol van Boekel (VAR)</t>
  </si>
  <si>
    <t>1–1</t>
  </si>
  <si>
    <t>Álvaro Morata · 62</t>
  </si>
  <si>
    <t>Niclas Füllkrug · 83</t>
  </si>
  <si>
    <t>['62&amp;rsquor;|1:0|Álvaro Morata|Assist:|Jordi Alba']</t>
  </si>
  <si>
    <t>['83&amp;rsquor;|1:1|Niclas Füllkrug|Assist:|Jamal Musiala']</t>
  </si>
  <si>
    <t>['44&amp;rsquor;|0:0|Sergio Busquets']</t>
  </si>
  <si>
    <t>['37&amp;rsquor;|0:0|Thilo Kehrer', '58&amp;rsquor;|0:0|Leon Goretzka', '60&amp;rsquor;|0:0|Joshua Kimmich']</t>
  </si>
  <si>
    <t>['54&amp;rsquor;|0:0|Álvaro Morata|for Ferrán Torres', '66&amp;rsquor;|1:0|Koke|for Marco Asensio', '66&amp;rsquor;|1:0|Nico Williams|for Gavi', '82&amp;rsquor;|1:0|Alejandro Balde|for Jordi Alba']</t>
  </si>
  <si>
    <t>['70&amp;rsquor;|1:0|Lukas Klostermann|for Thilo Kehrer', '70&amp;rsquor;|1:0|Niclas Füllkrug|for Thomas Müller', '70&amp;rsquor;|1:0|Leroy Sané|for İlkay Gündoğan', '85&amp;rsquor;|1:1|Jonas Hofmann|for Serge Gnabry', '87&amp;rsquor;|1:1|Nico Schlotterbeck|for David Raum']</t>
  </si>
  <si>
    <t>Youssef Msakni</t>
  </si>
  <si>
    <t>Daniel Siebert (Referee) · Rafael Foltyn (AR1) · Jan Seidel (AR2) · Said Martínez (4th) · Bastian Dankert (VAR)</t>
  </si>
  <si>
    <t>Mitchell Duke · 23</t>
  </si>
  <si>
    <t>['23&amp;rsquor;|0:1|Mitchell Duke|Assist:|Craig Goodwin']</t>
  </si>
  <si>
    <t>['26&amp;rsquor;|0:1|Aïssa Laïdouni', '65&amp;rsquor;|0:1|Ali Abdi', '90+3&amp;rsquor;|0:1|Ferjani Sassi']</t>
  </si>
  <si>
    <t>['46&amp;rsquor;|0:1|Ferjani Sassi|for Mohamed Dräger', '67&amp;rsquor;|0:1|Wahbi Khazri|for Aïssa Laïdouni', '73&amp;rsquor;|0:1|Wajdi Kechrida|for Dylan Bronn', '73&amp;rsquor;|0:1|Taha Yassine Khenissi|for Issam Jebali']</t>
  </si>
  <si>
    <t>['64&amp;rsquor;|0:1|Ajdin Hrustic|for Riley McGree', '64&amp;rsquor;|0:1|Jamie Maclaren|for Mitchell Duke', '75&amp;rsquor;|0:1|Miloš Degenek|for Fran Karačić', '85&amp;rsquor;|0:1|Awer Mabil|for Craig Goodwin', '85&amp;rsquor;|0:1|Keanu Baccus|for Mathew Leckie']</t>
  </si>
  <si>
    <t>Wilton Sampaio (Referee) · Bruno Boschilia (AR1) · Bruno Pires (AR2) · Kevin Ortega (4th) · Drew Fischer (VAR)</t>
  </si>
  <si>
    <t>Piotr Zieliński · 39|Robert Lewandowski · 82</t>
  </si>
  <si>
    <t>['39&amp;rsquor;|1:0|Piotr Zieliński|Assist:|Robert Lewandowski', '82&amp;rsquor;|2:0|Robert Lewandowski']</t>
  </si>
  <si>
    <t>['45+1&amp;rsquor;|1:0|Salem Al-Dawsari|Penalty saved by Wojciech Szczęsny']</t>
  </si>
  <si>
    <t>['15&amp;rsquor;|0:0|Jakub Kiwior', '16&amp;rsquor;|0:0|Matty Cash', '19&amp;rsquor;|0:0|Arkadiusz Milik']</t>
  </si>
  <si>
    <t>['20&amp;rsquor;|0:0|Abdulellah Al-Malki', '45+4&amp;rsquor;|1:0|Abdulelah Al-Amri']</t>
  </si>
  <si>
    <t>['63&amp;rsquor;|1:0|Jakub Kamiński|for Piotr Zieliński', '71&amp;rsquor;|1:0|Krzysztof Piątek|for Arkadiusz Milik']</t>
  </si>
  <si>
    <t>['46&amp;rsquor;|1:0|Nawaf Al Abed|for Sami Al-Najei', '65&amp;rsquor;|1:0|Sultan Al-Ghanam|for Mohammed Al-Breik', '85&amp;rsquor;|2:0|Abdulrahman Al-Aboud|for Abdulellah Al-Malki', '86&amp;rsquor;|2:0|Nasser Al-Dawsari|for Saleh Al-Shehri', '90+5&amp;rsquor;|2:0|Hattan Bahebri|for Nawaf Al Abed']</t>
  </si>
  <si>
    <t>Kasper Schmeichel</t>
  </si>
  <si>
    <t>Szymon Marciniak (Referee) · Paweł Sokolnicki (AR1) · Tomasz Listkiewicz (AR2) · Ma Ning (4th) · Tomasz Kwiatkowski (VAR)</t>
  </si>
  <si>
    <t>Kylian Mbappé · 61|Kylian Mbappé · 86</t>
  </si>
  <si>
    <t>Andreas Christensen · 68</t>
  </si>
  <si>
    <t>['61&amp;rsquor;|1:0|Kylian Mbappé|Assist:|Theo Hernández', '86&amp;rsquor;|2:1|Kylian Mbappé|Assist:|Antoine Griezmann']</t>
  </si>
  <si>
    <t>['68&amp;rsquor;|1:1|Andreas Christensen|Assist:|Joachim Andersen']</t>
  </si>
  <si>
    <t>['43&amp;rsquor;|0:0|Jules Koundé']</t>
  </si>
  <si>
    <t>['20&amp;rsquor;|0:0|Andreas Christensen', '23&amp;rsquor;|0:0|Andreas Cornelius']</t>
  </si>
  <si>
    <t>['63&amp;rsquor;|1:0|Marcus Thuram|for Olivier Giroud', '75&amp;rsquor;|1:1|Ibrahima Konaté|for Raphaël Varane', '75&amp;rsquor;|1:1|Kingsley Coman|for Ousmane Dembélé', '90+3&amp;rsquor;|2:1|Youssouf Fofana|for Antoine Griezmann']</t>
  </si>
  <si>
    <t>['46&amp;rsquor;|0:0|Martin Braithwaite|for Andreas Cornelius', '73&amp;rsquor;|1:1|Kasper Dolberg|for Mikkel Damsgaard', '85&amp;rsquor;|1:1|Christian Nørgaard|for Jesper Lindstrøm', '90+2&amp;rsquor;|2:1|Alexander Bah|for Rasmus Nissen']</t>
  </si>
  <si>
    <t>Andrés Guardado</t>
  </si>
  <si>
    <t>Daniele Orsato (Referee) · Ciro Carbone (AR1) · Alessandro Giallatini (AR2) · István Kovács (4th) · Massimiliano Irrati (VAR)</t>
  </si>
  <si>
    <t>Lionel Messi · 64|Enzo Fernández · 87</t>
  </si>
  <si>
    <t>['64&amp;rsquor;|1:0|Lionel Messi|Assist:|Ángel Di María', '87&amp;rsquor;|2:0|Enzo Fernández|Assist:|Lionel Messi']</t>
  </si>
  <si>
    <t>['43&amp;rsquor;|0:0|Gonzalo Montiel']</t>
  </si>
  <si>
    <t>['22&amp;rsquor;|0:0|Néstor Araujo', '50&amp;rsquor;|0:0|Erick Gutiérrez', '66&amp;rsquor;|1:0|Héctor Herrera', '89&amp;rsquor;|2:0|Roberto Alvarado']</t>
  </si>
  <si>
    <t>['57&amp;rsquor;|0:0|Enzo Fernández|for Guido Rodríguez', '63&amp;rsquor;|0:0|Julián Álvarez|for Lautaro Martínez', '63&amp;rsquor;|0:0|Nahuel Molina|for Gonzalo Montiel', '69&amp;rsquor;|1:0|Exequiel Palacios|for Alexis Mac Allister', '69&amp;rsquor;|1:0|Cristian Romero|for Ángel Di María']</t>
  </si>
  <si>
    <t>['42&amp;rsquor;|0:0|Erick Gutiérrez|for Andrés Guardado', '66&amp;rsquor;|1:0|Uriel Antuna|for Alexis Vega', '66&amp;rsquor;|1:0|Raúl Jiménez|for Kevin Álvarez', '73&amp;rsquor;|1:0|Roberto Alvarado|for Hirving Lozano']</t>
  </si>
  <si>
    <t>Mario Escobar (Referee) · Caleb Wales (AR1) · Juan Carlos Mora (AR2) · Maguette Ndiaye (4th) · Drew Fischer (VAR)</t>
  </si>
  <si>
    <t>Mario Escobar</t>
  </si>
  <si>
    <t>Roozbeh Cheshmi · 90+9|Ramin Rezaeian · 90+11</t>
  </si>
  <si>
    <t>['90+9&amp;rsquor;|0:1|Roozbeh Cheshmi', '90+11&amp;rsquor;|0:2|Ramin Rezaeian|Assist:|Mehdi Taremi']</t>
  </si>
  <si>
    <t>Wayne Hennessey · 86</t>
  </si>
  <si>
    <t>['45+3&amp;rsquor;|0:0|Joe Rodon']</t>
  </si>
  <si>
    <t>['90+5&amp;rsquor;|0:0|Ramin Rezaeian', '90+5&amp;rsquor;|0:0|Alireza Jahanbakhsh']</t>
  </si>
  <si>
    <t>['57&amp;rsquor;|0:0|Brennan Johnson|for Connor Roberts', '58&amp;rsquor;|0:0|Daniel James|for Harry Wilson', '77&amp;rsquor;|0:0|Joe Allen|for Ethan Ampadu', '87&amp;rsquor;|0:0|Danny Ward|for Aaron Ramsey']</t>
  </si>
  <si>
    <t>['68&amp;rsquor;|0:0|Karim Ansarifard|for Sardar Azmoun', '77&amp;rsquor;|0:0|Alireza Jahanbakhsh|for Ali Gholizadeh', '77&amp;rsquor;|0:0|Mehdi Torabi|for Ehsan Hajsafi', '78&amp;rsquor;|0:0|Roozbeh Cheshmi|for Ahmad Nourollahi', '83&amp;rsquor;|0:0|Ali Karimi|for Saeid Ezatolahi']</t>
  </si>
  <si>
    <t>Antonio Matéu (Referee) · Pau Cebrián (AR1) · Roberto Díaz (AR2) · Kevin Ortega (4th) · Alejandro Hernández (VAR)</t>
  </si>
  <si>
    <t>1–3</t>
  </si>
  <si>
    <t>Mohammed Muntari · 78</t>
  </si>
  <si>
    <t>Boulaye Dia · 41|Famara Diedhiou · 48|Bamba Dieng · 84</t>
  </si>
  <si>
    <t>['78&amp;rsquor;|1:2|Mohammed Muntari|Assist:|Ismail Mohamad']</t>
  </si>
  <si>
    <t>['41&amp;rsquor;|0:1|Boulaye Dia', '48&amp;rsquor;|0:2|Famara Diedhiou|Assist:|Ismail Jakobs', '84&amp;rsquor;|1:3|Bamba Dieng|Assist:|Iliman Ndiaye']</t>
  </si>
  <si>
    <t>['20&amp;rsquor;|0:0|Ismail Mohamad', '45+2&amp;rsquor;|0:1|Homam Ahmed', '90+1&amp;rsquor;|1:3|Assim Madibo']</t>
  </si>
  <si>
    <t>['30&amp;rsquor;|0:0|Boulaye Dia', '52&amp;rsquor;|0:2|Ismail Jakobs', '87&amp;rsquor;|1:3|Pathé Ciss']</t>
  </si>
  <si>
    <t>['69&amp;rsquor;|0:2|Abdulaziz Hatem|for Karim Boudiaf', '74&amp;rsquor;|0:2|Mohammed Muntari|for Hassan Al-Haydos', '83&amp;rsquor;|1:2|Mohammed Waad|for Homam Ahmed', '83&amp;rsquor;|1:2|Tarek Salman|for Ró-Ró']</t>
  </si>
  <si>
    <t>['64&amp;rsquor;|0:2|Pathé Ciss|for Krépin Diatta', '74&amp;rsquor;|0:2|Bamba Dieng|for Famara Diedhiou', '75&amp;rsquor;|0:2|Iliman Ndiaye|for Ismaila Sarr', '77&amp;rsquor;|0:2|Pape Abou Cissé|for Ismail Jakobs', '77&amp;rsquor;|0:2|Pape Matar Sarr|for Nampalys Mendy']</t>
  </si>
  <si>
    <t>Mustapha Ghorbal (Referee) · Mokrane Gourari (AR1) · Abdelhak Etchiali (AR2) · Said Martínez (4th) · Shaun Evans (VAR)</t>
  </si>
  <si>
    <t>Cody Gakpo · 6</t>
  </si>
  <si>
    <t>Enner Valencia · 49</t>
  </si>
  <si>
    <t>['6&amp;rsquor;|1:0|Cody Gakpo|Assist:|Davy Klaassen']</t>
  </si>
  <si>
    <t>['49&amp;rsquor;|1:1|Enner Valencia']</t>
  </si>
  <si>
    <t>['57&amp;rsquor;|1:1|Jhegson Méndez']</t>
  </si>
  <si>
    <t>['46&amp;rsquor;|1:0|Memphis|for Steven Bergwijn', '69&amp;rsquor;|1:1|Steven Berghuis|for Davy Klaassen', '79&amp;rsquor;|1:1|Marten de Roon|for Teun Koopmeiners', '80&amp;rsquor;|1:1|Wout Weghorst|for Cody Gakpo']</t>
  </si>
  <si>
    <t>['74&amp;rsquor;|1:1|Jeremy Sarmiento|for Michael Estrada', '90&amp;rsquor;|1:1|Kevin Rodríguez|for Enner Valencia', '90&amp;rsquor;|1:1|Romario Ibarra|for Gonzalo Plata']</t>
  </si>
  <si>
    <t>Jesús Valenzuela (Referee) · Jorge Urrego (AR1) · Tulio Moreno (AR2) · Yoshimi Yamashita (4th) · Juan Soto (VAR)</t>
  </si>
  <si>
    <t>['68&amp;rsquor;|0:0|Jack Grealish|for Raheem Sterling', '69&amp;rsquor;|0:0|Jordan Henderson|for Jude Bellingham', '78&amp;rsquor;|0:0|Marcus Rashford|for Bukayo Saka']</t>
  </si>
  <si>
    <t>['77&amp;rsquor;|0:0|Brenden Aaronson|for Weston McKennie', '78&amp;rsquor;|0:0|Shaquell Moore|for Sergiño Dest', '83&amp;rsquor;|0:0|Gio Reyna|for Timothy Weah', '83&amp;rsquor;|0:0|Josh Sargent|for Haji Wright']</t>
  </si>
  <si>
    <t>Facundo Tello (Referee) · Ezequiel Brailovsky (AR1) · Gabriel Chade (AR2) · Said Martínez (4th) · Mauro Vigliano (VAR)</t>
  </si>
  <si>
    <t>Breel Embolo · 48</t>
  </si>
  <si>
    <t>['48&amp;rsquor;|1:0|Breel Embolo|Assist:|Xherdan Shaqiri']</t>
  </si>
  <si>
    <t>['64&amp;rsquor;|1:0|Nico Elvedi', '83&amp;rsquor;|1:0|Manuel Akanji']</t>
  </si>
  <si>
    <t>['36&amp;rsquor;|0:0|Collins Fai']</t>
  </si>
  <si>
    <t>['71&amp;rsquor;|1:0|Fabian Frei|for Djibril Sow', '72&amp;rsquor;|1:0|Noah Okafor|for Xherdan Shaqiri', '72&amp;rsquor;|1:0|Haris Seferović|for Breel Embolo', '81&amp;rsquor;|1:0|Fabian Rieder|for Ruben Vargas', '90&amp;rsquor;|1:0|Eray Cömert|for Ricardo Rodríguez']</t>
  </si>
  <si>
    <t>['68&amp;rsquor;|1:0|Gaël Ondoua|for Martin Hongla', '74&amp;rsquor;|1:0|Vincent Aboubakar|for Eric Maxim Choupo-Moting', "74&amp;rsquor;|1:0|Georges-Kévin N'Koudou|for Karl Toko Ekambi", '81&amp;rsquor;|1:0|Moumi Ngamaleu|for André Onana']</t>
  </si>
  <si>
    <t>['57&amp;rsquor;|0:0|Martín Cáceres']</t>
  </si>
  <si>
    <t>['88&amp;rsquor;|0:0|Cho Guesung', '90+8&amp;rsquor;|0:0|Paulo Bento']</t>
  </si>
  <si>
    <t>['64&amp;rsquor;|0:0|Edinson Cavani|for Luis Suárez', '78&amp;rsquor;|0:0|Nicolás De La Cruz|for Matías Vecino', '79&amp;rsquor;|0:0|Matías Viña|for Mathías Olivera', '88&amp;rsquor;|0:0|Guillermo Varela|for Facundo Pellistri']</t>
  </si>
  <si>
    <t>['74&amp;rsquor;|0:0|Cho Guesung|for Hwang Ui-jo', '74&amp;rsquor;|0:0|Son Jun-ho|for Lee Jae-sung', '75&amp;rsquor;|0:0|Lee Kangin|for Na Sang-ho']</t>
  </si>
  <si>
    <t>Ismail Elfath (Referee) · Kyle Atkins (AR1) · Corey Parker (AR2) · Stéphanie Frappart (4th) · Armando Villarreal (VAR)</t>
  </si>
  <si>
    <t>3–2</t>
  </si>
  <si>
    <t>João Félix · 78|Rafael Leão · 80</t>
  </si>
  <si>
    <t>André Ayew · 73|Osman Bukari · 89</t>
  </si>
  <si>
    <t>['78&amp;rsquor;|2:1|João Félix|Assist:|Bruno Fernandes', '80&amp;rsquor;|3:1|Rafael Leão|Assist:|Bruno Fernandes']</t>
  </si>
  <si>
    <t>['73&amp;rsquor;|1:1|André Ayew', '89&amp;rsquor;|3:2|Osman Bukari']</t>
  </si>
  <si>
    <t>Cristiano Ronaldo (P) · 65</t>
  </si>
  <si>
    <t>['90+1&amp;rsquor;|3:2|Danilo Pereira', '90+5&amp;rsquor;|3:2|Bruno Fernandes']</t>
  </si>
  <si>
    <t>['45&amp;rsquor;|0:0|Kudus Mohammed', '49&amp;rsquor;|0:0|André Ayew', '57&amp;rsquor;|0:0|Alidu Seidu', '90+1&amp;rsquor;|3:2|Daniel Amartey']</t>
  </si>
  <si>
    <t>['56&amp;rsquor;|0:0|William Carvalho|for Otávio', '77&amp;rsquor;|1:1|Rafael Leão|for Rúben Neves', '88&amp;rsquor;|3:1|João Mário|for Cristiano Ronaldo', '88&amp;rsquor;|3:1|Gonçalo Ramos|for João Félix', '88&amp;rsquor;|3:1|João Palhinha|for Bernardo Silva']</t>
  </si>
  <si>
    <t>['66&amp;rsquor;|1:0|Tariq Lamptey|for Alidu Seidu', '77&amp;rsquor;|1:1|Osman Bukari|for Kudus Mohammed', '77&amp;rsquor;|1:1|Jordan Ayew|for André Ayew', '90+2&amp;rsquor;|3:2|Daniel Kyereh|for Salis Abdul Samed', '90+2&amp;rsquor;|3:2|Antoine Semenyo|for Alexander Djiku']</t>
  </si>
  <si>
    <t>Alireza Faghani (Referee) · Mohammadreza Mansouri (AR1) · Mohammadreza Abolfazli (AR2) · Maguette Ndiaye (4th) · Abdulla Ali Al Marri (VAR)</t>
  </si>
  <si>
    <t>Richarlison · 62|Richarlison · 73</t>
  </si>
  <si>
    <t>['62&amp;rsquor;|1:0|Richarlison', '73&amp;rsquor;|2:0|Richarlison|Assist:|Vinicius Júnior']</t>
  </si>
  <si>
    <t>['7&amp;rsquor;|0:0|Strahinja Pavlović', '49&amp;rsquor;|0:0|Nemanja Gudelj', '64&amp;rsquor;|1:0|Saša Lukić']</t>
  </si>
  <si>
    <t>['75&amp;rsquor;|2:0|Fred|for Lucas Paquetá', '76&amp;rsquor;|2:0|Rodrygo|for Vinicius Júnior', '79&amp;rsquor;|2:0|Gabriel Jesus|for Richarlison', '80&amp;rsquor;|2:0|Antony|for Neymar', '87&amp;rsquor;|2:0|Martinelli|for Raphinha']</t>
  </si>
  <si>
    <t>['57&amp;rsquor;|0:0|Ivan Ilić|for Nemanja Gudelj', '57&amp;rsquor;|0:0|Nemanja Radonjić|for Andrija Živković', '66&amp;rsquor;|1:0|Darko Lazović|for Saša Lukić', '66&amp;rsquor;|1:0|Dušan Vlahović|for Filip Mladenović', '83&amp;rsquor;|2:0|Nemanja Maksimović|for Aleksandar Mitrović']</t>
  </si>
  <si>
    <t>Fernando Rapallini (Referee) · Juan Pablo Belatti (AR1) · Diego Bonfá (AR2) · Kevin Ortega (4th) · Julio Bascuñán (VAR)</t>
  </si>
  <si>
    <t>['78&amp;rsquor;|0:0|Sofyan Amrabat']</t>
  </si>
  <si>
    <t>['60&amp;rsquor;|0:0|Yahya Attiat Allah|for Noussair Mazraoui', '66&amp;rsquor;|0:0|Abdessamad Ezzalzouli|for Sofiane Boufal', '81&amp;rsquor;|0:0|Abderrazak Hamdallah|for Youssef En-Nesyri', '82&amp;rsquor;|0:0|Abdelhamid Sabiri|for Azzedine Ounahi']</t>
  </si>
  <si>
    <t>['46&amp;rsquor;|0:0|Mario Pašalić|for Nikola Vlašić', '71&amp;rsquor;|0:0|Marko Livaja|for Andrej Kramarić', '79&amp;rsquor;|0:0|Lovro Majer|for Mateo Kovačić', '90&amp;rsquor;|0:0|Mislav Oršić|for Ivan Perišić']</t>
  </si>
  <si>
    <t>Iván Barton (Referee) · David Morán (AR1) · Zachari Zeegelaar (AR2) · Said Martínez (4th) · Mauro Vigliano (VAR)</t>
  </si>
  <si>
    <t>Ritsu Doan · 75|Takuma Asano · 83</t>
  </si>
  <si>
    <t>['75&amp;rsquor;|1:1|Ritsu Doan', '83&amp;rsquor;|1:2|Takuma Asano|Assist:|Ko Itakura']</t>
  </si>
  <si>
    <t>İlkay Gündoğan (P) · 33</t>
  </si>
  <si>
    <t>['67&amp;rsquor;|1:0|Jonas Hofmann|for Thomas Müller', '67&amp;rsquor;|1:0|Leon Goretzka|for İlkay Gündoğan', '79&amp;rsquor;|1:1|Mario Götze|for Jamal Musiala', '79&amp;rsquor;|1:1|Niclas Füllkrug|for Kai Havertz', '90&amp;rsquor;|1:2|Youssoufa Moukoko|for Serge Gnabry']</t>
  </si>
  <si>
    <t>['46&amp;rsquor;|1:0|Takehiro Tomiyasu|for Takefusa Kubo', '57&amp;rsquor;|1:0|Kaoru Mitoma|for Yuto Nagatomo', '57&amp;rsquor;|1:0|Takuma Asano|for Daizen Maeda', '71&amp;rsquor;|1:0|Ritsu Doan|for Ao Tanaka', '74&amp;rsquor;|1:0|Takumi Minamino|for Hiroki Sakai']</t>
  </si>
  <si>
    <t>Mohammed Abdulla Hassan (Referee) · Mohamed Ahmed Al Hammadi (AR1) · Hasan Mohamed Suqatari (AR2) · Ma Ning (4th) · Abdulla Ali Al Marri (VAR)</t>
  </si>
  <si>
    <t>7–0</t>
  </si>
  <si>
    <t>Dani Olmo · 11|Marco Asensio · 21|Ferrán Torres · 54|Gavi · 74|Carlos Soler · 90|Álvaro Morata · 90+2</t>
  </si>
  <si>
    <t>['11&amp;rsquor;|1:0|Dani Olmo', '21&amp;rsquor;|2:0|Marco Asensio|Assist:|Jordi Alba', '54&amp;rsquor;|4:0|Ferrán Torres', '74&amp;rsquor;|5:0|Gavi|Assist:|Álvaro Morata', '90&amp;rsquor;|6:0|Carlos Soler', '90+2&amp;rsquor;|7:0|Álvaro Morata|Assist:|Dani Olmo']</t>
  </si>
  <si>
    <t>Ferrán Torres (P) · 31</t>
  </si>
  <si>
    <t>['68&amp;rsquor;|4:0|Francisco Calvo', '90+7&amp;rsquor;|7:0|Joel Campbell']</t>
  </si>
  <si>
    <t>['57&amp;rsquor;|4:0|Álvaro Morata|for Ferrán Torres', '57&amp;rsquor;|4:0|Carlos Soler|for Pedri', '64&amp;rsquor;|4:0|Koke|for Sergio Busquets', '64&amp;rsquor;|4:0|Alejandro Balde|for Jordi Alba', '69&amp;rsquor;|4:0|Nico Williams|for Marco Asensio']</t>
  </si>
  <si>
    <t>['46&amp;rsquor;|3:0|Kendall Waston|for Carlos Martínez', '61&amp;rsquor;|4:0|Álvaro Zamora|for Anthony Contreras', '61&amp;rsquor;|4:0|Bryan Ruiz|for Jewison Bennette', '72&amp;rsquor;|4:0|Brandon Aguilera|for Celso Borges', '82&amp;rsquor;|5:0|Rónald Matarrita|for Bryan Oviedo']</t>
  </si>
  <si>
    <t>Janny Sikazwe (Referee) · Jerson dos Santos (AR1) · Arsénio Marengula (AR2) · Yoshimi Yamashita (4th) · Juan Soto (VAR)</t>
  </si>
  <si>
    <t>Janny Sikazwe</t>
  </si>
  <si>
    <t>Michy Batshuayi · 44</t>
  </si>
  <si>
    <t>['44&amp;rsquor;|1:0|Michy Batshuayi|Assist:|Toby Alderweireld']</t>
  </si>
  <si>
    <t>['10&amp;rsquor;|0:0|Alphonso Davies|Penalty saved by Thibaut Courtois']</t>
  </si>
  <si>
    <t>['9&amp;rsquor;|0:0|Yannick Carrasco', '53&amp;rsquor;|1:0|Thomas Meunier', '56&amp;rsquor;|1:0|Amadou Onana']</t>
  </si>
  <si>
    <t>['81&amp;rsquor;|1:0|Alphonso Davies', '83&amp;rsquor;|1:0|Alistair Johnston']</t>
  </si>
  <si>
    <t>['46&amp;rsquor;|1:0|Amadou Onana|for Youri Tielemans', '46&amp;rsquor;|1:0|Thomas Meunier|for Yannick Carrasco', '62&amp;rsquor;|1:0|Leandro Trossard|for Eden Hazard', '78&amp;rsquor;|1:0|Loïs Openda|for Michy Batshuayi']</t>
  </si>
  <si>
    <t>['58&amp;rsquor;|1:0|Ismaël Koné|for Atiba Hutchinson', '58&amp;rsquor;|1:0|Cyle Larin|for Junior Hoilett', '74&amp;rsquor;|1:0|Sam Adekugbe|for Richie Laryea', '81&amp;rsquor;|1:0|Jonathan Osorio|for Stephen Eustáquio', '81&amp;rsquor;|1:0|Liam Millar|for Tajon Buchanan']</t>
  </si>
  <si>
    <t>Salman Al-Faraj</t>
  </si>
  <si>
    <t>Slavko Vinčič (Referee) · Tomaž Klančnik (AR1) · Andraž Kovačič (AR2) · Maguette Ndiaye (4th) · Pol van Boekel (VAR)</t>
  </si>
  <si>
    <t>Saleh Al-Shehri · 48|Salem Al-Dawsari · 53</t>
  </si>
  <si>
    <t>['48&amp;rsquor;|1:1|Saleh Al-Shehri|Assist:|Firas Al-Buraikan', '53&amp;rsquor;|1:2|Salem Al-Dawsari']</t>
  </si>
  <si>
    <t>Lionel Messi (P) · 10</t>
  </si>
  <si>
    <t>['67&amp;rsquor;|1:2|Abdulellah Al-Malki', '75&amp;rsquor;|1:2|Ali Al-Bulaihi', '79&amp;rsquor;|1:2|Salem Al-Dawsari', '82&amp;rsquor;|1:2|Saud Abdulhamid', '88&amp;rsquor;|1:2|Nawaf Al Abed', '90+2&amp;rsquor;|1:2|Mohammed Al-Owais']</t>
  </si>
  <si>
    <t>['59&amp;rsquor;|1:2|Lisandro Martínez|for Cristian Romero', '59&amp;rsquor;|1:2|Julián Álvarez|for Papu Gómez', '59&amp;rsquor;|1:2|Enzo Fernández|for Leandro Paredes', '71&amp;rsquor;|1:2|Marcos Acuña|for Nicolás Tagliafico']</t>
  </si>
  <si>
    <t>['45+4&amp;rsquor;|1:0|Nawaf Al Abed|for Salman Al-Faraj', '78&amp;rsquor;|1:2|Sultan Al-Ghanam|for Saleh Al-Shehri', '89&amp;rsquor;|1:2|Abdulelah Al-Amri|for Nawaf Al Abed', '89&amp;rsquor;|1:2|Asiri Haitham|for Firas Al-Buraikan', '90+9&amp;rsquor;|1:2|Mohammed Al-Breik|for Yasser Al-Shahrani']</t>
  </si>
  <si>
    <t>Simon Kjær</t>
  </si>
  <si>
    <t>César Arturo Ramos (Referee) · Alberto Morín (AR1) · Miguel Ángel Hernández (AR2) · Said Martínez (4th) · Fernando Guerrero (VAR)</t>
  </si>
  <si>
    <t>['24&amp;rsquor;|0:0|Rasmus Nissen', '78&amp;rsquor;|0:0|Mathias Jensen']</t>
  </si>
  <si>
    <t>['86&amp;rsquor;|0:0|Taha Yassine Khenissi']</t>
  </si>
  <si>
    <t>['45+1&amp;rsquor;|0:0|Mikkel Damsgaard|for Thomas Delaney', '65&amp;rsquor;|0:0|Mathias Jensen|for Simon Kjær', '65&amp;rsquor;|0:0|Andreas Cornelius|for Kasper Dolberg', '65&amp;rsquor;|0:0|Jesper Lindstrøm|for Andreas Skov Olsen']</t>
  </si>
  <si>
    <t>['67&amp;rsquor;|0:0|Naïm Sliti|for Anis Ben Slimane', '80&amp;rsquor;|0:0|Taha Yassine Khenissi|for Issam Jebali', '80&amp;rsquor;|0:0|Hannibal Mejbri|for Youssef Msakni', '88&amp;rsquor;|0:0|Wajdi Kechrida|for Mohamed Dräger', '88&amp;rsquor;|0:0|Ferjani Sassi|for Aïssa Laïdouni']</t>
  </si>
  <si>
    <t>Chris Beath (Referee) · Anton Shchetinin (AR1) · Ashley Beecham (AR2) · Stéphanie Frappart (4th) · Shaun Evans (VAR)</t>
  </si>
  <si>
    <t>Chris Beath</t>
  </si>
  <si>
    <t>['58&amp;rsquor;|0:0|Robert Lewandowski|Penalty saved by Guillermo Ochoa']</t>
  </si>
  <si>
    <t>['29&amp;rsquor;|0:0|Jorge Eduardo Sánchez', '56&amp;rsquor;|0:0|Héctor Moreno']</t>
  </si>
  <si>
    <t>['76&amp;rsquor;|0:0|Przemysław Frankowski']</t>
  </si>
  <si>
    <t>['71&amp;rsquor;|0:0|Raúl Jiménez|for Henry Martín', '71&amp;rsquor;|0:0|Charly Rodríguez|for Héctor Herrera', '84&amp;rsquor;|0:0|Uriel Antuna|for Alexis Vega']</t>
  </si>
  <si>
    <t>['46&amp;rsquor;|0:0|Krystian Bielik|for Nicola Zalewski', '72&amp;rsquor;|0:0|Przemysław Frankowski|for Sebastian Szymański', '87&amp;rsquor;|0:0|Arkadiusz Milik|for Piotr Zieliński']</t>
  </si>
  <si>
    <t>Victor Gomes (Referee) · Zakhele Siwela (AR1) · Souru Phatsoane (AR2) · Salima Mukansanga (4th) · Drew Fischer (VAR)</t>
  </si>
  <si>
    <t>Adrien Rabiot · 27|Olivier Giroud · 32|Kylian Mbappé · 68|Olivier Giroud · 71</t>
  </si>
  <si>
    <t>Craig Goodwin · 9</t>
  </si>
  <si>
    <t>['27&amp;rsquor;|1:1|Adrien Rabiot|Assist:|Theo Hernández', '32&amp;rsquor;|2:1|Olivier Giroud|Assist:|Adrien Rabiot', '68&amp;rsquor;|3:1|Kylian Mbappé|Assist:|Ousmane Dembélé', '71&amp;rsquor;|4:1|Olivier Giroud|Assist:|Kylian Mbappé']</t>
  </si>
  <si>
    <t>['9&amp;rsquor;|0:1|Craig Goodwin|Assist:|Mathew Leckie']</t>
  </si>
  <si>
    <t>['55&amp;rsquor;|2:1|Mitchell Duke', '80&amp;rsquor;|4:1|Jackson Irvine', '90+4&amp;rsquor;|4:1|Aaron Mooy']</t>
  </si>
  <si>
    <t>['13&amp;rsquor;|0:1|Theo Hernández|for Lucas Hernández', '77&amp;rsquor;|4:1|Youssouf Fofana|for Aurélien Tchouaméni', '77&amp;rsquor;|4:1|Kingsley Coman|for Ousmane Dembélé', '89&amp;rsquor;|4:1|Jules Koundé|for Benjamin Pavard', '89&amp;rsquor;|4:1|Marcus Thuram|for Olivier Giroud']</t>
  </si>
  <si>
    <t>['56&amp;rsquor;|2:1|Jason Cummings|for Mitchell Duke', '73&amp;rsquor;|4:1|Garang Kuol|for Craig Goodwin', '73&amp;rsquor;|4:1|Awer Mabil|for Riley McGree', '85&amp;rsquor;|4:1|Keanu Baccus|for Jackson Irvine', '85&amp;rsquor;|4:1|Miloš Degenek|for Nathaniel Atkinson']</t>
  </si>
  <si>
    <t>Raphael Claus (Referee) · Rodrigo Correa (AR1) · Danilo Manis (AR2) · Kevin Ortega (4th) · Leodán González (VAR)</t>
  </si>
  <si>
    <t>6–2</t>
  </si>
  <si>
    <t>Jude Bellingham · 35|Bukayo Saka · 43|Raheem Sterling · 45+1|Bukayo Saka · 62|Marcus Rashford · 71|Jack Grealish · 90</t>
  </si>
  <si>
    <t>Mehdi Taremi · 65</t>
  </si>
  <si>
    <t>['35&amp;rsquor;|1:0|Jude Bellingham|Assist:|Luke Shaw', '43&amp;rsquor;|2:0|Bukayo Saka|Assist:|Harry Maguire', '45+1&amp;rsquor;|3:0|Raheem Sterling|Assist:|Harry Kane', '62&amp;rsquor;|4:0|Bukayo Saka|Assist:|Raheem Sterling', '71&amp;rsquor;|5:1|Marcus Rashford|Assist:|Harry Kane', '90&amp;rsquor;|6:1|Jack Grealish|Assist:|Callum Wilson']</t>
  </si>
  <si>
    <t>['65&amp;rsquor;|4:1|Mehdi Taremi|Assist:|Ali Gholizadeh']</t>
  </si>
  <si>
    <t>Mehdi Taremi (P) · 90+13</t>
  </si>
  <si>
    <t>['25&amp;rsquor;|0:0|Alireza Jahanbakhsh', '48&amp;rsquor;|3:0|Morteza Pouraliganji']</t>
  </si>
  <si>
    <t>['70&amp;rsquor;|4:1|Eric Dier|for Harry Maguire', '70&amp;rsquor;|4:1|Marcus Rashford|for Bukayo Saka', '71&amp;rsquor;|5:1|Jack Grealish|for Raheem Sterling', '71&amp;rsquor;|5:1|Phil Foden|for Mason Mount', '76&amp;rsquor;|5:1|Callum Wilson|for Harry Kane']</t>
  </si>
  <si>
    <t>['20&amp;rsquor;|0:0|Hossein Hosseini|for Alireza Beiranvand', '46&amp;rsquor;|3:0|Hossein Kanaanizadegan|for Roozbeh Cheshmi', '46&amp;rsquor;|3:0|Ali Gholizadeh|for Alireza Jahanbakhsh', '46&amp;rsquor;|3:0|Saeid Ezatolahi|for Ali Karimi', '63&amp;rsquor;|4:0|Mehdi Torabi|for Milad Mohammadi', '77&amp;rsquor;|5:1|Sardar Azmoun|for Ahmad Nourollahi']</t>
  </si>
  <si>
    <t>Wilton Sampaio (Referee) · Bruno Boschilia (AR1) · Bruno Pires (AR2) · Andrés Matonte (4th) · Juan Soto (VAR)</t>
  </si>
  <si>
    <t>Cody Gakpo · 84|Davy Klaassen · 90+9</t>
  </si>
  <si>
    <t>['84&amp;rsquor;|0:1|Cody Gakpo|Assist:|Frenkie de Jong', '90+9&amp;rsquor;|0:2|Davy Klaassen']</t>
  </si>
  <si>
    <t>['90+4&amp;rsquor;|0:1|Nampalys Mendy', '90+6&amp;rsquor;|0:1|Idrissa Gana Gueye']</t>
  </si>
  <si>
    <t>['56&amp;rsquor;|0:0|Matthijs de Ligt']</t>
  </si>
  <si>
    <t>['62&amp;rsquor;|0:0|Ismail Jakobs|for Abdou Diallo', '69&amp;rsquor;|0:0|Bamba Dieng|for Boulaye Dia', '73&amp;rsquor;|0:0|Pape Gueye|for Cheikhou Kouyaté', '74&amp;rsquor;|0:0|Nicolas Jackson|for Krépin Diatta']</t>
  </si>
  <si>
    <t>['62&amp;rsquor;|0:0|Memphis|for Vincent Janssen', '79&amp;rsquor;|0:0|Davy Klaassen|for Steven Bergwijn', '79&amp;rsquor;|0:0|Teun Koopmeiners|for Steven Berghuis', '90+4&amp;rsquor;|0:1|Marten de Roon|for Cody Gakpo']</t>
  </si>
  <si>
    <t>Abdulrahman Ibrahim Al Jassim (Referee) · Taleb Salem Al Marri (AR1) · Saoud Ahmed Al Maqaleh (AR2) · Ma Ning (4th) · Abdulla Ali Al Marri (VAR)</t>
  </si>
  <si>
    <t>Timothy Weah · 36</t>
  </si>
  <si>
    <t>['36&amp;rsquor;|1:0|Timothy Weah|Assist:|Christian Pulisic']</t>
  </si>
  <si>
    <t>Gareth Bale (P) · 82</t>
  </si>
  <si>
    <t>['11&amp;rsquor;|0:0|Sergiño Dest', '13&amp;rsquor;|0:0|Weston McKennie', '51&amp;rsquor;|1:0|Tim Ream', '90+10&amp;rsquor;|1:1|Kellyn Acosta']</t>
  </si>
  <si>
    <t>['40&amp;rsquor;|1:0|Gareth Bale', '45+2&amp;rsquor;|1:0|Chris Mepham']</t>
  </si>
  <si>
    <t>['66&amp;rsquor;|1:0|Brenden Aaronson|for Weston McKennie', '74&amp;rsquor;|1:0|DeAndre Yedlin|for Sergiño Dest', '74&amp;rsquor;|1:0|Kellyn Acosta|for Yunus Musah', '74&amp;rsquor;|1:0|Haji Wright|for Josh Sargent', '88&amp;rsquor;|1:1|Jordan Morris|for Timothy Weah']</t>
  </si>
  <si>
    <t>['46&amp;rsquor;|1:0|Kieffer Moore|for Daniel James', '79&amp;rsquor;|1:0|Brennan Johnson|for Neco Williams', '90+3&amp;rsquor;|1:1|Sorba Thomas|for Harry Wilson', '90+5&amp;rsquor;|1:1|Joe Morrell|for Ethan Ampadu']</t>
  </si>
  <si>
    <t>Enner Valencia · 31</t>
  </si>
  <si>
    <t>['31&amp;rsquor;|0:2|Enner Valencia|Assist:|Ángelo Preciado']</t>
  </si>
  <si>
    <t>Enner Valencia (P) · 16</t>
  </si>
  <si>
    <t>['15&amp;rsquor;|0:0|Saad Al Sheeb', '22&amp;rsquor;|0:1|Almoez Ali', '36&amp;rsquor;|0:2|Karim Boudiaf', '78&amp;rsquor;|0:2|Akram Afif']</t>
  </si>
  <si>
    <t>['29&amp;rsquor;|0:1|Moisés Caicedo', '56&amp;rsquor;|0:2|Jhegson Méndez']</t>
  </si>
  <si>
    <t>['71&amp;rsquor;|0:2|Mohammed Waad|for Hassan Al-Haydos', '72&amp;rsquor;|0:2|Mohammed Muntari|for Almoez Ali']</t>
  </si>
  <si>
    <t>['68&amp;rsquor;|0:2|Jeremy Sarmiento|for Romario Ibarra', '77&amp;rsquor;|0:2|José Cifuentes|for Enner Valencia', '90&amp;rsquor;|0:2|Kevin Rodríguez|for Michael Estrada', '90&amp;rsquor;|0:2|Alan Franco|for Moisés Caicedo']</t>
  </si>
  <si>
    <t>Olimpiyskiy stadion Luzhniki, Moskva</t>
  </si>
  <si>
    <t>Néstor Pitana (Referee) · Hernán Maidana (AR1) · Juan Pablo Belatti (AR2) · Björn Kuipers (4th) · Massimiliano Irrati (VAR)</t>
  </si>
  <si>
    <t>4–2</t>
  </si>
  <si>
    <t>Néstor Pitana</t>
  </si>
  <si>
    <t>Paul Pogba · 59|Kylian Mbappé · 65</t>
  </si>
  <si>
    <t>Ivan Perišić · 28|Mario Mandžukić · 69</t>
  </si>
  <si>
    <t>['59&amp;rsquor;|3:1|Paul Pogba', '65&amp;rsquor;|4:1|Kylian Mbappé|Assist:|Lucas Hernández']</t>
  </si>
  <si>
    <t>['28&amp;rsquor;|1:1|Ivan Perišić|Assist:|Domagoj Vida', '69&amp;rsquor;|4:2|Mario Mandžukić']</t>
  </si>
  <si>
    <t>Mario Mandžukić (OG) · 18</t>
  </si>
  <si>
    <t>Antoine Griezmann (P) · 38</t>
  </si>
  <si>
    <t>["27&amp;rsquor;|1:0|N'Golo Kanté", '41&amp;rsquor;|2:1|Lucas Hernández']</t>
  </si>
  <si>
    <t>['90+2&amp;rsquor;|4:2|Šime Vrsaljko']</t>
  </si>
  <si>
    <t>["54&amp;rsquor;|2:1|Steven Nzonzi|for N'Golo Kanté", '73&amp;rsquor;|4:2|Corentin Tolisso|for Blaise Matuidi', '81&amp;rsquor;|4:2|Nabil Fekir|for Olivier Giroud']</t>
  </si>
  <si>
    <t>['71&amp;rsquor;|4:2|Andrej Kramarić|for Ante Rebić', '82&amp;rsquor;|4:2|Marko Pjaca|for Ivan Strinić']</t>
  </si>
  <si>
    <t>Gazprom Arena, Sankt-Petersburg</t>
  </si>
  <si>
    <t>Alireza Faghani (Referee) · Reza Sokhandan (AR1) · Mohammadreza Mansouri (AR2) · Malang Diédhiou (4th) · Mark Geiger (VAR)</t>
  </si>
  <si>
    <t>Thomas Meunier · 4|Eden Hazard · 82</t>
  </si>
  <si>
    <t>['4&amp;rsquor;|1:0|Thomas Meunier|Assist:|Nacer Chadli', '82&amp;rsquor;|2:0|Eden Hazard|Assist:|Kevin De Bruyne']</t>
  </si>
  <si>
    <t>['90+3&amp;rsquor;|2:0|Axel Witsel']</t>
  </si>
  <si>
    <t>['52&amp;rsquor;|1:0|John Stones', '77&amp;rsquor;|1:0|Harry Maguire']</t>
  </si>
  <si>
    <t>['39&amp;rsquor;|1:0|Thomas Vermaelen|for Nacer Chadli', '60&amp;rsquor;|1:0|Dries Mertens|for Romelu Lukaku', '78&amp;rsquor;|1:0|Mousa Dembélé|for Youri Tielemans']</t>
  </si>
  <si>
    <t>['46&amp;rsquor;|1:0|Jesse Lingard|for Danny Rose', '46&amp;rsquor;|1:0|Marcus Rashford|for Raheem Sterling', '84&amp;rsquor;|2:0|Dele Alli|for Ruben Loftus-Cheek']</t>
  </si>
  <si>
    <t>Cüneyt Çakιr (Referee) · Bahattin Duran (AR1) · Tarık Ongun (AR2) · Björn Kuipers (4th) · Danny Makkelie (VAR)</t>
  </si>
  <si>
    <t>Cüneyt Çakιr</t>
  </si>
  <si>
    <t>Required Extra Time</t>
  </si>
  <si>
    <t>Ivan Perišić · 68|Mario Mandžukić · 109</t>
  </si>
  <si>
    <t>Kieran Trippier · 5</t>
  </si>
  <si>
    <t>['68&amp;rsquor;|1:1|Ivan Perišić|Assist:|Šime Vrsaljko', '109&amp;rsquor;|2:1|Mario Mandžukić|Assist:|Ivan Perišić']</t>
  </si>
  <si>
    <t>['5&amp;rsquor;|0:1|Kieran Trippier']</t>
  </si>
  <si>
    <t>['48&amp;rsquor;|0:1|Mario Mandžukić', '96&amp;rsquor;|1:1|Ante Rebić']</t>
  </si>
  <si>
    <t>['54&amp;rsquor;|0:1|Kyle Walker']</t>
  </si>
  <si>
    <t>['95&amp;rsquor;|1:1|Josip Pivarić|for Ivan Strinić', '101&amp;rsquor;|1:1|Andrej Kramarić|for Ante Rebić', '115&amp;rsquor;|2:1|Vedran Ćorluka|for Mario Mandžukić', '118&amp;rsquor;|2:1|Milan Badelj|for Luka Modrić']</t>
  </si>
  <si>
    <t>['74&amp;rsquor;|1:1|Marcus Rashford|for Raheem Sterling', '91&amp;rsquor;|1:1|Danny Rose|for Ashley Young', '97&amp;rsquor;|1:1|Eric Dier|for Jordan Henderson', '112&amp;rsquor;|2:1|Jamie Vardy|for Kyle Walker']</t>
  </si>
  <si>
    <t>Andrés Cunha (Referee) · Nicolás Tarán (AR1) · Mauricio Espinosa (AR2) · César Arturo Ramos (4th) · Massimiliano Irrati (VAR)</t>
  </si>
  <si>
    <t>Andrés Cunha</t>
  </si>
  <si>
    <t>Samuel Umtiti · 51</t>
  </si>
  <si>
    <t>['51&amp;rsquor;|1:0|Samuel Umtiti|Assist:|Antoine Griezmann']</t>
  </si>
  <si>
    <t>["87&amp;rsquor;|1:0|N'Golo Kanté", '90+3&amp;rsquor;|1:0|Kylian Mbappé']</t>
  </si>
  <si>
    <t>['63&amp;rsquor;|1:0|Eden Hazard', '71&amp;rsquor;|1:0|Toby Alderweireld', '90+4&amp;rsquor;|1:0|Jan Vertonghen']</t>
  </si>
  <si>
    <t>['85&amp;rsquor;|1:0|Steven Nzonzi|for Olivier Giroud', '86&amp;rsquor;|1:0|Corentin Tolisso|for Blaise Matuidi']</t>
  </si>
  <si>
    <t>['60&amp;rsquor;|1:0|Dries Mertens|for Mousa Dembélé', '80&amp;rsquor;|1:0|Yannick Carrasco|for Marouane Fellaini', '90+2&amp;rsquor;|1:0|Michy Batshuayi|for Nacer Chadli']</t>
  </si>
  <si>
    <t>Janne Andersson</t>
  </si>
  <si>
    <t>Andreas Granqvist</t>
  </si>
  <si>
    <t>Cosmos Arena, Samara</t>
  </si>
  <si>
    <t>Björn Kuipers (Referee) · Sander van Roekel (AR1) · Erwin Zeinstra (AR2) · Antonio Matéu Lahoz (4th) · Danny Makkelie (VAR)</t>
  </si>
  <si>
    <t>Björn Kuipers</t>
  </si>
  <si>
    <t>Harry Maguire · 30|Dele Alli · 59</t>
  </si>
  <si>
    <t>['30&amp;rsquor;|0:1|Harry Maguire|Assist:|Ashley Young', '59&amp;rsquor;|0:2|Dele Alli|Assist:|Jesse Lingard']</t>
  </si>
  <si>
    <t>['88&amp;rsquor;|0:2|John Guidetti', '90+4&amp;rsquor;|0:2|Seb Larsson']</t>
  </si>
  <si>
    <t>['87&amp;rsquor;|0:2|Harry Maguire']</t>
  </si>
  <si>
    <t>['65&amp;rsquor;|0:2|John Guidetti|for Ola Toivonen', '65&amp;rsquor;|0:2|Martin Olsson|for Emil Forsberg', '85&amp;rsquor;|0:2|Pontus Jansson|for Emil Krafth']</t>
  </si>
  <si>
    <t>['77&amp;rsquor;|0:2|Fabian Delph|for Dele Alli', '85&amp;rsquor;|0:2|Eric Dier|for Jordan Henderson', '90+1&amp;rsquor;|0:2|Marcus Rashford|for Raheem Sterling']</t>
  </si>
  <si>
    <t>Stanislav Cherchesov</t>
  </si>
  <si>
    <t>Igor Akinfeev</t>
  </si>
  <si>
    <t>Olimpiyskiy Stadion Fisht, Sochi</t>
  </si>
  <si>
    <t>Sandro Ricci (Referee) · Emerson de Carvalho (AR1) · Marcelo Van Gasse (AR2) · Janny Sikazwe (4th) · Massimiliano Irrati (VAR)</t>
  </si>
  <si>
    <t>Sandro Ricci</t>
  </si>
  <si>
    <t>Denis Cheryshev · 31|Mário Fernandes · 115</t>
  </si>
  <si>
    <t>Andrej Kramarić · 39|Domagoj Vida · 101</t>
  </si>
  <si>
    <t>['31&amp;rsquor;|1:0|Denis Cheryshev|Assist:|Artem Dzyuba', '115&amp;rsquor;|2:2|Mário Fernandes|Assist:|Alan Dzagoev']</t>
  </si>
  <si>
    <t>['39&amp;rsquor;|1:1|Andrej Kramarić|Assist:|Mario Mandžukić', '101&amp;rsquor;|1:2|Domagoj Vida|Assist:|Luka Modrić']</t>
  </si>
  <si>
    <t>['3|1:1|Alan Dzagoev', '7|2:2|Sergei Ignashevich', '9|3:3|Daler Kuzyaev']</t>
  </si>
  <si>
    <t>['2|0:1|Marcelo Brozović', '6|1:2|Luka Modrić', '8|2:3|Domagoj Vida', '10|3:4|Ivan Rakitić']</t>
  </si>
  <si>
    <t>['1|0:0|Fyodor Smolov', '5|1:1|Mário Fernandes']</t>
  </si>
  <si>
    <t>['4|1:1|Mateo Kovačić']</t>
  </si>
  <si>
    <t>['109&amp;rsquor;|1:2|Yuri Gazinskiy']</t>
  </si>
  <si>
    <t>['35&amp;rsquor;|1:0|Dejan Lovren', '38&amp;rsquor;|1:0|Ivan Strinić', '101&amp;rsquor;|1:2|Domagoj Vida', '114&amp;rsquor;|1:2|Josip Pivarić']</t>
  </si>
  <si>
    <t>['54&amp;rsquor;|1:1|Aleksandr Erokhin|for Aleksandr Samedov', '67&amp;rsquor;|1:1|Fyodor Smolov|for Denis Cheryshev', '79&amp;rsquor;|1:1|Yuri Gazinskiy|for Artem Dzyuba', '102&amp;rsquor;|1:2|Alan Dzagoev|for Aleksandr Golovin']</t>
  </si>
  <si>
    <t>['63&amp;rsquor;|1:1|Marcelo Brozović|for Ivan Perišić', '74&amp;rsquor;|1:1|Josip Pivarić|for Ivan Strinić', '88&amp;rsquor;|1:1|Mateo Kovačić|for Andrej Kramarić', '97&amp;rsquor;|1:1|Vedran Ćorluka|for Šime Vrsaljko']</t>
  </si>
  <si>
    <t>Óscar Tabárez</t>
  </si>
  <si>
    <t>Stadion Nizhny Novgorod, Nizhny Novgorod</t>
  </si>
  <si>
    <t>Néstor Pitana (Referee) · Hernán Maidana (AR1) · Juan Pablo Belatti (AR2) · Alireza Faghani (4th) · Massimiliano Irrati (VAR)</t>
  </si>
  <si>
    <t>Raphaël Varane · 40|Antoine Griezmann · 61</t>
  </si>
  <si>
    <t>['40&amp;rsquor;|0:1|Raphaël Varane|Assist:|Antoine Griezmann', '61&amp;rsquor;|0:2|Antoine Griezmann|Assist:|Corentin Tolisso']</t>
  </si>
  <si>
    <t>['38&amp;rsquor;|0:0|Rodrigo Bentancur', '69&amp;rsquor;|0:2|Cristian Rodríguez']</t>
  </si>
  <si>
    <t>['33&amp;rsquor;|0:0|Lucas Hernández', '69&amp;rsquor;|0:2|Kylian Mbappé']</t>
  </si>
  <si>
    <t>['59&amp;rsquor;|0:1|Maxi Gómez|for Cristhian Stuani', '59&amp;rsquor;|0:1|Cristian Rodríguez|for Rodrigo Bentancur', '73&amp;rsquor;|0:2|Jonathan Urretaviscaya|for Nahitan Nández']</t>
  </si>
  <si>
    <t>['80&amp;rsquor;|0:2|Steven Nzonzi|for Corentin Tolisso', '88&amp;rsquor;|0:2|Ousmane Dembélé|for Kylian Mbappé', '90+3&amp;rsquor;|0:2|Nabil Fekir|for Antoine Griezmann']</t>
  </si>
  <si>
    <t>Miranda</t>
  </si>
  <si>
    <t>Kazan Arena, Kazan</t>
  </si>
  <si>
    <t>Milorad Mažić (Referee) · Milovan Ristić (AR1) · Dalibor Đurđević (AR2) · Jair Marrufo (4th) · Daniele Orsato (VAR)</t>
  </si>
  <si>
    <t>Milorad Mažić</t>
  </si>
  <si>
    <t>Renato Augusto · 76</t>
  </si>
  <si>
    <t>Kevin De Bruyne · 32</t>
  </si>
  <si>
    <t>['76&amp;rsquor;|1:2|Renato Augusto|Assist:|Philippe Coutinho']</t>
  </si>
  <si>
    <t>['32&amp;rsquor;|0:2|Kevin De Bruyne|Assist:|Romelu Lukaku']</t>
  </si>
  <si>
    <t>Fernandinho (OG) · 13</t>
  </si>
  <si>
    <t>['85&amp;rsquor;|1:2|Fernandinho', '90&amp;rsquor;|1:2|Fagner']</t>
  </si>
  <si>
    <t>['47&amp;rsquor;|0:2|Toby Alderweireld', '71&amp;rsquor;|0:2|Thomas Meunier']</t>
  </si>
  <si>
    <t>['46&amp;rsquor;|0:2|Roberto Firmino|for Willian', '58&amp;rsquor;|0:2|Douglas Costa|for Gabriel Jesus', '73&amp;rsquor;|0:2|Renato Augusto|for Paulinho']</t>
  </si>
  <si>
    <t>['83&amp;rsquor;|1:2|Thomas Vermaelen|for Nacer Chadli', '87&amp;rsquor;|1:2|Youri Tielemans|for Romelu Lukaku']</t>
  </si>
  <si>
    <t>Vladimir Petković</t>
  </si>
  <si>
    <t>Valon Behrami</t>
  </si>
  <si>
    <t>Damir Skomina (Referee) · Jure Praprotnik (AR1) · Robert Vukan (AR2) · Nawaf Shukralla (4th) · Daniele Orsato (VAR)</t>
  </si>
  <si>
    <t>Damir Skomina</t>
  </si>
  <si>
    <t>Emil Forsberg · 66</t>
  </si>
  <si>
    <t>['66&amp;rsquor;|1:0|Emil Forsberg|Assist:|Ola Toivonen']</t>
  </si>
  <si>
    <t>Michael Lang · 90+3</t>
  </si>
  <si>
    <t>['31&amp;rsquor;|0:0|Mikael Lustig']</t>
  </si>
  <si>
    <t>['61&amp;rsquor;|0:0|Valon Behrami', '68&amp;rsquor;|1:0|Granit Xhaka']</t>
  </si>
  <si>
    <t>['82&amp;rsquor;|1:0|Martin Olsson|for Emil Forsberg', '82&amp;rsquor;|1:0|Emil Krafth|for Mikael Lustig', '90+1&amp;rsquor;|1:0|Isaac Kiese Thelin|for Marcus Berg']</t>
  </si>
  <si>
    <t>['73&amp;rsquor;|1:0|Breel Embolo|for Steven Zuber', '73&amp;rsquor;|1:0|Haris Seferović|for Blerim Džemaili']</t>
  </si>
  <si>
    <t>José Pekerman</t>
  </si>
  <si>
    <t>Radamel Falcao</t>
  </si>
  <si>
    <t>Otkrytie Arena, Moskva</t>
  </si>
  <si>
    <t>Mark Geiger (Referee) · Joe Fletcher (AR1) · Frank Anderson (AR2) · Matt Conger (4th) · Danny Makkelie (VAR)</t>
  </si>
  <si>
    <t>(3) 1–1 (4)</t>
  </si>
  <si>
    <t>Mark Geiger</t>
  </si>
  <si>
    <t>England won on penalty kicks following extra time</t>
  </si>
  <si>
    <t>Yerry Mina · 90+3</t>
  </si>
  <si>
    <t>['90+3&amp;rsquor;|1:1|Yerry Mina|Assist:|Juan Cuadrado']</t>
  </si>
  <si>
    <t>Harry Kane (P) · 57</t>
  </si>
  <si>
    <t>['1|1:0|Radamel Falcao', '3|2:1|Juan Cuadrado', '5|3:2|Luis Muriel']</t>
  </si>
  <si>
    <t>['2|1:1|Harry Kane', '4|2:2|Marcus Rashford', '8|3:3|Kieran Trippier', '10|3:4|Eric Dier']</t>
  </si>
  <si>
    <t>['7|3:2|Mateus Uribe', '9|3:3|Carlos Bacca']</t>
  </si>
  <si>
    <t>['6|3:2|Jordan Henderson']</t>
  </si>
  <si>
    <t>['41&amp;rsquor;|0:0|Wílmar Barrios', '52&amp;rsquor;|0:0|Santiago Arias', '54&amp;rsquor;|0:0|Carlos Sánchez', '63&amp;rsquor;|0:1|Radamel Falcao', '64&amp;rsquor;|0:1|Carlos Bacca', '118&amp;rsquor;|1:1|Juan Cuadrado']</t>
  </si>
  <si>
    <t>['56&amp;rsquor;|0:0|Jordan Henderson', '69&amp;rsquor;|0:1|Jesse Lingard']</t>
  </si>
  <si>
    <t>['61&amp;rsquor;|0:1|Carlos Bacca|for Jefferson Lerma', '79&amp;rsquor;|0:1|Mateus Uribe|for Carlos Sánchez', '88&amp;rsquor;|0:1|Luis Muriel|for Juan Quintero', '116&amp;rsquor;|1:1|Cristián Zapata|for Santiago Arias']</t>
  </si>
  <si>
    <t>['81&amp;rsquor;|0:1|Eric Dier|for Dele Alli', '88&amp;rsquor;|0:1|Jamie Vardy|for Raheem Sterling', '102&amp;rsquor;|1:1|Danny Rose|for Ashley Young', '113&amp;rsquor;|1:1|Marcus Rashford|for Kyle Walker']</t>
  </si>
  <si>
    <t>Juan Carlos Osorio</t>
  </si>
  <si>
    <t>Rafael Márquez</t>
  </si>
  <si>
    <t>Gianluca Rocchi (Referee) · Elenito Di Liberatore (AR1) · Mauro Tonolini (AR2) · Antonio Matéu Lahoz (4th) · Massimiliano Irrati (VAR)</t>
  </si>
  <si>
    <t>Gianluca Rocchi</t>
  </si>
  <si>
    <t>Neymar · 51|Roberto Firmino · 88</t>
  </si>
  <si>
    <t>['51&amp;rsquor;|1:0|Neymar|Assist:|Willian', '88&amp;rsquor;|2:0|Roberto Firmino|Assist:|Neymar']</t>
  </si>
  <si>
    <t>['43&amp;rsquor;|0:0|Filipe Luís', '59&amp;rsquor;|1:0|Casemiro']</t>
  </si>
  <si>
    <t>['38&amp;rsquor;|0:0|Edson Álvarez', '55&amp;rsquor;|1:0|Héctor Herrera', '77&amp;rsquor;|1:0|Carlos Salcedo', '90+2&amp;rsquor;|2:0|Andrés Guardado']</t>
  </si>
  <si>
    <t>['80&amp;rsquor;|1:0|Fernandinho|for Paulinho', '86&amp;rsquor;|1:0|Roberto Firmino|for Philippe Coutinho', '90+1&amp;rsquor;|2:0|Marquinhos|for Willian']</t>
  </si>
  <si>
    <t>['46&amp;rsquor;|0:0|Miguel Layún|for Rafael Márquez', '55&amp;rsquor;|1:0|Jonathan dos Santos|for Edson Álvarez', '60&amp;rsquor;|1:0|Raúl Jiménez|for Javier Hernández']</t>
  </si>
  <si>
    <t>Akira Nishino</t>
  </si>
  <si>
    <t>Makoto Hasebe</t>
  </si>
  <si>
    <t>Rostov Arena, Rostov-na-Donu</t>
  </si>
  <si>
    <t>Malang Diédhiou (Referee) · Djibril Camara (AR1) · El Hadji Malick Samba (AR2) · Bakary Papa Gassama (4th) · Felix Zwayer (VAR)</t>
  </si>
  <si>
    <t>Malang Diédhiou</t>
  </si>
  <si>
    <t>Jan Vertonghen · 69|Marouane Fellaini · 74|Nacer Chadli · 90+4</t>
  </si>
  <si>
    <t>Genki Haraguchi · 48|Takashi Inui · 52</t>
  </si>
  <si>
    <t>['69&amp;rsquor;|1:2|Jan Vertonghen', '74&amp;rsquor;|2:2|Marouane Fellaini|Assist:|Eden Hazard', '90+4&amp;rsquor;|3:2|Nacer Chadli|Assist:|Thomas Meunier']</t>
  </si>
  <si>
    <t>['48&amp;rsquor;|0:1|Genki Haraguchi|Assist:|Gaku Shibasaki', '52&amp;rsquor;|0:2|Takashi Inui|Assist:|Shinji Kagawa']</t>
  </si>
  <si>
    <t>['40&amp;rsquor;|0:0|Gaku Shibasaki']</t>
  </si>
  <si>
    <t>['65&amp;rsquor;|0:2|Nacer Chadli|for Yannick Carrasco', '65&amp;rsquor;|0:2|Marouane Fellaini|for Dries Mertens']</t>
  </si>
  <si>
    <t>['81&amp;rsquor;|2:2|Hotaru Yamaguchi|for Gaku Shibasaki', '81&amp;rsquor;|2:2|Keisuke Honda|for Genki Haraguchi']</t>
  </si>
  <si>
    <t>Fernando Hierro</t>
  </si>
  <si>
    <t>Sergio Ramos</t>
  </si>
  <si>
    <t>Björn Kuipers (Referee) · Sander van Roekel (AR1) · Erwin Zeinstra (AR2) · Clément Turpin (4th) · Danny Makkelie (VAR)</t>
  </si>
  <si>
    <t>Russia won on penalty kicks following extra time</t>
  </si>
  <si>
    <t>Sergei Ignashevich (OG) · 12</t>
  </si>
  <si>
    <t>Artem Dzyuba (P) · 42</t>
  </si>
  <si>
    <t>['1|1:0|Andrés Iniesta', '3|2:1|Gerard Piqué', '7|3:3|Sergio Ramos']</t>
  </si>
  <si>
    <t>['2|1:1|Fyodor Smolov', '4|2:2|Sergei Ignashevich', '6|2:3|Aleksandr Golovin', '8|3:4|Denis Cheryshev']</t>
  </si>
  <si>
    <t>['5|2:2|Koke', '9|3:4|Iago Aspas']</t>
  </si>
  <si>
    <t>['40&amp;rsquor;|1:0|Gerard Piqué']</t>
  </si>
  <si>
    <t>['54&amp;rsquor;|1:1|Ilya Kutepov', '71&amp;rsquor;|1:1|Roman Zobnin']</t>
  </si>
  <si>
    <t>['67&amp;rsquor;|1:1|Andrés Iniesta|for David Silva', '70&amp;rsquor;|1:1|Dani Carvajal|for Nacho', '80&amp;rsquor;|1:1|Iago Aspas|for Diego Costa', '104&amp;rsquor;|1:1|Rodrigo|for Marco Asensio']</t>
  </si>
  <si>
    <t>['46&amp;rsquor;|1:1|Vladimir Granat|for Yuri Zhirkov', '61&amp;rsquor;|1:1|Denis Cheryshev|for Aleksandr Samedov', '65&amp;rsquor;|1:1|Fyodor Smolov|for Artem Dzyuba', '97&amp;rsquor;|1:1|Aleksandr Erokhin|for Daler Kuzyaev']</t>
  </si>
  <si>
    <t>Åge Hareide</t>
  </si>
  <si>
    <t>Néstor Pitana (Referee) · Hernán Maidana (AR1) · Juan Pablo Belatti (AR2) · Enrique Cáceres (4th) · Mauro Vigliano (VAR)</t>
  </si>
  <si>
    <t>(3) 1–1 (2)</t>
  </si>
  <si>
    <t>Mario Mandžukić · 4</t>
  </si>
  <si>
    <t>Mathias Jørgensen · 1</t>
  </si>
  <si>
    <t>['4&amp;rsquor;|1:1|Mario Mandžukić']</t>
  </si>
  <si>
    <t>['1&amp;rsquor;|0:1|Mathias Jørgensen|Assist:|Thomas Delaney']</t>
  </si>
  <si>
    <t>['116&amp;rsquor;|1:1|Luka Modrić|Penalty saved by Kasper Schmeichel']</t>
  </si>
  <si>
    <t>['4|1:1|Andrej Kramarić', '6|2:2|Luka Modrić', '10|3:2|Ivan Rakitić']</t>
  </si>
  <si>
    <t>['3|0:1|Simon Kjær', '5|1:2|Michael Krohn-Dehli']</t>
  </si>
  <si>
    <t>['2|0:0|Milan Badelj', '8|2:2|Josip Pivarić']</t>
  </si>
  <si>
    <t>['1|0:0|Christian Eriksen', '7|2:2|Lasse Schöne', '9|2:2|Nicolai Jørgensen']</t>
  </si>
  <si>
    <t>['115&amp;rsquor;|1:1|Mathias Jørgensen']</t>
  </si>
  <si>
    <t>['71&amp;rsquor;|1:1|Mateo Kovačić|for Marcelo Brozović', '81&amp;rsquor;|1:1|Josip Pivarić|for Ivan Strinić', '97&amp;rsquor;|1:1|Andrej Kramarić|for Ivan Perišić', '108&amp;rsquor;|1:1|Milan Badelj|for Mario Mandžukić']</t>
  </si>
  <si>
    <t>['46&amp;rsquor;|1:1|Lasse Schöne|for Andreas Christensen', '66&amp;rsquor;|1:1|Nicolai Jørgensen|for Andreas Cornelius', '98&amp;rsquor;|1:1|Michael Krohn-Dehli|for Thomas Delaney', '106&amp;rsquor;|1:1|Pione Sisto|for Martin Braithwaite']</t>
  </si>
  <si>
    <t>Jorge Sampaoli</t>
  </si>
  <si>
    <t>Alireza Faghani (Referee) · Reza Sokhandan (AR1) · Mohammadreza Mansouri (AR2) · Julio Bascuñán (4th) · Massimiliano Irrati (VAR)</t>
  </si>
  <si>
    <t>4–3</t>
  </si>
  <si>
    <t>Benjamin Pavard · 57|Kylian Mbappé · 64|Kylian Mbappé · 68</t>
  </si>
  <si>
    <t>Ángel Di María · 41|Gabriel Mercado · 48|Sergio Agüero · 90+3</t>
  </si>
  <si>
    <t>['57&amp;rsquor;|2:2|Benjamin Pavard|Assist:|Lucas Hernández', '64&amp;rsquor;|3:2|Kylian Mbappé', '68&amp;rsquor;|4:2|Kylian Mbappé|Assist:|Olivier Giroud']</t>
  </si>
  <si>
    <t>['41&amp;rsquor;|1:1|Ángel Di María|Assist:|Éver Banega', '48&amp;rsquor;|1:2|Gabriel Mercado|Assist:|Lionel Messi', '90+3&amp;rsquor;|4:3|Sergio Agüero|Assist:|Lionel Messi']</t>
  </si>
  <si>
    <t>Antoine Griezmann (P) · 13</t>
  </si>
  <si>
    <t>['72&amp;rsquor;|4:2|Blaise Matuidi', '73&amp;rsquor;|4:2|Benjamin Pavard', '90+3&amp;rsquor;|4:3|Olivier Giroud']</t>
  </si>
  <si>
    <t>['11&amp;rsquor;|0:0|Marcos Rojo', '19&amp;rsquor;|1:0|Nicolás Tagliafico', '43&amp;rsquor;|1:1|Javier Mascherano', '49&amp;rsquor;|1:2|Éver Banega', '90+3&amp;rsquor;|4:3|Nicolás Otamendi']</t>
  </si>
  <si>
    <t>['75&amp;rsquor;|4:2|Corentin Tolisso|for Blaise Matuidi', '83&amp;rsquor;|4:2|Nabil Fekir|for Antoine Griezmann', '89&amp;rsquor;|4:2|Florian Thauvin|for Kylian Mbappé']</t>
  </si>
  <si>
    <t>['46&amp;rsquor;|1:1|Federico Fazio|for Marcos Rojo', '66&amp;rsquor;|3:2|Sergio Agüero|for Enzo Pérez', '75&amp;rsquor;|4:2|Maximiliano Meza|for Cristian Pavón']</t>
  </si>
  <si>
    <t>César Arturo Ramos (Referee) · Marvin Torrentera (AR1) · Miguel Ángel Hernández (AR2) · Jair Marrufo (4th) · Mark Geiger (VAR)</t>
  </si>
  <si>
    <t>Edinson Cavani · 7|Edinson Cavani · 62</t>
  </si>
  <si>
    <t>Pepe · 55</t>
  </si>
  <si>
    <t>['7&amp;rsquor;|1:0|Edinson Cavani|Assist:|Luis Suárez', '62&amp;rsquor;|2:1|Edinson Cavani|Assist:|Rodrigo Bentancur']</t>
  </si>
  <si>
    <t>['55&amp;rsquor;|1:1|Pepe|Assist:|Raphaël Guerreiro']</t>
  </si>
  <si>
    <t>['90+3&amp;rsquor;|2:1|Cristiano Ronaldo']</t>
  </si>
  <si>
    <t>['63&amp;rsquor;|2:1|Cristian Rodríguez|for Rodrigo Bentancur', '74&amp;rsquor;|2:1|Cristhian Stuani|for Edinson Cavani', '81&amp;rsquor;|2:1|Carlos Sánchez|for Nahitan Nández']</t>
  </si>
  <si>
    <t>['65&amp;rsquor;|2:1|Ricardo Quaresma|for Adrien Silva', '74&amp;rsquor;|2:1|André Silva|for Gonçalo Guedes', '85&amp;rsquor;|2:1|Manuel Fernandes|for João Mário']</t>
  </si>
  <si>
    <t>Eiji Kawashima</t>
  </si>
  <si>
    <t>Adam Nawałka</t>
  </si>
  <si>
    <t>Volgograd Arena, Volgograd</t>
  </si>
  <si>
    <t>Janny Sikazwe (Referee) · Jerson dos Santos (AR1) · Zakhele Siwela (AR2) · Ricardo Montero (4th) · Daniele Orsato (VAR)</t>
  </si>
  <si>
    <t>Jan Bednarek · 59</t>
  </si>
  <si>
    <t>['59&amp;rsquor;|0:1|Jan Bednarek|Assist:|Rafał Kurzawa']</t>
  </si>
  <si>
    <t>['66&amp;rsquor;|0:1|Tomoaki Makino']</t>
  </si>
  <si>
    <t>['47&amp;rsquor;|0:0|Yuya Osako|for Shinji Okazaki', '65&amp;rsquor;|0:1|Takashi Inui|for Takashi Usami', '82&amp;rsquor;|0:1|Makoto Hasebe|for Yoshinori Mutō']</t>
  </si>
  <si>
    <t>['79&amp;rsquor;|0:1|Łukasz Teodorczyk|for Piotr Zieliński', '80&amp;rsquor;|0:1|Sławomir Peszko|for Rafał Kurzawa']</t>
  </si>
  <si>
    <t>Cheikhou Kouyaté</t>
  </si>
  <si>
    <t>Milorad Mažić (Referee) · Milovan Ristić (AR1) · Dalibor Đurđević (AR2) · Bamlak Tessema (4th) · Danny Makkelie (VAR)</t>
  </si>
  <si>
    <t>Yerry Mina · 74</t>
  </si>
  <si>
    <t>['74&amp;rsquor;|0:1|Yerry Mina|Assist:|Juan Quintero']</t>
  </si>
  <si>
    <t>["51&amp;rsquor;|0:0|M'Baye Niang"]</t>
  </si>
  <si>
    <t>['45&amp;rsquor;|0:0|Johan Mojica']</t>
  </si>
  <si>
    <t>['74&amp;rsquor;|0:0|Moussa Wagué|for Youssouf Sabaly', '80&amp;rsquor;|0:1|Moussa Konaté|for Keita Baldé', "86&amp;rsquor;|0:1|Diafra Sakho|for M'Baye Niang"]</t>
  </si>
  <si>
    <t>['31&amp;rsquor;|0:0|Luis Muriel|for James Rodríguez', '83&amp;rsquor;|0:1|Jefferson Lerma|for Mateus Uribe', '89&amp;rsquor;|0:1|Miguel Borja|for Radamel Falcao']</t>
  </si>
  <si>
    <t>Eric Dier</t>
  </si>
  <si>
    <t>Thibaut Courtois</t>
  </si>
  <si>
    <t>Kaliningrad Stadium, Kaliningrad</t>
  </si>
  <si>
    <t>Damir Skomina (Referee) · Jure Praprotnik (AR1) · Robert Vukan (AR2) · Mohammed Abdulla Hassan (4th) · Artur Soares Dias (VAR)</t>
  </si>
  <si>
    <t>Adnan Januzaj · 51</t>
  </si>
  <si>
    <t>['51&amp;rsquor;|0:1|Adnan Januzaj|Assist:|Youri Tielemans']</t>
  </si>
  <si>
    <t>['19&amp;rsquor;|0:0|Youri Tielemans', '33&amp;rsquor;|0:0|Leander Dendoncker']</t>
  </si>
  <si>
    <t>['46&amp;rsquor;|0:0|Harry Maguire|for John Stones', '79&amp;rsquor;|0:1|Danny Welbeck|for Marcus Rashford']</t>
  </si>
  <si>
    <t>['74&amp;rsquor;|0:1|Vincent Kompany|for Thomas Vermaelen', '86&amp;rsquor;|0:1|Dries Mertens|for Adnan Januzaj']</t>
  </si>
  <si>
    <t>Hernán Darío Gómez</t>
  </si>
  <si>
    <t>Román Torres</t>
  </si>
  <si>
    <t>Nabil Maâloul</t>
  </si>
  <si>
    <t>Aymen Mathlouthi</t>
  </si>
  <si>
    <t>Mordovia Arena, Saransk</t>
  </si>
  <si>
    <t>Nawaf Shukralla (Referee) · Yaser Tulefat (AR1) · Taleb Salem Al Marri (AR2) · Mehdi Abid Charef (4th) · Tiago Martins (VAR)</t>
  </si>
  <si>
    <t>Nawaf Shukralla</t>
  </si>
  <si>
    <t>Fakhreddine Ben Youssef · 51|Wahbi Khazri · 66</t>
  </si>
  <si>
    <t>['51&amp;rsquor;|1:1|Fakhreddine Ben Youssef|Assist:|Wahbi Khazri', '66&amp;rsquor;|1:2|Wahbi Khazri|Assist:|Oussama Haddadi']</t>
  </si>
  <si>
    <t>Yassine Meriah (OG) · 33</t>
  </si>
  <si>
    <t>['78&amp;rsquor;|1:2|Ricardo Ávila', '79&amp;rsquor;|1:2|Gabriel Gómez', '90+6&amp;rsquor;|1:2|Luis Tejada']</t>
  </si>
  <si>
    <t>['44&amp;rsquor;|1:0|Ferjani Sassi', '71&amp;rsquor;|1:2|Anice Badri', '90+3&amp;rsquor;|1:2|Ghaylène Chaalali']</t>
  </si>
  <si>
    <t>['46&amp;rsquor;|1:0|Harold Cummings|for Gabriel Torres', '56&amp;rsquor;|1:1|Luis Tejada|for Román Torres', '81&amp;rsquor;|1:2|Abdiel Arroyo|for Ricardo Ávila']</t>
  </si>
  <si>
    <t>['46&amp;rsquor;|1:0|Anice Badri|for Ferjani Sassi', '77&amp;rsquor;|1:2|Ahmed Khalil|for Naïm Sliti', '89&amp;rsquor;|1:2|Bassem Srarfi|for Wahbi Khazri']</t>
  </si>
  <si>
    <t>Shin Taeyong</t>
  </si>
  <si>
    <t>Joachim Löw</t>
  </si>
  <si>
    <t>Mark Geiger (Referee) · Joe Fletcher (AR1) · Frank Anderson (AR2) · Julio Bascuñán (4th) · Danny Makkelie (VAR)</t>
  </si>
  <si>
    <t>Kim Young-gwon · 90+3|Son Heung-min · 90+6</t>
  </si>
  <si>
    <t>['90+3&amp;rsquor;|1:0|Kim Young-gwon', '90+6&amp;rsquor;|2:0|Son Heung-min|Assist:|Ju Se-jong']</t>
  </si>
  <si>
    <t>['9&amp;rsquor;|0:0|Jung Woo-young', '23&amp;rsquor;|0:0|Lee Jae-sung', '48&amp;rsquor;|0:0|Moon Seon-min', '65&amp;rsquor;|0:0|Son Heung-min']</t>
  </si>
  <si>
    <t>['56&amp;rsquor;|0:0|Hwang Hee-chan|for Koo Ja-cheol', '69&amp;rsquor;|0:0|Ju Se-jong|for Moon Seon-min', '79&amp;rsquor;|0:0|Go Yo-han|for Hwang Hee-chan']</t>
  </si>
  <si>
    <t>['58&amp;rsquor;|0:0|Mario Gómez|for Sami Khedira', '63&amp;rsquor;|0:0|Thomas Müller|for Leon Goretzka', '78&amp;rsquor;|0:0|Julian Brandt|for Jonas Hector']</t>
  </si>
  <si>
    <t>Robin Olsen</t>
  </si>
  <si>
    <t>Stadion Central'nyj, Yekaterinburg</t>
  </si>
  <si>
    <t>Néstor Pitana (Referee) · Hernán Maidana (AR1) · Juan Pablo Belatti (AR2) · Andrés Cunha (4th) · Mauro Vigliano (VAR)</t>
  </si>
  <si>
    <t>Ludwig Augustinsson · 50</t>
  </si>
  <si>
    <t>['50&amp;rsquor;|0:1|Ludwig Augustinsson|Assist:|Viktor Claesson']</t>
  </si>
  <si>
    <t>Edson Álvarez (OG) · 74</t>
  </si>
  <si>
    <t>Andreas Granqvist (P) · 62</t>
  </si>
  <si>
    <t>['1&amp;rsquor;|0:0|Jesús Gallardo', '61&amp;rsquor;|0:1|Héctor Moreno', '86&amp;rsquor;|0:3|Miguel Layún']</t>
  </si>
  <si>
    <t>['26&amp;rsquor;|0:0|Seb Larsson', '88&amp;rsquor;|0:3|Mikael Lustig']</t>
  </si>
  <si>
    <t>['65&amp;rsquor;|0:2|Marco Fabián|for Jesús Gallardo', '75&amp;rsquor;|0:3|Jesús Corona|for Andrés Guardado', '89&amp;rsquor;|0:3|Oribe Peralta|for Miguel Layún']</t>
  </si>
  <si>
    <t>['57&amp;rsquor;|0:1|Gustav Svensson|for Seb Larsson', '68&amp;rsquor;|0:2|Isaac Kiese Thelin|for Marcus Berg', '80&amp;rsquor;|0:3|Oscar Hiljemark|for Albin Ekdal']</t>
  </si>
  <si>
    <t>Stephan Lichtsteiner</t>
  </si>
  <si>
    <t>Oscar Ramírez</t>
  </si>
  <si>
    <t>Bryan Ruiz</t>
  </si>
  <si>
    <t>Clément Turpin (Referee) · Nicolas Danos (AR1) · Cyril Gringore (AR2) · Norbert Hauata (4th) · Felix Zwayer (VAR)</t>
  </si>
  <si>
    <t>2–2</t>
  </si>
  <si>
    <t>Blerim Džemaili · 31|Josip Drmić · 88</t>
  </si>
  <si>
    <t>Kendall Waston · 56</t>
  </si>
  <si>
    <t>['31&amp;rsquor;|1:0|Blerim Džemaili|Assist:|Breel Embolo', '88&amp;rsquor;|2:1|Josip Drmić|Assist:|Denis Zakaria']</t>
  </si>
  <si>
    <t>['56&amp;rsquor;|1:1|Kendall Waston|Assist:|Joel Campbell']</t>
  </si>
  <si>
    <t>Yann Sommer (OG) · 90+3</t>
  </si>
  <si>
    <t>['90+3&amp;rsquor;|2:1|Bryan Ruiz|Penalty Miss']</t>
  </si>
  <si>
    <t>['37&amp;rsquor;|1:0|Stephan Lichtsteiner', '75&amp;rsquor;|1:1|Denis Zakaria', '83&amp;rsquor;|1:1|Fabian Schär']</t>
  </si>
  <si>
    <t>['11&amp;rsquor;|0:0|Cristian Gamboa', '29&amp;rsquor;|0:0|Joel Campbell', '89&amp;rsquor;|2:1|Kendall Waston']</t>
  </si>
  <si>
    <t>['60&amp;rsquor;|1:1|Denis Zakaria|for Valon Behrami', '69&amp;rsquor;|1:1|Josip Drmić|for Mario Gavranović', '81&amp;rsquor;|1:1|Michael Lang|for Xherdan Shaqiri']</t>
  </si>
  <si>
    <t>['81&amp;rsquor;|1:1|Rodney Wallace|for Daniel Colindres', '90+1&amp;rsquor;|2:1|Randall Azofeifa|for David Guzmán', '90+3&amp;rsquor;|2:1|Ian Smith|for Cristian Gamboa']</t>
  </si>
  <si>
    <t>Mladen Krstajić</t>
  </si>
  <si>
    <t>Aleksandar Kolarov</t>
  </si>
  <si>
    <t>Alireza Faghani (Referee) · Reza Sokhandan (AR1) · Mohammadreza Mansouri (AR2) · Nawaf Shukralla (4th) · Massimiliano Irrati (VAR)</t>
  </si>
  <si>
    <t>Paulinho · 36|Thiago Silva · 68</t>
  </si>
  <si>
    <t>['36&amp;rsquor;|0:1|Paulinho|Assist:|Philippe Coutinho', '68&amp;rsquor;|0:2|Thiago Silva|Assist:|Neymar']</t>
  </si>
  <si>
    <t>['33&amp;rsquor;|0:0|Adem Ljajić', '48&amp;rsquor;|0:1|Nemanja Matić', '71&amp;rsquor;|0:2|Aleksandar Mitrović']</t>
  </si>
  <si>
    <t>['75&amp;rsquor;|0:2|Andrija Živković|for Adem Ljajić', '82&amp;rsquor;|0:2|Nemanja Radonjić|for Filip Kostić', '89&amp;rsquor;|0:2|Luka Jović|for Aleksandar Mitrović']</t>
  </si>
  <si>
    <t>['10&amp;rsquor;|0:0|Filipe Luís|for Marcelo', '66&amp;rsquor;|0:1|Fernandinho|for Paulinho', '80&amp;rsquor;|0:2|Renato Augusto|for Philippe Coutinho']</t>
  </si>
  <si>
    <t>Bert van Marwijk</t>
  </si>
  <si>
    <t>Mile Jedinak</t>
  </si>
  <si>
    <t>Ricardo Gareca</t>
  </si>
  <si>
    <t>Paolo Guerrero</t>
  </si>
  <si>
    <t>Sergey Karasev (Referee) · Anton Averianov (AR1) · Tikhon Kalugin (AR2) · Ryūji Satō (4th) · Danny Makkelie (VAR)</t>
  </si>
  <si>
    <t>Sergey Karasev</t>
  </si>
  <si>
    <t>André Carrillo · 18|Paolo Guerrero · 50</t>
  </si>
  <si>
    <t>['18&amp;rsquor;|0:1|André Carrillo|Assist:|Paolo Guerrero', '50&amp;rsquor;|0:2|Paolo Guerrero']</t>
  </si>
  <si>
    <t>['10&amp;rsquor;|0:0|Mile Jedinak', '60&amp;rsquor;|0:2|Daniel Arzani', '66&amp;rsquor;|0:2|Tom Rogić', '88&amp;rsquor;|0:2|Mark Milligan']</t>
  </si>
  <si>
    <t>['45&amp;rsquor;|0:1|Yoshimar Yotún', '79&amp;rsquor;|0:2|Paolo Hurtado']</t>
  </si>
  <si>
    <t>['53&amp;rsquor;|0:2|Tim Cahill|for Tomi Juric', '58&amp;rsquor;|0:2|Daniel Arzani|for Robbie Kruse', '72&amp;rsquor;|0:2|Jackson Irvine|for Tom Rogić']</t>
  </si>
  <si>
    <t>['46&amp;rsquor;|0:1|Pedro Aquino|for Yoshimar Yotún', '63&amp;rsquor;|0:2|Paolo Hurtado|for Renato Tapia', '79&amp;rsquor;|0:2|Wilder Cartagena|for André Carrillo']</t>
  </si>
  <si>
    <t>Sandro Ricci (Referee) · Emerson de Carvalho (AR1) · Marcelo Van Gasse (AR2) · Gianluca Rocchi (4th) · Mauro Vigliano (VAR)</t>
  </si>
  <si>
    <t>['45+3&amp;rsquor;|0:0|Mathias Jørgensen']</t>
  </si>
  <si>
    <t>['60&amp;rsquor;|0:0|Viktor Fischer|for Pione Sisto', '75&amp;rsquor;|0:0|Kasper Dolberg|for Andreas Cornelius', '90+2&amp;rsquor;|0:0|Lukas Lerager|for Thomas Delaney']</t>
  </si>
  <si>
    <t>['50&amp;rsquor;|0:0|Benjamin Mendy|for Lucas Hernández', '68&amp;rsquor;|0:0|Nabil Fekir|for Antoine Griezmann', '78&amp;rsquor;|0:0|Kylian Mbappé|for Ousmane Dembélé']</t>
  </si>
  <si>
    <t>Heimir Hallgrímsson</t>
  </si>
  <si>
    <t>Aron Gunnarsson</t>
  </si>
  <si>
    <t>Antonio Matéu Lahoz (Referee) · Pau Cebrián Devis (AR1) · Roberto Díaz Pérez (AR2) · John Pitti (4th) · Paolo Valeri (VAR)</t>
  </si>
  <si>
    <t>Antonio Matéu Lahoz</t>
  </si>
  <si>
    <t>Milan Badelj · 53|Ivan Perišić · 90</t>
  </si>
  <si>
    <t>['53&amp;rsquor;|0:1|Milan Badelj', '90&amp;rsquor;|1:2|Ivan Perišić|Assist:|Milan Badelj']</t>
  </si>
  <si>
    <t>Gylfi Sigurðsson (P) · 76</t>
  </si>
  <si>
    <t>['59&amp;rsquor;|0:1|Emil Hallfreðsson', '64&amp;rsquor;|0:1|Alfreð Finnbogason', '84&amp;rsquor;|1:1|Birkir Már Sævarsson']</t>
  </si>
  <si>
    <t>['14&amp;rsquor;|0:0|Marko Pjaca', '83&amp;rsquor;|1:1|Tin Jedvaj']</t>
  </si>
  <si>
    <t>['70&amp;rsquor;|0:1|Björn Sigurðarson|for Ragnar Sigurðsson', '85&amp;rsquor;|1:1|Albert Guðmundsson|for Alfreð Finnbogason', '90&amp;rsquor;|1:1|Arnór Ingvi Traustason|for Birkir Bjarnason']</t>
  </si>
  <si>
    <t>['65&amp;rsquor;|0:1|Filip Bradarić|for Luka Modrić', '70&amp;rsquor;|0:1|Dejan Lovren|for Marko Pjaca', '81&amp;rsquor;|1:1|Ivan Rakitić|for Mateo Kovačić']</t>
  </si>
  <si>
    <t>Gernot Rohr</t>
  </si>
  <si>
    <t>John Obi Mikel</t>
  </si>
  <si>
    <t>Cüneyt Çakιr (Referee) · Bahattin Duran (AR1) · Tarık Ongun (AR2) · Björn Kuipers (4th) · Daniele Orsato (VAR)</t>
  </si>
  <si>
    <t>Lionel Messi · 14|Marcos Rojo · 86</t>
  </si>
  <si>
    <t>['14&amp;rsquor;|0:1|Lionel Messi|Assist:|Éver Banega', '86&amp;rsquor;|1:2|Marcos Rojo|Assist:|Gabriel Mercado']</t>
  </si>
  <si>
    <t>Victor Moses (P) · 51</t>
  </si>
  <si>
    <t>['32&amp;rsquor;|0:1|Leon Balogun', '90+1&amp;rsquor;|1:2|John Obi Mikel']</t>
  </si>
  <si>
    <t>['49&amp;rsquor;|0:1|Javier Mascherano', '64&amp;rsquor;|1:1|Éver Banega', '90+4&amp;rsquor;|1:2|Lionel Messi']</t>
  </si>
  <si>
    <t>['46&amp;rsquor;|0:1|Odion Ighalo|for Kelechi Iheanacho', '90&amp;rsquor;|1:2|Alex Iwobi|for Kenneth Omeruo', '90+2&amp;rsquor;|1:2|Simeon Nwankwo|for Ahmed Musa']</t>
  </si>
  <si>
    <t>['61&amp;rsquor;|1:1|Cristian Pavón|for Enzo Pérez', '72&amp;rsquor;|1:1|Maximiliano Meza|for Ángel Di María', '80&amp;rsquor;|1:1|Sergio Agüero|for Nicolás Tagliafico']</t>
  </si>
  <si>
    <t>Juan Antonio Pizzi</t>
  </si>
  <si>
    <t>Osama Hawsawi</t>
  </si>
  <si>
    <t>Héctor Cúper</t>
  </si>
  <si>
    <t>Essam El-Hadary</t>
  </si>
  <si>
    <t>Wilmar Roldán (Referee) · Alexander Guzmán (AR1) · Cristián de la Cruz (AR2) · Ricardo Montero (4th) · Artur Soares Dias (VAR)</t>
  </si>
  <si>
    <t>Wilmar Roldán</t>
  </si>
  <si>
    <t>Mohamed Salah · 22</t>
  </si>
  <si>
    <t>['90+5&amp;rsquor;|2:1|Salem Al-Dawsari|Assist:|Abdullah Otayf']</t>
  </si>
  <si>
    <t>['22&amp;rsquor;|0:1|Mohamed Salah|Assist:|Abdallah Said']</t>
  </si>
  <si>
    <t>Salman Al-Faraj (P) · 45+6</t>
  </si>
  <si>
    <t>['41&amp;rsquor;|0:1|Fahad Al Muwallad|Penalty saved by Essam El-Hadary']</t>
  </si>
  <si>
    <t>['45+5&amp;rsquor;|0:1|Ali Gabr', '86&amp;rsquor;|1:1|Ahmed Fathy']</t>
  </si>
  <si>
    <t>['65&amp;rsquor;|1:1|Muhannad Assiri|for Hattan Bahebri', '79&amp;rsquor;|1:1|Yahya Al-Shehri|for Fahad Al Muwallad']</t>
  </si>
  <si>
    <t>['45+7&amp;rsquor;|1:1|Amr Warda|for Abdallah Said', '64&amp;rsquor;|1:1|Ramadan Sobhi|for Marwan Mohsen', '81&amp;rsquor;|1:1|Kahraba|for Trézéguet']</t>
  </si>
  <si>
    <t>Malang Diédhiou (Referee) · Djibril Camara (AR1) · El Hadji Malick Samba (AR2) · Bamlak Tessema (4th) · Clément Turpin (VAR)</t>
  </si>
  <si>
    <t>Luis Suárez · 10|Edinson Cavani · 90</t>
  </si>
  <si>
    <t>['10&amp;rsquor;|1:0|Luis Suárez', '90&amp;rsquor;|3:0|Edinson Cavani']</t>
  </si>
  <si>
    <t>Denis Cheryshev (OG) · 23</t>
  </si>
  <si>
    <t>Igor Smolnikov · 36</t>
  </si>
  <si>
    <t>['59&amp;rsquor;|2:0|Rodrigo Bentancur']</t>
  </si>
  <si>
    <t>['9&amp;rsquor;|0:0|Yuri Gazinskiy', '27&amp;rsquor;|2:0|Igor Smolnikov']</t>
  </si>
  <si>
    <t>['63&amp;rsquor;|2:0|Giorgian De Arrascaeta|for Rodrigo Bentancur', '73&amp;rsquor;|2:0|Cristian Rodríguez|for Nahitan Nández', '90+3&amp;rsquor;|3:0|Maxi Gómez|for Edinson Cavani']</t>
  </si>
  <si>
    <t>['38&amp;rsquor;|2:0|Mário Fernandes|for Denis Cheryshev', '46&amp;rsquor;|2:0|Daler Kuzyaev|for Yuri Gazinskiy', '60&amp;rsquor;|2:0|Fyodor Smolov|for Aleksei Miranchuk']</t>
  </si>
  <si>
    <t>M'barek Boussoufa</t>
  </si>
  <si>
    <t>Ravshan Irmatov (Referee) · Abdukhamidullo Rasulov (AR1) · Jakhongir Saidov (AR2) · Mohammed Abdulla Hassan (4th) · Felix Zwayer (VAR)</t>
  </si>
  <si>
    <t>Ravshan Irmatov</t>
  </si>
  <si>
    <t>Isco · 19|Iago Aspas · 90+1</t>
  </si>
  <si>
    <t>Khalid Boutaïb · 14|Youssef En-Nesyri · 81</t>
  </si>
  <si>
    <t>['19&amp;rsquor;|1:1|Isco|Assist:|Andrés Iniesta', '90+1&amp;rsquor;|2:2|Iago Aspas|Assist:|Dani Carvajal']</t>
  </si>
  <si>
    <t>['14&amp;rsquor;|0:1|Khalid Boutaïb', '81&amp;rsquor;|1:2|Youssef En-Nesyri|Assist:|Fayçal Fajr']</t>
  </si>
  <si>
    <t>['22&amp;rsquor;|1:1|Karim El Ahmadi', '29&amp;rsquor;|1:1|Nordin Amrabat', '31&amp;rsquor;|1:1|Manuel da Costa', "31&amp;rsquor;|1:1|M'barek Boussoufa", '88&amp;rsquor;|1:2|Munir', '90+4&amp;rsquor;|2:2|Achraf Hakimi']</t>
  </si>
  <si>
    <t>['74&amp;rsquor;|1:1|Marco Asensio|for Thiago Alcántara', '74&amp;rsquor;|1:1|Iago Aspas|for Diego Costa', '84&amp;rsquor;|1:2|Rodrigo|for David Silva']</t>
  </si>
  <si>
    <t>['63&amp;rsquor;|1:1|Fayçal Fajr|for Younès Belhanda', '72&amp;rsquor;|1:1|Youssef En-Nesyri|for Khalid Boutaïb', '85&amp;rsquor;|1:2|Aziz Bouhaddouz|for Hakim Ziyech']</t>
  </si>
  <si>
    <t>Enrique Cáceres (Referee) · Eduardo Cardozo (AR1) · Juan Zorrilla (AR2) · Mehdi Abid Charef (4th) · Massimiliano Irrati (VAR)</t>
  </si>
  <si>
    <t>Enrique Cáceres</t>
  </si>
  <si>
    <t>Ricardo Quaresma · 45</t>
  </si>
  <si>
    <t>['45&amp;rsquor;|0:1|Ricardo Quaresma|Assist:|Adrien Silva']</t>
  </si>
  <si>
    <t>Karim Ansarifard (P) · 90+3</t>
  </si>
  <si>
    <t>['53&amp;rsquor;|0:1|Cristiano Ronaldo|Penalty saved by Alireza Beiranvand']</t>
  </si>
  <si>
    <t>['51&amp;rsquor;|0:1|Ehsan Hajsafi', '54&amp;rsquor;|0:1|Sardar Azmoun']</t>
  </si>
  <si>
    <t>['33&amp;rsquor;|0:0|Raphaël Guerreiro', '64&amp;rsquor;|0:1|Ricardo Quaresma', '83&amp;rsquor;|0:1|Cristiano Ronaldo', '90+8&amp;rsquor;|1:1|Cédric Soares']</t>
  </si>
  <si>
    <t>['56&amp;rsquor;|0:1|Milad Mohammadi|for Ehsan Hajsafi', '70&amp;rsquor;|0:1|Saman Ghoddos|for Alireza Jahanbakhsh', '75&amp;rsquor;|0:1|Karim Ansarifard|for Saeid Ezatolahi']</t>
  </si>
  <si>
    <t>['69&amp;rsquor;|0:1|Bernardo Silva|for Ricardo Quaresma', '84&amp;rsquor;|0:1|João Moutinho|for João Mário', '90+6&amp;rsquor;|1:1|Gonçalo Guedes|for André Silva']</t>
  </si>
  <si>
    <t>Gehad Grisha (Referee) · Redouane Achik (AR1) · Waleed Ahmed Ali (AR2) · Norbert Hauata (4th) · Danny Makkelie (VAR)</t>
  </si>
  <si>
    <t>Gehad Grisha</t>
  </si>
  <si>
    <t>John Stones · 8|Jesse Lingard · 36|John Stones · 40|Harry Kane · 62</t>
  </si>
  <si>
    <t>Felipe Baloy · 78</t>
  </si>
  <si>
    <t>['8&amp;rsquor;|1:0|John Stones|Assist:|Kieran Trippier', '36&amp;rsquor;|3:0|Jesse Lingard|Assist:|Raheem Sterling', '40&amp;rsquor;|4:0|John Stones', '62&amp;rsquor;|6:0|Harry Kane|Assist:|Ruben Loftus-Cheek']</t>
  </si>
  <si>
    <t>['78&amp;rsquor;|6:1|Felipe Baloy|Assist:|Ricardo Ávila']</t>
  </si>
  <si>
    <t>Harry Kane (P) · 22|Harry Kane (P) · 45+1</t>
  </si>
  <si>
    <t>['23&amp;rsquor;|2:0|Ruben Loftus-Cheek']</t>
  </si>
  <si>
    <t>['10&amp;rsquor;|1:0|Armando Cooper', '44&amp;rsquor;|4:0|Fidel Escobar', '72&amp;rsquor;|6:0|Michael Amir Murillo']</t>
  </si>
  <si>
    <t>['63&amp;rsquor;|6:0|Jamie Vardy|for Harry Kane', '63&amp;rsquor;|6:0|Fabian Delph|for Jesse Lingard', '70&amp;rsquor;|6:0|Danny Rose|for Kieran Trippier']</t>
  </si>
  <si>
    <t>['62&amp;rsquor;|5:0|Ricardo Ávila|for Aníbal Godoy', '69&amp;rsquor;|6:0|Abdiel Arroyo|for Édgar Yoel Bárcenas', '69&amp;rsquor;|6:0|Felipe Baloy|for Gabriel Gómez']</t>
  </si>
  <si>
    <t>Sadio Mané</t>
  </si>
  <si>
    <t>Gianluca Rocchi (Referee) · Elenito Di Liberatore (AR1) · Mauro Tonolini (AR2) · Abdelrahman Al Jassim (4th) · Massimiliano Irrati (VAR)</t>
  </si>
  <si>
    <t>Takashi Inui · 34|Keisuke Honda · 78</t>
  </si>
  <si>
    <t>Sadio Mané · 12|Moussa Wagué · 71</t>
  </si>
  <si>
    <t>['34&amp;rsquor;|1:1|Takashi Inui|Assist:|Yuto Nagatomo', '78&amp;rsquor;|2:2|Keisuke Honda|Assist:|Takashi Inui']</t>
  </si>
  <si>
    <t>['12&amp;rsquor;|0:1|Sadio Mané', "71&amp;rsquor;|1:2|Moussa Wagué|Assist:|M'Baye Niang"]</t>
  </si>
  <si>
    <t>['68&amp;rsquor;|1:1|Takashi Inui', '90+4&amp;rsquor;|2:2|Makoto Hasebe']</t>
  </si>
  <si>
    <t>["59&amp;rsquor;|1:1|M'Baye Niang", '90&amp;rsquor;|2:2|Youssouf Sabaly', "90+1&amp;rsquor;|2:2|Cheikh N'Doye"]</t>
  </si>
  <si>
    <t>['72&amp;rsquor;|1:2|Keisuke Honda|for Shinji Kagawa', '75&amp;rsquor;|1:2|Shinji Okazaki|for Genki Haraguchi', '87&amp;rsquor;|2:2|Takashi Usami|for Takashi Inui']</t>
  </si>
  <si>
    <t>["65&amp;rsquor;|1:1|Cheikhou Kouyaté|for Alfred N'Diaye", "81&amp;rsquor;|2:2|Cheikh N'Doye|for Badou Ndiaye", "86&amp;rsquor;|2:2|Mame Biram Diouf|for M'Baye Niang"]</t>
  </si>
  <si>
    <t>César Arturo Ramos (Referee) · Marvin Torrentera (AR1) · Miguel Ángel Hernández (AR2) · Julio Bascuñán (4th) · Mauro Vigliano (VAR)</t>
  </si>
  <si>
    <t>Yerry Mina · 40|Radamel Falcao · 70|Juan Cuadrado · 75</t>
  </si>
  <si>
    <t>['40&amp;rsquor;|0:1|Yerry Mina|Assist:|James Rodríguez', '70&amp;rsquor;|0:2|Radamel Falcao|Assist:|Juan Quintero', '75&amp;rsquor;|0:3|Juan Cuadrado|Assist:|James Rodríguez']</t>
  </si>
  <si>
    <t>['61&amp;rsquor;|0:1|Jan Bednarek', '85&amp;rsquor;|0:3|Jacek Góralski']</t>
  </si>
  <si>
    <t>['57&amp;rsquor;|0:1|Kamil Grosicki|for Dawid Kownacki', '72&amp;rsquor;|0:2|Łukasz Teodorczyk|for Bartosz Bereszyński', '80&amp;rsquor;|0:3|Kamil Glik|for Michał Pazdan']</t>
  </si>
  <si>
    <t>['32&amp;rsquor;|0:0|Mateus Uribe|for Abel Aguilar', '73&amp;rsquor;|0:2|Jefferson Lerma|for Juan Quintero', '78&amp;rsquor;|0:3|Carlos Bacca|for Radamel Falcao']</t>
  </si>
  <si>
    <t>Jair Marrufo (Referee) · Corey Rockwell (AR1) · Juan Zumba (AR2) · Andrés Cunha (4th) · Mark Geiger (VAR)</t>
  </si>
  <si>
    <t>5–2</t>
  </si>
  <si>
    <t>Jair Marrufo</t>
  </si>
  <si>
    <t>Romelu Lukaku · 16|Romelu Lukaku · 45+3|Eden Hazard · 51|Michy Batshuayi · 90</t>
  </si>
  <si>
    <t>Dylan Bronn · 18|Wahbi Khazri · 90+3</t>
  </si>
  <si>
    <t>['16&amp;rsquor;|2:0|Romelu Lukaku|Assist:|Dries Mertens', '45+3&amp;rsquor;|3:1|Romelu Lukaku|Assist:|Thomas Meunier', '51&amp;rsquor;|4:1|Eden Hazard|Assist:|Toby Alderweireld', '90&amp;rsquor;|5:1|Michy Batshuayi|Assist:|Youri Tielemans']</t>
  </si>
  <si>
    <t>['18&amp;rsquor;|2:1|Dylan Bronn|Assist:|Wahbi Khazri', '90+3&amp;rsquor;|5:2|Wahbi Khazri|Assist:|Hamdi Nagguez']</t>
  </si>
  <si>
    <t>Eden Hazard (P) · 6</t>
  </si>
  <si>
    <t>['14&amp;rsquor;|1:0|Ferjani Sassi']</t>
  </si>
  <si>
    <t>['59&amp;rsquor;|4:1|Marouane Fellaini|for Romelu Lukaku', '68&amp;rsquor;|4:1|Michy Batshuayi|for Eden Hazard', '86&amp;rsquor;|4:1|Youri Tielemans|for Dries Mertens']</t>
  </si>
  <si>
    <t>['24&amp;rsquor;|2:1|Hamdi Nagguez|for Dylan Bronn', '41&amp;rsquor;|2:1|Yohan Benalouane|for Syam Ben Youssef', '59&amp;rsquor;|4:1|Naïm Sliti|for Ferjani Sassi']</t>
  </si>
  <si>
    <t>Cho Hyun-woo</t>
  </si>
  <si>
    <t>Milorad Mažić (Referee) · Milovan Ristić (AR1) · Dalibor Đurđević (AR2) · John Pitti (4th) · Daniele Orsato (VAR)</t>
  </si>
  <si>
    <t>Son Heung-min · 90+3</t>
  </si>
  <si>
    <t>Javier Hernández · 66</t>
  </si>
  <si>
    <t>['90+3&amp;rsquor;|1:2|Son Heung-min|Assist:|Lee Jae-sung']</t>
  </si>
  <si>
    <t>['66&amp;rsquor;|0:2|Javier Hernández|Assist:|Hirving Lozano']</t>
  </si>
  <si>
    <t>Carlos Vela (P) · 26</t>
  </si>
  <si>
    <t>['58&amp;rsquor;|0:1|Kim Young-gwon', '63&amp;rsquor;|0:1|Lee Yong', '72&amp;rsquor;|0:2|Lee Seung-woo', '80&amp;rsquor;|0:2|Jung Woo-young']</t>
  </si>
  <si>
    <t>['64&amp;rsquor;|0:1|Lee Seung-woo|for Ju Se-jong', '77&amp;rsquor;|0:2|Jung Woo-young|for Moon Seon-min', '84&amp;rsquor;|0:2|Hong Chul|for Kim Min-woo']</t>
  </si>
  <si>
    <t>['68&amp;rsquor;|0:2|Rafael Márquez|for Andrés Guardado', '71&amp;rsquor;|0:2|Jesús Corona|for Hirving Lozano', '77&amp;rsquor;|0:2|Giovani dos Santos|for Carlos Vela']</t>
  </si>
  <si>
    <t>Szymon Marciniak (Referee) · Paweł Sokolnicki (AR1) · Tomasz Listkiewicz (AR2) · Ryūji Satō (4th) · Clément Turpin (VAR)</t>
  </si>
  <si>
    <t>Marco Reus · 48|Toni Kroos · 90+5</t>
  </si>
  <si>
    <t>Ola Toivonen · 32</t>
  </si>
  <si>
    <t>['48&amp;rsquor;|1:1|Marco Reus|Assist:|Mario Gómez', '90+5&amp;rsquor;|2:1|Toni Kroos|Assist:|Marco Reus']</t>
  </si>
  <si>
    <t>['32&amp;rsquor;|0:1|Ola Toivonen|Assist:|Viktor Claesson']</t>
  </si>
  <si>
    <t>Jérôme Boateng · 82</t>
  </si>
  <si>
    <t>['71&amp;rsquor;|1:1|Jérôme Boateng']</t>
  </si>
  <si>
    <t>['52&amp;rsquor;|1:1|Albin Ekdal', '90+7&amp;rsquor;|2:1|Seb Larsson']</t>
  </si>
  <si>
    <t>['31&amp;rsquor;|0:0|İlkay Gündoğan|for Sebastian Rudy', '46&amp;rsquor;|0:1|Mario Gómez|for Julian Draxler', '87&amp;rsquor;|1:1|Julian Brandt|for Jonas Hector']</t>
  </si>
  <si>
    <t>['74&amp;rsquor;|1:1|Jimmy Durmaz|for Viktor Claesson', '78&amp;rsquor;|1:1|John Guidetti|for Ola Toivonen', '90&amp;rsquor;|1:1|Isaac Kiese Thelin|for Marcus Berg']</t>
  </si>
  <si>
    <t>Björn Kuipers (Referee) · Sander van Roekel (AR1) · Erwin Zeinstra (AR2) · Damir Skomina (4th) · Danny Makkelie (VAR)</t>
  </si>
  <si>
    <t>Philippe Coutinho · 90+1|Neymar · 90+7</t>
  </si>
  <si>
    <t>['90+1&amp;rsquor;|1:0|Philippe Coutinho|Assist:|Gabriel Jesus', '90+7&amp;rsquor;|2:0|Neymar|Assist:|Douglas Costa']</t>
  </si>
  <si>
    <t>['81&amp;rsquor;|0:0|Philippe Coutinho', '81&amp;rsquor;|0:0|Neymar']</t>
  </si>
  <si>
    <t>['84&amp;rsquor;|0:0|Johnny Acosta']</t>
  </si>
  <si>
    <t>['46&amp;rsquor;|0:0|Douglas Costa|for Willian', '68&amp;rsquor;|0:0|Roberto Firmino|for Paulinho', '90+3&amp;rsquor;|1:0|Fernandinho|for Gabriel Jesus']</t>
  </si>
  <si>
    <t>['54&amp;rsquor;|0:0|Christian Bolaños|for Marco Ureña', '75&amp;rsquor;|0:0|Francisco Calvo|for Cristian Gamboa', '83&amp;rsquor;|0:0|Yeltsin Tejeda|for David Guzmán']</t>
  </si>
  <si>
    <t>Matt Conger (Referee) · Simon Lount (AR1) · Tevita Makasini (AR2) · Ricardo Montero (4th) · Massimiliano Irrati (VAR)</t>
  </si>
  <si>
    <t>Ahmed Musa · 49|Ahmed Musa · 75</t>
  </si>
  <si>
    <t>['49&amp;rsquor;|1:0|Ahmed Musa|Assist:|Victor Moses', '75&amp;rsquor;|2:0|Ahmed Musa|Assist:|Kenneth Omeruo']</t>
  </si>
  <si>
    <t>['83&amp;rsquor;|2:0|Gylfi Sigurðsson|Penalty Miss']</t>
  </si>
  <si>
    <t>['44&amp;rsquor;|0:0|Brian Idowu']</t>
  </si>
  <si>
    <t>['46&amp;rsquor;|0:0|Tyronne Ebuehi|for Brian Idowu', '85&amp;rsquor;|2:0|Odion Ighalo|for Kelechi Iheanacho', '90&amp;rsquor;|2:0|Alex Iwobi|for Oghenekaro Etebo']</t>
  </si>
  <si>
    <t>['65&amp;rsquor;|1:0|Sverrir Ingi Ingason|for Ragnar Sigurðsson', '71&amp;rsquor;|1:0|Björn Sigurðarson|for Jón Daði Böðvarsson', '87&amp;rsquor;|2:0|Ari Freyr Skúlason|for Aron Gunnarsson']</t>
  </si>
  <si>
    <t>Felix Brych (Referee) · Mark Borsch (AR1) · Stefan Lupp (AR2) · Nawaf Shukralla (4th) · Felix Zwayer (VAR)</t>
  </si>
  <si>
    <t>Felix Brych</t>
  </si>
  <si>
    <t>Aleksandar Mitrović · 5</t>
  </si>
  <si>
    <t>Granit Xhaka · 52|Xherdan Shaqiri · 90</t>
  </si>
  <si>
    <t>['5&amp;rsquor;|1:0|Aleksandar Mitrović|Assist:|Dušan Tadić']</t>
  </si>
  <si>
    <t>['52&amp;rsquor;|1:1|Granit Xhaka', '90&amp;rsquor;|1:2|Xherdan Shaqiri|Assist:|Mario Gavranović']</t>
  </si>
  <si>
    <t>['34&amp;rsquor;|1:0|Sergej Milinković-Savić', '39&amp;rsquor;|1:0|Luka Milivojević', '45+2&amp;rsquor;|1:0|Nemanja Matić', '87&amp;rsquor;|1:1|Aleksandar Mitrović']</t>
  </si>
  <si>
    <t>['90+2&amp;rsquor;|1:2|Xherdan Shaqiri']</t>
  </si>
  <si>
    <t>['64&amp;rsquor;|1:1|Adem Ljajić|for Filip Kostić', '81&amp;rsquor;|1:1|Nemanja Radonjić|for Luka Milivojević']</t>
  </si>
  <si>
    <t>['46&amp;rsquor;|1:0|Mario Gavranović|for Haris Seferović', '73&amp;rsquor;|1:1|Breel Embolo|for Blerim Džemaili', '90+4&amp;rsquor;|1:2|Josip Drmić|for Steven Zuber']</t>
  </si>
  <si>
    <t>Antonio Matéu Lahoz (Referee) · Pau Cebrián Devis (AR1) · Roberto Díaz Pérez (AR2) · Bamlak Tessema (4th) · Mark Geiger (VAR)</t>
  </si>
  <si>
    <t>Christian Eriksen · 7</t>
  </si>
  <si>
    <t>['7&amp;rsquor;|1:0|Christian Eriksen|Assist:|Nicolai Jørgensen']</t>
  </si>
  <si>
    <t>Mile Jedinak (P) · 38</t>
  </si>
  <si>
    <t>['37&amp;rsquor;|1:0|Yussuf Poulsen', '84&amp;rsquor;|1:1|Pione Sisto']</t>
  </si>
  <si>
    <t>['59&amp;rsquor;|1:1|Martin Braithwaite|for Yussuf Poulsen', '68&amp;rsquor;|1:1|Andreas Cornelius|for Nicolai Jørgensen']</t>
  </si>
  <si>
    <t>['68&amp;rsquor;|1:1|Daniel Arzani|for Robbie Kruse', '75&amp;rsquor;|1:1|Tomi Juric|for Andrew Nabbout', '82&amp;rsquor;|1:1|Jackson Irvine|for Tom Rogić']</t>
  </si>
  <si>
    <t>Mohammed Abdulla Hassan (Referee) · Mohamed Ahmed Al Hammadi (AR1) · Hasan Mohamed Al Mahri (AR2) · Janny Sikazwe (4th) · Daniele Orsato (VAR)</t>
  </si>
  <si>
    <t>Kylian Mbappé · 34</t>
  </si>
  <si>
    <t>['34&amp;rsquor;|1:0|Kylian Mbappé']</t>
  </si>
  <si>
    <t>['16&amp;rsquor;|0:0|Blaise Matuidi', '86&amp;rsquor;|1:0|Paul Pogba']</t>
  </si>
  <si>
    <t>['23&amp;rsquor;|0:0|Paolo Guerrero', '81&amp;rsquor;|1:0|Pedro Aquino']</t>
  </si>
  <si>
    <t>['75&amp;rsquor;|1:0|Ousmane Dembélé|for Kylian Mbappé', '80&amp;rsquor;|1:0|Nabil Fekir|for Antoine Griezmann', '89&amp;rsquor;|1:0|Steven Nzonzi|for Paul Pogba']</t>
  </si>
  <si>
    <t>['46&amp;rsquor;|1:0|Jefferson Farfán|for Yoshimar Yotún', '46&amp;rsquor;|1:0|Anderson Santamaría|for Alberto Rodríguez', '82&amp;rsquor;|1:0|Raúl Ruidíaz|for Miguel Trauco']</t>
  </si>
  <si>
    <t>Ravshan Irmatov (Referee) · Abdukhamidullo Rasulov (AR1) · Jakhongir Saidov (AR2) · Norbert Hauata (4th) · Felix Zwayer (VAR)</t>
  </si>
  <si>
    <t>Ante Rebić · 53|Luka Modrić · 80|Ivan Rakitić · 90+1</t>
  </si>
  <si>
    <t>['53&amp;rsquor;|0:1|Ante Rebić', '80&amp;rsquor;|0:2|Luka Modrić|Assist:|Marcelo Brozović', '90+1&amp;rsquor;|0:3|Ivan Rakitić|Assist:|Mateo Kovačić']</t>
  </si>
  <si>
    <t>['51&amp;rsquor;|0:0|Gabriel Mercado', '85&amp;rsquor;|0:2|Nicolás Otamendi', '87&amp;rsquor;|0:2|Marcos Acuña']</t>
  </si>
  <si>
    <t>['39&amp;rsquor;|0:0|Ante Rebić', '59&amp;rsquor;|0:1|Mario Mandžukić', '67&amp;rsquor;|0:1|Šime Vrsaljko', '90+4&amp;rsquor;|0:3|Vedran Ćorluka']</t>
  </si>
  <si>
    <t>['54&amp;rsquor;|0:1|Gonzalo Higuaín|for Sergio Agüero', '56&amp;rsquor;|0:1|Cristian Pavón|for Eduardo Salvio', '68&amp;rsquor;|0:1|Paulo Dybala|for Enzo Pérez']</t>
  </si>
  <si>
    <t>['57&amp;rsquor;|0:1|Andrej Kramarić|for Ante Rebić', '82&amp;rsquor;|0:2|Mateo Kovačić|for Ivan Perišić', '90+3&amp;rsquor;|0:3|Vedran Ćorluka|for Mario Mandžukić']</t>
  </si>
  <si>
    <t>Medhi Benatia</t>
  </si>
  <si>
    <t>Mark Geiger (Referee) · Joe Fletcher (AR1) · Frank Anderson (AR2) · Sergey Karasev (4th) · Felix Zwayer (VAR)</t>
  </si>
  <si>
    <t>Cristiano Ronaldo · 4</t>
  </si>
  <si>
    <t>['4&amp;rsquor;|1:0|Cristiano Ronaldo|Assist:|João Moutinho']</t>
  </si>
  <si>
    <t>['90+2&amp;rsquor;|1:0|Adrien Silva']</t>
  </si>
  <si>
    <t>['40&amp;rsquor;|1:0|Medhi Benatia']</t>
  </si>
  <si>
    <t>['59&amp;rsquor;|1:0|Gelson Martins|for Bernardo Silva', '70&amp;rsquor;|1:0|Bruno Fernandes|for João Mário', '89&amp;rsquor;|1:0|Adrien Silva|for João Moutinho']</t>
  </si>
  <si>
    <t>['69&amp;rsquor;|1:0|Ayoub El Kaabi|for Khalid Boutaïb', '75&amp;rsquor;|1:0|Mehdi Carcela|for Younès Belhanda', '86&amp;rsquor;|1:0|Fayçal Fajr|for Karim El Ahmadi']</t>
  </si>
  <si>
    <t>Clément Turpin (Referee) · Nicolas Danos (AR1) · Cyril Gringore (AR2) · John Pitti (4th) · Szymon Marciniak (VAR)</t>
  </si>
  <si>
    <t>Luis Suárez · 23</t>
  </si>
  <si>
    <t>['23&amp;rsquor;|1:0|Luis Suárez|Assist:|Carlos Sánchez']</t>
  </si>
  <si>
    <t>['59&amp;rsquor;|1:0|Diego Laxalt|for Cristian Rodríguez', '59&amp;rsquor;|1:0|Lucas Torreira|for Matías Vecino', '82&amp;rsquor;|1:0|Nahitan Nández|for Carlos Sánchez']</t>
  </si>
  <si>
    <t>['44&amp;rsquor;|1:0|Hussain Al Moqahwi|for Taisir Al-Jassim', '75&amp;rsquor;|1:0|Mohamed Kanno|for Hattan Bahebri', '78&amp;rsquor;|1:0|Mohammed Al Sahlawi|for Fahad Al Muwallad']</t>
  </si>
  <si>
    <t>Andrés Cunha (Referee) · Nicolás Tarán (AR1) · Mauricio Espinosa (AR2) · Julio Bascuñán (4th) · Mauro Vigliano (VAR)</t>
  </si>
  <si>
    <t>Diego Costa · 54</t>
  </si>
  <si>
    <t>['54&amp;rsquor;|0:1|Diego Costa']</t>
  </si>
  <si>
    <t>['79&amp;rsquor;|0:1|Vahid Amiri', '90+2&amp;rsquor;|0:1|Omid Ebrahimi']</t>
  </si>
  <si>
    <t>['69&amp;rsquor;|0:1|Milad Mohammadi|for Ehsan Hajsafi', '74&amp;rsquor;|0:1|Alireza Jahanbakhsh|for Karim Ansarifard', '86&amp;rsquor;|0:1|Saman Ghoddos|for Vahid Amiri']</t>
  </si>
  <si>
    <t>['71&amp;rsquor;|0:1|Koke|for Andrés Iniesta', '79&amp;rsquor;|0:1|Marco Asensio|for Lucas Vázquez', '89&amp;rsquor;|0:1|Rodrigo|for Diego Costa']</t>
  </si>
  <si>
    <t>Damir Skomina (Referee) · Jure Praprotnik (AR1) · Robert Vukan (AR2) · Mehdi Abid Charef (4th) · Danny Makkelie (VAR)</t>
  </si>
  <si>
    <t>Juan Quintero · 39</t>
  </si>
  <si>
    <t>Yuya Osako · 73</t>
  </si>
  <si>
    <t>['39&amp;rsquor;|1:1|Juan Quintero']</t>
  </si>
  <si>
    <t>['73&amp;rsquor;|1:2|Yuya Osako|Assist:|Keisuke Honda']</t>
  </si>
  <si>
    <t>Shinji Kagawa (P) · 6</t>
  </si>
  <si>
    <t>Carlos Sánchez · 3</t>
  </si>
  <si>
    <t>['64&amp;rsquor;|1:1|Wílmar Barrios', '86&amp;rsquor;|1:2|James Rodríguez']</t>
  </si>
  <si>
    <t>['90+3&amp;rsquor;|1:2|Eiji Kawashima']</t>
  </si>
  <si>
    <t>['31&amp;rsquor;|0:1|Wílmar Barrios|for Juan Cuadrado', '59&amp;rsquor;|1:1|James Rodríguez|for Juan Quintero', '70&amp;rsquor;|1:1|Carlos Bacca|for José Izquierdo']</t>
  </si>
  <si>
    <t>['70&amp;rsquor;|1:1|Keisuke Honda|for Shinji Kagawa', '80&amp;rsquor;|1:2|Hotaru Yamaguchi|for Gaku Shibasaki', '85&amp;rsquor;|1:2|Shinji Okazaki|for Yuya Osako']</t>
  </si>
  <si>
    <t>Nawaf Shukralla (Referee) · Yaser Tulefat (AR1) · Taleb Salem Al Marri (AR2) · Abdelrahman Al Jassim (4th) · Artur Soares Dias (VAR)</t>
  </si>
  <si>
    <t>Grzegorz Krychowiak · 86</t>
  </si>
  <si>
    <t>M'Baye Niang · 61</t>
  </si>
  <si>
    <t>['86&amp;rsquor;|1:2|Grzegorz Krychowiak|Assist:|Kamil Grosicki']</t>
  </si>
  <si>
    <t>["61&amp;rsquor;|0:2|M'Baye Niang"]</t>
  </si>
  <si>
    <t>Thiago Cionek (OG) · 38</t>
  </si>
  <si>
    <t>['12&amp;rsquor;|0:0|Grzegorz Krychowiak']</t>
  </si>
  <si>
    <t>['49&amp;rsquor;|0:1|Salif Sané', '72&amp;rsquor;|0:2|Idrissa Gana Gueye']</t>
  </si>
  <si>
    <t>['46&amp;rsquor;|0:1|Jan Bednarek|for Jakub Błaszczykowski', '73&amp;rsquor;|0:2|Dawid Kownacki|for Arkadiusz Milik', '83&amp;rsquor;|0:2|Bartosz Bereszyński|for Łukasz Piszczek']</t>
  </si>
  <si>
    <t>["62&amp;rsquor;|0:2|Cheikh N'Doye|for Mame Biram Diouf", "75&amp;rsquor;|0:2|Moussa Konaté|for M'Baye Niang", "86&amp;rsquor;|0:2|Cheikhou Kouyaté|for Alfred N'Diaye"]</t>
  </si>
  <si>
    <t>Ahmed Fathy</t>
  </si>
  <si>
    <t>Enrique Cáceres (Referee) · Eduardo Cardozo (AR1) · Juan Zorrilla (AR2) · Cüneyt Çakιr (4th) · Massimiliano Irrati (VAR)</t>
  </si>
  <si>
    <t>Denis Cheryshev · 59|Artem Dzyuba · 62</t>
  </si>
  <si>
    <t>['59&amp;rsquor;|2:0|Denis Cheryshev|Assist:|Mário Fernandes', '62&amp;rsquor;|3:0|Artem Dzyuba|Assist:|Ilya Kutepov']</t>
  </si>
  <si>
    <t>Ahmed Fathy (OG) · 47</t>
  </si>
  <si>
    <t>Mohamed Salah (P) · 73</t>
  </si>
  <si>
    <t>['84&amp;rsquor;|3:1|Fyodor Smolov']</t>
  </si>
  <si>
    <t>['57&amp;rsquor;|1:0|Trézéguet']</t>
  </si>
  <si>
    <t>['74&amp;rsquor;|3:1|Daler Kuzyaev|for Denis Cheryshev', '79&amp;rsquor;|3:1|Fyodor Smolov|for Artem Dzyuba', '86&amp;rsquor;|3:1|Fyodor Kudryashov|for Yuri Zhirkov']</t>
  </si>
  <si>
    <t>['64&amp;rsquor;|3:0|Amr Warda|for Mohamed Elneny', '68&amp;rsquor;|3:0|Ramadan Sobhi|for Trézéguet', '82&amp;rsquor;|3:1|Kahraba|for Marwan Mohsen']</t>
  </si>
  <si>
    <t>Ki Sung-yueng</t>
  </si>
  <si>
    <t>Joel Aguilar (Referee) · Juan Zumba (AR1) · Juan Carlos Mora (AR2) · Norbert Hauata (4th) · Mauro Vigliano (VAR)</t>
  </si>
  <si>
    <t>Joel Aguilar</t>
  </si>
  <si>
    <t>Andreas Granqvist (P) · 65</t>
  </si>
  <si>
    <t>['61&amp;rsquor;|0:0|Viktor Claesson']</t>
  </si>
  <si>
    <t>['12&amp;rsquor;|0:0|Kim Shin-wook', '55&amp;rsquor;|0:0|Hwang Hee-chan']</t>
  </si>
  <si>
    <t>['71&amp;rsquor;|1:0|Oscar Hiljemark|for Albin Ekdal', '77&amp;rsquor;|1:0|Isaac Kiese Thelin|for Ola Toivonen', '81&amp;rsquor;|1:0|Gustav Svensson|for Seb Larsson']</t>
  </si>
  <si>
    <t>['28&amp;rsquor;|0:0|Kim Min-woo|for Park Joo-ho', '67&amp;rsquor;|1:0|Jung Woo-young|for Kim Shin-wook', '72&amp;rsquor;|1:0|Lee Seung-woo|for Koo Ja-cheol']</t>
  </si>
  <si>
    <t>Janny Sikazwe (Referee) · Jerson dos Santos (AR1) · Zakhele Siwela (AR2) · Ryūji Satō (4th) · Bastian Dankert (VAR)</t>
  </si>
  <si>
    <t>Dries Mertens · 48|Romelu Lukaku · 69|Romelu Lukaku · 75</t>
  </si>
  <si>
    <t>['48&amp;rsquor;|1:0|Dries Mertens', '69&amp;rsquor;|2:0|Romelu Lukaku|Assist:|Kevin De Bruyne', '75&amp;rsquor;|3:0|Romelu Lukaku|Assist:|Eden Hazard']</t>
  </si>
  <si>
    <t>['14&amp;rsquor;|0:0|Thomas Meunier', '59&amp;rsquor;|1:0|Jan Vertonghen', '88&amp;rsquor;|3:0|Kevin De Bruyne']</t>
  </si>
  <si>
    <t>['18&amp;rsquor;|0:0|Erick Davis', '45+2&amp;rsquor;|0:0|Édgar Yoel Bárcenas', '49&amp;rsquor;|1:0|Armando Cooper', '51&amp;rsquor;|1:0|Michael Amir Murillo', '57&amp;rsquor;|1:0|Aníbal Godoy']</t>
  </si>
  <si>
    <t>['74&amp;rsquor;|2:0|Mousa Dembélé|for Yannick Carrasco', '83&amp;rsquor;|3:0|Thorgan Hazard|for Dries Mertens', '90&amp;rsquor;|3:0|Nacer Chadli|for Axel Witsel']</t>
  </si>
  <si>
    <t>['63&amp;rsquor;|1:0|Gabriel Torres|for Édgar Yoel Bárcenas', '63&amp;rsquor;|1:0|Ismael Díaz|for José Luis Rodríguez', '73&amp;rsquor;|2:0|Luis Tejada|for Blas Pérez']</t>
  </si>
  <si>
    <t>Wilmar Roldán (Referee) · Alexander Guzmán (AR1) · Cristián de la Cruz (AR2) · Ricardo Montero (4th) · Sandro Ricci (VAR)</t>
  </si>
  <si>
    <t>Harry Kane · 11|Harry Kane · 90+1</t>
  </si>
  <si>
    <t>['11&amp;rsquor;|0:1|Harry Kane', '90+1&amp;rsquor;|1:2|Harry Kane|Assist:|Harry Maguire']</t>
  </si>
  <si>
    <t>Ferjani Sassi (P) · 35</t>
  </si>
  <si>
    <t>['34&amp;rsquor;|0:1|Kyle Walker']</t>
  </si>
  <si>
    <t>['16&amp;rsquor;|0:1|Farouk Ben Mustapha|for Mouez Hassen', '73&amp;rsquor;|1:1|Mohamed Amine Ben Amor|for Naïm Sliti', '85&amp;rsquor;|1:1|Saber Khalifa|for Wahbi Khazri']</t>
  </si>
  <si>
    <t>['68&amp;rsquor;|1:1|Marcus Rashford|for Raheem Sterling', '80&amp;rsquor;|1:1|Ruben Loftus-Cheek|for Dele Alli', '90+3&amp;rsquor;|1:2|Eric Dier|for Jesse Lingard']</t>
  </si>
  <si>
    <t>Aleksandar Kolarov · 56</t>
  </si>
  <si>
    <t>['56&amp;rsquor;|0:1|Aleksandar Kolarov']</t>
  </si>
  <si>
    <t>['22&amp;rsquor;|0:0|Francisco Calvo', '56&amp;rsquor;|0:0|David Guzmán']</t>
  </si>
  <si>
    <t>['59&amp;rsquor;|0:1|Branislav Ivanović', '90+8&amp;rsquor;|0:1|Aleksandar Prijović']</t>
  </si>
  <si>
    <t>['60&amp;rsquor;|0:1|Christian Bolaños|for Johan Venegas', '66&amp;rsquor;|0:1|Joel Campbell|for Marco Ureña', '73&amp;rsquor;|0:1|Daniel Colindres|for David Guzmán']</t>
  </si>
  <si>
    <t>['70&amp;rsquor;|0:1|Filip Kostić|for Adem Ljajić', '82&amp;rsquor;|0:1|Antonio Rukavina|for Dušan Tadić', '89&amp;rsquor;|0:1|Aleksandar Prijović|for Aleksandar Mitrović']</t>
  </si>
  <si>
    <t>Alireza Faghani (Referee) · Reza Sokhandan (AR1) · Mohammadreza Mansouri (AR2) · Mohammed Abdulla Hassan (4th) · Massimiliano Irrati (VAR)</t>
  </si>
  <si>
    <t>Hirving Lozano · 35</t>
  </si>
  <si>
    <t>['35&amp;rsquor;|0:1|Hirving Lozano|Assist:|Javier Hernández']</t>
  </si>
  <si>
    <t>['83&amp;rsquor;|0:1|Thomas Müller', '84&amp;rsquor;|0:1|Mats Hummels']</t>
  </si>
  <si>
    <t>['40&amp;rsquor;|0:1|Héctor Moreno', '90&amp;rsquor;|0:1|Héctor Herrera']</t>
  </si>
  <si>
    <t>['60&amp;rsquor;|0:1|Marco Reus|for Sami Khedira', '79&amp;rsquor;|0:1|Mario Gómez|for Marvin Plattenhardt', '86&amp;rsquor;|0:1|Julian Brandt|for Timo Werner']</t>
  </si>
  <si>
    <t>['58&amp;rsquor;|0:1|Edson Álvarez|for Carlos Vela', '66&amp;rsquor;|0:1|Raúl Jiménez|for Hirving Lozano', '73&amp;rsquor;|0:1|Rafael Márquez|for Andrés Guardado']</t>
  </si>
  <si>
    <t>Marcelo</t>
  </si>
  <si>
    <t>César Ramos (Referee) · Marvin Torrentera (AR1) · Miguel Ángel Hernández (AR2) · John Pitti (4th) · Paolo Valeri (VAR)</t>
  </si>
  <si>
    <t>César Ramos</t>
  </si>
  <si>
    <t>Philippe Coutinho · 20</t>
  </si>
  <si>
    <t>Steven Zuber · 50</t>
  </si>
  <si>
    <t>['20&amp;rsquor;|1:0|Philippe Coutinho']</t>
  </si>
  <si>
    <t>['50&amp;rsquor;|1:1|Steven Zuber|Assist:|Xherdan Shaqiri']</t>
  </si>
  <si>
    <t>['47&amp;rsquor;|1:0|Casemiro']</t>
  </si>
  <si>
    <t>['31&amp;rsquor;|1:0|Stephan Lichtsteiner', '65&amp;rsquor;|1:1|Fabian Schär', '68&amp;rsquor;|1:1|Valon Behrami']</t>
  </si>
  <si>
    <t>['60&amp;rsquor;|1:1|Fernandinho|for Casemiro', '67&amp;rsquor;|1:1|Renato Augusto|for Paulinho', '79&amp;rsquor;|1:1|Roberto Firmino|for Gabriel Jesus']</t>
  </si>
  <si>
    <t>['70&amp;rsquor;|1:1|Denis Zakaria|for Valon Behrami', '80&amp;rsquor;|1:1|Breel Embolo|for Haris Seferović', '87&amp;rsquor;|1:1|Michael Lang|for Stephan Lichtsteiner']</t>
  </si>
  <si>
    <t>Aziz Behich (OG) · 80</t>
  </si>
  <si>
    <t>Antoine Griezmann (P) · 58</t>
  </si>
  <si>
    <t>Mile Jedinak (P) · 62</t>
  </si>
  <si>
    <t>['76&amp;rsquor;|1:1|Corentin Tolisso']</t>
  </si>
  <si>
    <t>['13&amp;rsquor;|0:0|Mathew Leckie', '57&amp;rsquor;|0:0|Josh Risdon', '87&amp;rsquor;|2:1|Aziz Behich']</t>
  </si>
  <si>
    <t>['70&amp;rsquor;|1:1|Nabil Fekir|for Ousmane Dembélé', '70&amp;rsquor;|1:1|Olivier Giroud|for Antoine Griezmann', '78&amp;rsquor;|1:1|Blaise Matuidi|for Corentin Tolisso']</t>
  </si>
  <si>
    <t>['64&amp;rsquor;|1:1|Tomi Juric|for Andrew Nabbout', '72&amp;rsquor;|1:1|Jackson Irvine|for Tom Rogić', '84&amp;rsquor;|2:1|Daniel Arzani|for Robbie Kruse']</t>
  </si>
  <si>
    <t>Szymon Marciniak (Referee) · Paweł Sokolnicki (AR1) · Tomasz Listkiewicz (AR2) · Wilmar Roldán (4th) · Mark Geiger (VAR)</t>
  </si>
  <si>
    <t>Sergio Agüero · 19</t>
  </si>
  <si>
    <t>Alfreð Finnbogason · 23</t>
  </si>
  <si>
    <t>['19&amp;rsquor;|1:0|Sergio Agüero|Assist:|Marcos Rojo']</t>
  </si>
  <si>
    <t>['23&amp;rsquor;|1:1|Alfreð Finnbogason']</t>
  </si>
  <si>
    <t>['64&amp;rsquor;|1:1|Lionel Messi|Penalty saved by Hannes Þór Halldórsson']</t>
  </si>
  <si>
    <t>['54&amp;rsquor;|1:1|Éver Banega|for Lucas Biglia', '75&amp;rsquor;|1:1|Cristian Pavón|for Ángel Di María', '84&amp;rsquor;|1:1|Gonzalo Higuaín|for Maximiliano Meza']</t>
  </si>
  <si>
    <t>['63&amp;rsquor;|1:1|Rúrik Gíslason|for Jóhann Berg Guðmundsson', '76&amp;rsquor;|1:1|Ari Freyr Skúlason|for Aron Gunnarsson', '89&amp;rsquor;|1:1|Björn Sigurðarson|for Alfreð Finnbogason']</t>
  </si>
  <si>
    <t>Alberto Rodríguez</t>
  </si>
  <si>
    <t>Bakary Papa Gassama (Referee) · Jean-Claude Birumushahu (AR1) · Abdelhak Etchiali (AR2) · Mehdi Abid Charef (4th) · Felix Zwayer (VAR)</t>
  </si>
  <si>
    <t>Yussuf Poulsen · 59</t>
  </si>
  <si>
    <t>['59&amp;rsquor;|0:1|Yussuf Poulsen|Assist:|Christian Eriksen']</t>
  </si>
  <si>
    <t>['45+1&amp;rsquor;|0:0|Christian Cueva|Penalty Miss']</t>
  </si>
  <si>
    <t>['38&amp;rsquor;|0:0|Renato Tapia']</t>
  </si>
  <si>
    <t>['86&amp;rsquor;|0:1|Thomas Delaney', '90+3&amp;rsquor;|0:1|Yussuf Poulsen']</t>
  </si>
  <si>
    <t>['62&amp;rsquor;|0:1|Paolo Guerrero|for Edison Flores', '85&amp;rsquor;|0:1|Raúl Ruidíaz|for Jefferson Farfán', '87&amp;rsquor;|0:1|Pedro Aquino|for Renato Tapia']</t>
  </si>
  <si>
    <t>['35&amp;rsquor;|0:0|Lasse Schöne|for William Kvist', '67&amp;rsquor;|0:1|Martin Braithwaite|for Pione Sisto', '81&amp;rsquor;|0:1|Mathias Jørgensen|for Andreas Christensen']</t>
  </si>
  <si>
    <t>Sandro Ricci (Referee) · Emerson de Carvalho (AR1) · Marcelo Van Gasse (AR2) · Antonio Matéu Lahoz (4th) · Daniele Orsato (VAR)</t>
  </si>
  <si>
    <t>Oghenekaro Etebo (OG) · 32</t>
  </si>
  <si>
    <t>Luka Modrić (P) · 71</t>
  </si>
  <si>
    <t>['30&amp;rsquor;|0:0|Ivan Rakitić', '89&amp;rsquor;|2:0|Marcelo Brozović']</t>
  </si>
  <si>
    <t>['70&amp;rsquor;|1:0|William Troost-Ekong']</t>
  </si>
  <si>
    <t>['60&amp;rsquor;|1:0|Marcelo Brozović|for Andrej Kramarić', '78&amp;rsquor;|2:0|Mateo Kovačić|for Ante Rebić', '86&amp;rsquor;|2:0|Marko Pjaca|for Mario Mandžukić']</t>
  </si>
  <si>
    <t>['62&amp;rsquor;|1:0|Ahmed Musa|for Alex Iwobi', '72&amp;rsquor;|2:0|Kelechi Iheanacho|for Odion Ighalo', '88&amp;rsquor;|2:0|Simeon Nwankwo|for John Obi Mikel']</t>
  </si>
  <si>
    <t>Björn Kuipers (Referee) · Sander van Roekel (AR1) · Erwin Zeinstra (AR2) · Milorad Mažić (4th) · Danny Makkelie (VAR)</t>
  </si>
  <si>
    <t>José María Giménez · 89</t>
  </si>
  <si>
    <t>['89&amp;rsquor;|0:1|José María Giménez|Assist:|Carlos Sánchez']</t>
  </si>
  <si>
    <t>['90+3&amp;rsquor;|0:1|Sam Morsy', '90+6&amp;rsquor;|0:1|Ahmed Hegazi']</t>
  </si>
  <si>
    <t>['50&amp;rsquor;|0:0|Sam Morsy|for Tarek Hamed', '63&amp;rsquor;|0:0|Kahraba|for Marwan Mohsen', '82&amp;rsquor;|0:0|Ramadan Sobhi|for Amr Warda']</t>
  </si>
  <si>
    <t>['58&amp;rsquor;|0:0|Carlos Sánchez|for Nahitan Nández', '59&amp;rsquor;|0:0|Cristian Rodríguez|for Giorgian De Arrascaeta', '87&amp;rsquor;|0:0|Lucas Torreira|for Matías Vecino']</t>
  </si>
  <si>
    <t>Masoud Shojaei</t>
  </si>
  <si>
    <t>Cüneyt Çakιr (Referee) · Bahattin Duran (AR1) · Tarık Ongun (AR2) · Sergey Karasev (4th) · Felix Zwayer (VAR)</t>
  </si>
  <si>
    <t>Aziz Bouhaddouz (OG) · 90+5</t>
  </si>
  <si>
    <t>['34&amp;rsquor;|0:0|Karim El Ahmadi']</t>
  </si>
  <si>
    <t>['10&amp;rsquor;|0:0|Masoud Shojaei', '47&amp;rsquor;|0:0|Alireza Jahanbakhsh', '90+2&amp;rsquor;|0:0|Karim Ansarifard']</t>
  </si>
  <si>
    <t>['76&amp;rsquor;|0:0|Sofyan Amrabat|for Nordin Amrabat', '77&amp;rsquor;|0:0|Aziz Bouhaddouz|for Ayoub El Kaabi', '82&amp;rsquor;|0:0|Manuel da Costa|for Amine Harit']</t>
  </si>
  <si>
    <t>['68&amp;rsquor;|0:0|Mehdi Taremi|for Masoud Shojaei', '80&amp;rsquor;|0:0|Majid Hosseini|for Omid Ebrahimi', '85&amp;rsquor;|0:0|Saman Ghoddos|for Alireza Jahanbakhsh']</t>
  </si>
  <si>
    <t>Gianluca Rocchi (Referee) · Elenito Di Liberatore (AR1) · Mauro Tonolini (AR2) · Ryūji Satō (4th) · Massimiliano Irrati (VAR)</t>
  </si>
  <si>
    <t>Cristiano Ronaldo · 44|Cristiano Ronaldo · 88</t>
  </si>
  <si>
    <t>Diego Costa · 24|Diego Costa · 55|Nacho · 58</t>
  </si>
  <si>
    <t>['44&amp;rsquor;|2:1|Cristiano Ronaldo|Assist:|Gonçalo Guedes', '88&amp;rsquor;|3:3|Cristiano Ronaldo']</t>
  </si>
  <si>
    <t>['24&amp;rsquor;|1:1|Diego Costa', '55&amp;rsquor;|2:2|Diego Costa|Assist:|Sergio Busquets', '58&amp;rsquor;|2:3|Nacho']</t>
  </si>
  <si>
    <t>Cristiano Ronaldo (P) · 4</t>
  </si>
  <si>
    <t>['28&amp;rsquor;|1:1|Bruno Fernandes']</t>
  </si>
  <si>
    <t>['17&amp;rsquor;|1:0|Sergio Busquets']</t>
  </si>
  <si>
    <t>['68&amp;rsquor;|2:3|João Mário|for Bruno Fernandes', '69&amp;rsquor;|2:3|Ricardo Quaresma|for Bernardo Silva', '80&amp;rsquor;|2:3|André Silva|for Gonçalo Guedes']</t>
  </si>
  <si>
    <t>['70&amp;rsquor;|2:3|Thiago Alcántara|for Andrés Iniesta', '77&amp;rsquor;|2:3|Iago Aspas|for Diego Costa', '86&amp;rsquor;|2:3|Lucas Vázquez|for David Silva']</t>
  </si>
  <si>
    <t>Néstor Pitana (Referee) · Juan Pablo Belatti (AR1) · Hernán Maidana (AR2) · Sandro Ricci (4th) · Massimiliano Irrati (VAR)</t>
  </si>
  <si>
    <t>5–0</t>
  </si>
  <si>
    <t>Yuri Gazinskiy · 12|Denis Cheryshev · 43|Artem Dzyuba · 71|Denis Cheryshev · 90+1|Aleksandr Golovin · 90+5</t>
  </si>
  <si>
    <t>['12&amp;rsquor;|1:0|Yuri Gazinskiy|Assist:|Aleksandr Golovin', '43&amp;rsquor;|2:0|Denis Cheryshev|Assist:|Roman Zobnin', '71&amp;rsquor;|3:0|Artem Dzyuba|Assist:|Aleksandr Golovin', '90+1&amp;rsquor;|4:0|Denis Cheryshev|Assist:|Artem Dzyuba', '90+5&amp;rsquor;|5:0|Aleksandr Golovin']</t>
  </si>
  <si>
    <t>['88&amp;rsquor;|3:0|Aleksandr Golovin']</t>
  </si>
  <si>
    <t>['90+3&amp;rsquor;|4:0|Taisir Al-Jassim']</t>
  </si>
  <si>
    <t>['24&amp;rsquor;|1:0|Denis Cheryshev|for Alan Dzagoev', '64&amp;rsquor;|2:0|Daler Kuzyaev|for Aleksandr Samedov', '70&amp;rsquor;|2:0|Artem Dzyuba|for Fyodor Smolov']</t>
  </si>
  <si>
    <t>['64&amp;rsquor;|2:0|Fahad Al Muwallad|for Abdullah Otayf', '74&amp;rsquor;|3:0|Hattan Bahebri|for Yahya Al-Shehri', '84&amp;rsquor;|3:0|Muhannad Assiri|for Mohammed Al Sahlawi']</t>
  </si>
  <si>
    <t>Alejandro Sabella</t>
  </si>
  <si>
    <t>Estadio Jornalista Mário Filho, Rio de Janeiro</t>
  </si>
  <si>
    <t>Nicola Rizzoli (Referee) · Renato Faverani (AR1) · Andrea Stefani (AR2) · Carlos Vera (4th)</t>
  </si>
  <si>
    <t>Nicola Rizzoli</t>
  </si>
  <si>
    <t>Mario Götze · 113</t>
  </si>
  <si>
    <t>['113&amp;rsquor;|1:0|Mario Götze|Assist:|André Schürrle']</t>
  </si>
  <si>
    <t>['29&amp;rsquor;|0:0|Bastian Schweinsteiger', '34&amp;rsquor;|0:0|Benedikt Höwedes']</t>
  </si>
  <si>
    <t>['64&amp;rsquor;|0:0|Javier Mascherano', '65&amp;rsquor;|0:0|Sergio Agüero']</t>
  </si>
  <si>
    <t>['32&amp;rsquor;|0:0|André Schürrle|for Christoph Kramer', '88&amp;rsquor;|0:0|Mario Götze|for Miroslav Klose', '120&amp;rsquor;|1:0|Per Mertesacker|for Mesut Özil']</t>
  </si>
  <si>
    <t>['46&amp;rsquor;|0:0|Sergio Agüero|for Ezequiel Lavezzi', '78&amp;rsquor;|0:0|Rodrigo Palacio|for Gonzalo Higuaín', '86&amp;rsquor;|0:0|Fernando Gago|for Enzo Pérez']</t>
  </si>
  <si>
    <t>Luiz Felipe Scolari</t>
  </si>
  <si>
    <t>Estádio Nacional de Brasília, Brasília</t>
  </si>
  <si>
    <t>Djamel Haïmoudi (Referee) · Redouane Achik (AR1) · Abdelhak Etchiali (AR2) · Yuichi Nishimura (4th)</t>
  </si>
  <si>
    <t>Djamel Haïmoudi</t>
  </si>
  <si>
    <t>Daley Blind · 17|Georginio Wijnaldum · 90+1</t>
  </si>
  <si>
    <t>['17&amp;rsquor;|0:2|Daley Blind', '90+1&amp;rsquor;|0:3|Georginio Wijnaldum|Assist:|Daryl Janmaat']</t>
  </si>
  <si>
    <t>Robin van Persie (P) · 3</t>
  </si>
  <si>
    <t>['2&amp;rsquor;|0:0|Thiago Silva', '54&amp;rsquor;|0:2|Fernandinho', '68&amp;rsquor;|0:2|Oscar']</t>
  </si>
  <si>
    <t>['9&amp;rsquor;|0:1|Arjen Robben', '36&amp;rsquor;|0:2|Jonathan de Guzmán']</t>
  </si>
  <si>
    <t>['46&amp;rsquor;|0:2|Fernandinho|for Luiz Gustavo', '57&amp;rsquor;|0:2|Hernanes|for Paulinho', '73&amp;rsquor;|0:2|Hulk|for Ramires']</t>
  </si>
  <si>
    <t>['70&amp;rsquor;|0:2|Daryl Janmaat|for Daley Blind', '90&amp;rsquor;|0:2|Joël Veltman|for Jordy Clasie', '90+3&amp;rsquor;|0:3|Michel Vorm|for Jasper Cillessen']</t>
  </si>
  <si>
    <t>Arena Corinthians, São Paulo</t>
  </si>
  <si>
    <t>Cüneyt Çakιr (Referee) · Bahattin Duran (AR1) · Tarık Ongun (AR2) · Jonas Eriksson (4th)</t>
  </si>
  <si>
    <t>(2) 0–0 (4)</t>
  </si>
  <si>
    <t>['3|1:1|Arjen Robben', '7|2:3|Dirk Kuyt']</t>
  </si>
  <si>
    <t>['2|0:1|Lionel Messi', '4|1:2|Ezequiel Garay', '6|1:3|Sergio Agüero', '8|2:4|Maxi Rodríguez']</t>
  </si>
  <si>
    <t>['1|0:0|Ron Vlaar', '5|1:2|Wesley Sneijder']</t>
  </si>
  <si>
    <t>['45&amp;rsquor;|0:0|Bruno Martins Indi', '105&amp;rsquor;|0:0|Klaas-Jan Huntelaar']</t>
  </si>
  <si>
    <t>['49&amp;rsquor;|0:0|Martín Demichelis']</t>
  </si>
  <si>
    <t>['46&amp;rsquor;|0:0|Daryl Janmaat|for Bruno Martins Indi', '62&amp;rsquor;|0:0|Jordy Clasie|for Nigel de Jong', '96&amp;rsquor;|0:0|Klaas-Jan Huntelaar|for Robin van Persie']</t>
  </si>
  <si>
    <t>['81&amp;rsquor;|0:0|Rodrigo Palacio|for Enzo Pérez', '82&amp;rsquor;|0:0|Sergio Agüero|for Gonzalo Higuaín', '100&amp;rsquor;|0:0|Maxi Rodríguez|for Ezequiel Lavezzi']</t>
  </si>
  <si>
    <t>Estádio Governador Magalhães Pinto, Belo Horizonte</t>
  </si>
  <si>
    <t>Marco Antonio Rodríguez (Referee) · Marvin Torrentera (AR1) · Marcos Quintero (AR2) · Mark Geiger (4th)</t>
  </si>
  <si>
    <t>1–7</t>
  </si>
  <si>
    <t>Marco Antonio Rodríguez</t>
  </si>
  <si>
    <t>Oscar · 90</t>
  </si>
  <si>
    <t>Thomas Müller · 11|Miroslav Klose · 23|Toni Kroos · 24|Toni Kroos · 26|Sami Khedira · 29|André Schürrle · 69|André Schürrle · 79</t>
  </si>
  <si>
    <t>['90&amp;rsquor;|1:7|Oscar|Assist:|Marcelo']</t>
  </si>
  <si>
    <t>['11&amp;rsquor;|0:1|Thomas Müller|Assist:|Toni Kroos', '23&amp;rsquor;|0:2|Miroslav Klose', '24&amp;rsquor;|0:3|Toni Kroos|Assist:|Philipp Lahm', '26&amp;rsquor;|0:4|Toni Kroos|Assist:|Sami Khedira', '29&amp;rsquor;|0:5|Sami Khedira|Assist:|Mesut Özil', '69&amp;rsquor;|0:6|André Schürrle|Assist:|Philipp Lahm', '79&amp;rsquor;|0:7|André Schürrle|Assist:|Thomas Müller']</t>
  </si>
  <si>
    <t>['68&amp;rsquor;|0:5|Dante']</t>
  </si>
  <si>
    <t>['46&amp;rsquor;|0:5|Paulinho|for Hulk', '46&amp;rsquor;|0:5|Ramires|for Fernandinho', '70&amp;rsquor;|0:6|Willian|for Fred']</t>
  </si>
  <si>
    <t>['46&amp;rsquor;|0:5|Per Mertesacker|for Mats Hummels', '58&amp;rsquor;|0:5|André Schürrle|for Miroslav Klose', '76&amp;rsquor;|0:6|Julian Draxler|for Sami Khedira']</t>
  </si>
  <si>
    <t>Marc Wilmots</t>
  </si>
  <si>
    <t>Nicola Rizzoli (Referee) · Renato Faverani (AR1) · Andrea Stefani (AR2) · Benjamin Williams (4th)</t>
  </si>
  <si>
    <t>Gonzalo Higuaín · 8</t>
  </si>
  <si>
    <t>['8&amp;rsquor;|1:0|Gonzalo Higuaín']</t>
  </si>
  <si>
    <t>['75&amp;rsquor;|1:0|Lucas Biglia']</t>
  </si>
  <si>
    <t>['53&amp;rsquor;|1:0|Eden Hazard', '69&amp;rsquor;|1:0|Toby Alderweireld']</t>
  </si>
  <si>
    <t>['38&amp;rsquor;|1:0|Enzo Pérez|for Ángel Di María', '71&amp;rsquor;|1:0|Rodrigo Palacio|for Ezequiel Lavezzi', '81&amp;rsquor;|1:0|Fernando Gago|for Gonzalo Higuaín']</t>
  </si>
  <si>
    <t>['59&amp;rsquor;|1:0|Romelu Lukaku|for Divock Origi', '59&amp;rsquor;|1:0|Dries Mertens|for Kevin Mirallas', '75&amp;rsquor;|1:0|Nacer Chadli|for Eden Hazard']</t>
  </si>
  <si>
    <t>Jorge Luis Pinto</t>
  </si>
  <si>
    <t>Itaipava Arena Fonte Nova, Salvador</t>
  </si>
  <si>
    <t>Ravshan Irmatov (Referee) · Abdukhamidullo Rasulov (AR1) · Bahadır Koçkarov (AR2) · Noumandiez Doué (4th)</t>
  </si>
  <si>
    <t>(4) 0–0 (3)</t>
  </si>
  <si>
    <t>Netherlands won on penalty kicks following extra time</t>
  </si>
  <si>
    <t>['2|1:1|Robin van Persie', '4|2:1|Arjen Robben', '6|3:2|Wesley Sneijder', '8|4:3|Dirk Kuyt']</t>
  </si>
  <si>
    <t>['1|0:1|Celso Borges', '5|2:2|Giancarlo González', '7|3:3|Christian Bolaños']</t>
  </si>
  <si>
    <t>['3|1:1|Bryan Ruiz', '9|4:3|Michael Umaña']</t>
  </si>
  <si>
    <t>['64&amp;rsquor;|0:0|Bruno Martins Indi', '111&amp;rsquor;|0:0|Klaas-Jan Huntelaar']</t>
  </si>
  <si>
    <t>['37&amp;rsquor;|0:0|Júnior Díaz', '52&amp;rsquor;|0:0|Michael Umaña', '81&amp;rsquor;|0:0|Giancarlo González', '107&amp;rsquor;|0:0|Johnny Acosta']</t>
  </si>
  <si>
    <t>['76&amp;rsquor;|0:0|Jeremain Lens|for Memphis', '106&amp;rsquor;|0:0|Klaas-Jan Huntelaar|for Bruno Martins Indi', '120+1&amp;rsquor;|0:0|Tim Krul|for Jasper Cillessen']</t>
  </si>
  <si>
    <t>['66&amp;rsquor;|0:0|Marco Ureña|for Joel Campbell', '79&amp;rsquor;|0:0|David Myrie|for Cristian Gamboa', '97&amp;rsquor;|0:0|José Miguel Cubero|for Yeltsin Tejeda']</t>
  </si>
  <si>
    <t>Néstor Pitana (Referee) · Hernán Maidana (AR1) · Juan Pablo Belatti (AR2) · Jonas Eriksson (4th)</t>
  </si>
  <si>
    <t>Mats Hummels · 13</t>
  </si>
  <si>
    <t>['13&amp;rsquor;|0:1|Mats Hummels|Assist:|Toni Kroos']</t>
  </si>
  <si>
    <t>['54&amp;rsquor;|0:1|Sami Khedira', '80&amp;rsquor;|0:1|Bastian Schweinsteiger']</t>
  </si>
  <si>
    <t>['72&amp;rsquor;|0:1|Laurent Koscielny|for Mamadou Sakho', '73&amp;rsquor;|0:1|Loïc Rémy|for Yohan Cabaye', '85&amp;rsquor;|0:1|Olivier Giroud|for Mathieu Valbuena']</t>
  </si>
  <si>
    <t>['69&amp;rsquor;|0:1|André Schürrle|for Miroslav Klose', '83&amp;rsquor;|0:1|Mario Götze|for Mesut Özil', '90+2&amp;rsquor;|0:1|Christoph Kramer|for Toni Kroos']</t>
  </si>
  <si>
    <t>Estádio Castelão, Fortaleza</t>
  </si>
  <si>
    <t>Carlos Velasco (Referee) · Roberto Alonso (AR1) · Juan Carlos Yuste (AR2) · Svein Oddvar Moen (4th)</t>
  </si>
  <si>
    <t>Carlos Velasco</t>
  </si>
  <si>
    <t>Thiago Silva · 7|David Luiz · 69</t>
  </si>
  <si>
    <t>['7&amp;rsquor;|1:0|Thiago Silva|Assist:|Neymar', '69&amp;rsquor;|2:0|David Luiz']</t>
  </si>
  <si>
    <t>James Rodríguez (P) · 80</t>
  </si>
  <si>
    <t>['64&amp;rsquor;|1:0|Thiago Silva', '78&amp;rsquor;|2:0|Júlio César']</t>
  </si>
  <si>
    <t>['67&amp;rsquor;|1:0|James Rodríguez', '70&amp;rsquor;|2:0|Mario Yepes']</t>
  </si>
  <si>
    <t>['83&amp;rsquor;|2:1|Ramires|for Hulk', '86&amp;rsquor;|2:1|Hernanes|for Paulinho', '88&amp;rsquor;|2:1|Henrique|for Neymar']</t>
  </si>
  <si>
    <t>['46&amp;rsquor;|1:0|Adrián Ramos|for Víctor Ibarbo', '70&amp;rsquor;|2:0|Carlos Bacca|for Teófilo Gutiérrez', '80&amp;rsquor;|2:1|Juan Quintero|for Juan Cuadrado']</t>
  </si>
  <si>
    <t>Ottmar Hitzfeld</t>
  </si>
  <si>
    <t>Jonas Eriksson (Referee) · Mathias Klasenius (AR1) · Daniel Wärnmark (AR2) · Svein Oddvar Moen (4th)</t>
  </si>
  <si>
    <t>Jonas Eriksson</t>
  </si>
  <si>
    <t>Ángel Di María · 118</t>
  </si>
  <si>
    <t>['118&amp;rsquor;|1:0|Ángel Di María|Assist:|Lionel Messi']</t>
  </si>
  <si>
    <t>['90&amp;rsquor;|0:0|Marcos Rojo', '120&amp;rsquor;|1:0|Ángel Di María', '120+4&amp;rsquor;|1:0|Ezequiel Garay']</t>
  </si>
  <si>
    <t>['36&amp;rsquor;|0:0|Granit Xhaka', '73&amp;rsquor;|0:0|Gelson Fernandes']</t>
  </si>
  <si>
    <t>['74&amp;rsquor;|0:0|Rodrigo Palacio|for Ezequiel Lavezzi', '105+1&amp;rsquor;|0:0|José María Basanta|for Marcos Rojo', '106&amp;rsquor;|0:0|Lucas Biglia|for Fernando Gago']</t>
  </si>
  <si>
    <t>['66&amp;rsquor;|0:0|Gelson Fernandes|for Granit Xhaka', '82&amp;rsquor;|0:0|Haris Seferović|for Josip Drmić', '113&amp;rsquor;|0:0|Blerim Džemaili|for Admir Mehmedi']</t>
  </si>
  <si>
    <t>Jürgen Klinsmann</t>
  </si>
  <si>
    <t>Djamel Haïmoudi (Referee) · Redouane Achik (AR1) · Abdelhak Etchiali (AR2) · Norbert Hauata (4th)</t>
  </si>
  <si>
    <t>Kevin De Bruyne · 93|Romelu Lukaku · 105</t>
  </si>
  <si>
    <t>Julian Green · 107</t>
  </si>
  <si>
    <t>['93&amp;rsquor;|1:0|Kevin De Bruyne', '105&amp;rsquor;|2:0|Romelu Lukaku|Assist:|Kevin De Bruyne']</t>
  </si>
  <si>
    <t>['107&amp;rsquor;|2:1|Julian Green|Assist:|Michael Bradley']</t>
  </si>
  <si>
    <t>['42&amp;rsquor;|0:0|Vincent Kompany']</t>
  </si>
  <si>
    <t>['18&amp;rsquor;|0:0|Geoff Cameron']</t>
  </si>
  <si>
    <t>['60&amp;rsquor;|0:0|Kevin Mirallas|for Dries Mertens', '91&amp;rsquor;|0:0|Romelu Lukaku|for Divock Origi', '111&amp;rsquor;|2:1|Nacer Chadli|for Eden Hazard']</t>
  </si>
  <si>
    <t>['32&amp;rsquor;|0:0|DeAndre Yedlin|for Fabian Johnson', '72&amp;rsquor;|0:0|Chris Wondolowski|for Graham Zusi', '105+2&amp;rsquor;|2:0|Julian Green|for Alejandro Bedoya']</t>
  </si>
  <si>
    <t>Stephen Keshi</t>
  </si>
  <si>
    <t>Mark Geiger (Referee) · Sean Hurd (AR1) · Joe Fletcher (AR2) · Alireza Faghani (4th)</t>
  </si>
  <si>
    <t>Paul Pogba · 79</t>
  </si>
  <si>
    <t>['79&amp;rsquor;|1:0|Paul Pogba']</t>
  </si>
  <si>
    <t>Joseph Yobo (OG) · 90+2</t>
  </si>
  <si>
    <t>['54&amp;rsquor;|0:0|Blaise Matuidi']</t>
  </si>
  <si>
    <t>['62&amp;rsquor;|0:0|Antoine Griezmann|for Olivier Giroud', '90+4&amp;rsquor;|2:0|Moussa Sissoko|for Mathieu Valbuena']</t>
  </si>
  <si>
    <t>['59&amp;rsquor;|0:0|Reuben Gabriel|for Ogenyi Onazi', '89&amp;rsquor;|1:0|Uche Nwofor|for Victor Moses']</t>
  </si>
  <si>
    <t>Vahid Halilhodžić</t>
  </si>
  <si>
    <t>Estádio José Pinheiro Borba, Porto Alegre</t>
  </si>
  <si>
    <t>Sandro Ricci (Referee) · Emerson de Carvalho (AR1) · Marcelo Van Gasse (AR2) · Walter López (4th)</t>
  </si>
  <si>
    <t>André Schürrle · 92|Mesut Özil · 119</t>
  </si>
  <si>
    <t>Abdelmoumene Djabou · 120+1</t>
  </si>
  <si>
    <t>['92&amp;rsquor;|1:0|André Schürrle|Assist:|Thomas Müller', '119&amp;rsquor;|2:0|Mesut Özil']</t>
  </si>
  <si>
    <t>['120+1&amp;rsquor;|2:1|Abdelmoumene Djabou|Assist:|Sofiane Feghouli']</t>
  </si>
  <si>
    <t>['107&amp;rsquor;|1:0|Philipp Lahm']</t>
  </si>
  <si>
    <t>['42&amp;rsquor;|0:0|Rafik Halliche']</t>
  </si>
  <si>
    <t>['46&amp;rsquor;|0:0|André Schürrle|for Mario Götze', '70&amp;rsquor;|0:0|Sami Khedira|for Shkodran Mustafi', '109&amp;rsquor;|1:0|Christoph Kramer|for Bastian Schweinsteiger']</t>
  </si>
  <si>
    <t>['78&amp;rsquor;|0:0|Yacine Brahimi|for Saphir Taïder', '97&amp;rsquor;|1:0|Madjid Bougherra|for Rafik Halliche', '100&amp;rsquor;|1:0|Abdelmoumene Djabou|for Hillel Soudani']</t>
  </si>
  <si>
    <t>Miguel Herrera</t>
  </si>
  <si>
    <t>Pedro Proença (Referee) · Bertino Miranda (AR1) · José Trigo (AR2) · Carlos Vera (4th)</t>
  </si>
  <si>
    <t>Pedro Proença</t>
  </si>
  <si>
    <t>Wesley Sneijder · 88</t>
  </si>
  <si>
    <t>Giovani dos Santos · 48</t>
  </si>
  <si>
    <t>['88&amp;rsquor;|1:1|Wesley Sneijder|Assist:|Klaas-Jan Huntelaar']</t>
  </si>
  <si>
    <t>['48&amp;rsquor;|0:1|Giovani dos Santos']</t>
  </si>
  <si>
    <t>Klaas-Jan Huntelaar (P) · 90+4</t>
  </si>
  <si>
    <t>['69&amp;rsquor;|0:1|Paul Aguilar', '90+2&amp;rsquor;|1:1|Rafael Márquez', '90+3&amp;rsquor;|1:1|Andrés Guardado']</t>
  </si>
  <si>
    <t>['9&amp;rsquor;|0:0|Bruno Martins Indi|for Nigel de Jong', '56&amp;rsquor;|0:1|Memphis|for Paul Verhaegh', '76&amp;rsquor;|0:1|Klaas-Jan Huntelaar|for Robin van Persie']</t>
  </si>
  <si>
    <t>['46&amp;rsquor;|0:0|Diego Reyes|for Héctor Moreno', '61&amp;rsquor;|0:1|Javier Aquino|for Giovani dos Santos', '75&amp;rsquor;|0:1|Javier Hernández|for Oribe Peralta']</t>
  </si>
  <si>
    <t>Itaipava Arena Pernambuco, Recife</t>
  </si>
  <si>
    <t>Benjamin Williams (Referee) · Matthew Cream (AR1) · Hakan Anaz (AR2) · Nawaf Shukralla (4th)</t>
  </si>
  <si>
    <t>(5) 1–1 (3)</t>
  </si>
  <si>
    <t>Benjamin Williams</t>
  </si>
  <si>
    <t>Costa Rica won on penalty kicks following extra time</t>
  </si>
  <si>
    <t>Bryan Ruiz · 52</t>
  </si>
  <si>
    <t>Sokratis Papastathopoulos · 90+1</t>
  </si>
  <si>
    <t>['52&amp;rsquor;|1:0|Bryan Ruiz|Assist:|Christian Bolaños']</t>
  </si>
  <si>
    <t>['90+1&amp;rsquor;|1:1|Sokratis Papastathopoulos']</t>
  </si>
  <si>
    <t>['1|1:0|Celso Borges', '3|2:1|Bryan Ruiz', '5|3:2|Giancarlo González', '7|4:3|Joel Campbell', '9|5:3|Michael Umaña']</t>
  </si>
  <si>
    <t>['2|1:1|Kostas Mitroglou', '4|2:2|Lazaros Christodoulopoulos', '6|3:3|José Holebas']</t>
  </si>
  <si>
    <t>['8|4:3|Theofanis Gekas']</t>
  </si>
  <si>
    <t>Óscar Duarte · 66</t>
  </si>
  <si>
    <t>['42&amp;rsquor;|0:0|Óscar Duarte', '48&amp;rsquor;|0:0|Yeltsin Tejeda', '57&amp;rsquor;|1:0|Óscar Granados', '70&amp;rsquor;|1:0|Bryan Ruiz', '90&amp;rsquor;|1:0|Keylor Navas']</t>
  </si>
  <si>
    <t>['36&amp;rsquor;|0:0|Andreas Samaris', '72&amp;rsquor;|1:0|Kostas Manolas']</t>
  </si>
  <si>
    <t>['66&amp;rsquor;|1:0|José Miguel Cubero|for Yeltsin Tejeda', '77&amp;rsquor;|1:0|Johnny Acosta|for Cristian Gamboa', '83&amp;rsquor;|1:0|Randall Brenes|for Christian Bolaños']</t>
  </si>
  <si>
    <t>['58&amp;rsquor;|1:0|Kostas Mitroglou|for Andreas Samaris', '69&amp;rsquor;|1:0|Theofanis Gekas|for Dimitris Salpingidis', '78&amp;rsquor;|1:0|Kostas Katsouranis|for Giannis Maniatis']</t>
  </si>
  <si>
    <t>Howard Webb (Referee) · Michael Mullarkey (AR1) · Darren Cann (AR2) · Felix Brych (4th)</t>
  </si>
  <si>
    <t>Howard Webb</t>
  </si>
  <si>
    <t>Brazil won on penalty kicks following extra time</t>
  </si>
  <si>
    <t>David Luiz · 18</t>
  </si>
  <si>
    <t>Alexis Sánchez · 32</t>
  </si>
  <si>
    <t>['18&amp;rsquor;|1:0|David Luiz|Assist:|Thiago Silva']</t>
  </si>
  <si>
    <t>['32&amp;rsquor;|1:1|Alexis Sánchez|Assist:|Eduardo Vargas']</t>
  </si>
  <si>
    <t>['1|1:0|David Luiz', '5|2:0|Marcelo', '9|3:2|Neymar']</t>
  </si>
  <si>
    <t>['6|2:1|Charles Aránguiz', '8|2:2|Marcelo Díaz']</t>
  </si>
  <si>
    <t>['3|1:0|Willian', '7|2:1|Hulk']</t>
  </si>
  <si>
    <t>['2|1:0|Mauricio Pinilla', '4|1:0|Alexis Sánchez', '10|3:2|Gonzalo Jara']</t>
  </si>
  <si>
    <t>['55&amp;rsquor;|1:1|Hulk', '60&amp;rsquor;|1:1|Luiz Gustavo', '94&amp;rsquor;|1:1|Jô', '105+1&amp;rsquor;|1:1|Dani Alves']</t>
  </si>
  <si>
    <t>['17&amp;rsquor;|0:0|Eugenio Mena', '40&amp;rsquor;|1:1|Francisco Silva', '102&amp;rsquor;|1:1|Mauricio Pinilla']</t>
  </si>
  <si>
    <t>['66&amp;rsquor;|1:1|Jô|for Fred', '72&amp;rsquor;|1:1|Ramires|for Fernandinho', '106&amp;rsquor;|1:1|Willian|for Oscar']</t>
  </si>
  <si>
    <t>['57&amp;rsquor;|1:1|Felipe Gutiérrez|for Eduardo Vargas', '87&amp;rsquor;|1:1|Mauricio Pinilla|for Arturo Vidal', '108&amp;rsquor;|1:1|José Rojas|for Gary Medel']</t>
  </si>
  <si>
    <t>Björn Kuipers (Referee) · Sander van Roekel (AR1) · Erwin Zeinstra (AR2) · Svein Oddvar Moen (4th)</t>
  </si>
  <si>
    <t>James Rodríguez · 29|James Rodríguez · 50</t>
  </si>
  <si>
    <t>['29&amp;rsquor;|1:0|James Rodríguez|Assist:|Abel Aguilar', '50&amp;rsquor;|2:0|James Rodríguez|Assist:|Juan Cuadrado']</t>
  </si>
  <si>
    <t>['78&amp;rsquor;|2:0|Pablo Armero']</t>
  </si>
  <si>
    <t>['55&amp;rsquor;|2:0|José María Giménez', '77&amp;rsquor;|2:0|Diego Lugano', '90+2&amp;rsquor;|2:0|Diego Godín']</t>
  </si>
  <si>
    <t>['68&amp;rsquor;|2:0|Alexander Mejía|for Teófilo Gutiérrez', '81&amp;rsquor;|2:0|Fredy Guarín|for Juan Cuadrado', '85&amp;rsquor;|2:0|Adrián Ramos|for James Rodríguez']</t>
  </si>
  <si>
    <t>['53&amp;rsquor;|2:0|Cristhian Stuani|for Diego Forlán', '53&amp;rsquor;|2:0|Gastón Ramírez|for Álvaro Pereira', '67&amp;rsquor;|2:0|Abel Hernández|for Álvaro González']</t>
  </si>
  <si>
    <t>Ravshan Irmatov (Referee) · Abdukhamidullo Rasulov (AR1) · Bahadır Koçkarov (AR2) · Alioum Alioum (4th)</t>
  </si>
  <si>
    <t>Thomas Müller · 55</t>
  </si>
  <si>
    <t>['55&amp;rsquor;|0:1|Thomas Müller']</t>
  </si>
  <si>
    <t>['37&amp;rsquor;|0:0|Omar Gonzalez', '62&amp;rsquor;|0:1|Kyle Beckerman']</t>
  </si>
  <si>
    <t>['11&amp;rsquor;|0:0|Benedikt Höwedes']</t>
  </si>
  <si>
    <t>['59&amp;rsquor;|0:1|Alejandro Bedoya|for Brad Davis', '84&amp;rsquor;|0:1|DeAndre Yedlin|for Graham Zusi']</t>
  </si>
  <si>
    <t>['46&amp;rsquor;|0:0|Miroslav Klose|for Lukas Podolski', '76&amp;rsquor;|0:1|Mario Götze|for Bastian Schweinsteiger', '89&amp;rsquor;|0:1|André Schürrle|for Mesut Özil']</t>
  </si>
  <si>
    <t>Kwesi Appiah</t>
  </si>
  <si>
    <t>Nawaf Shukralla (Referee) · Yaser Tulefat (AR1) · Ebrahim Saleh (AR2) · Wilmar Roldán (4th)</t>
  </si>
  <si>
    <t>Cristiano Ronaldo · 80</t>
  </si>
  <si>
    <t>Asamoah Gyan · 57</t>
  </si>
  <si>
    <t>['80&amp;rsquor;|2:1|Cristiano Ronaldo']</t>
  </si>
  <si>
    <t>['57&amp;rsquor;|1:1|Asamoah Gyan|Assist:|Kwadwo Asamoah']</t>
  </si>
  <si>
    <t>John Boye (OG) · 31</t>
  </si>
  <si>
    <t>['90+4&amp;rsquor;|2:1|João Moutinho']</t>
  </si>
  <si>
    <t>['39&amp;rsquor;|1:0|Harrison Afful', '55&amp;rsquor;|1:0|Abdul Majeed Waris', '78&amp;rsquor;|1:1|Jordan Ayew']</t>
  </si>
  <si>
    <t>['61&amp;rsquor;|1:1|Silvestre Varela|for João Pereira', '69&amp;rsquor;|1:1|Vieirinha|for Éder', '89&amp;rsquor;|2:1|Eduardo Carvalho|for Beto']</t>
  </si>
  <si>
    <t>['71&amp;rsquor;|1:1|Jordan Ayew|for Abdul Majeed Waris', '76&amp;rsquor;|1:1|Afriyie Acquah|for Mohammed Rabiu', '82&amp;rsquor;|2:1|Wakaso|for André Ayew']</t>
  </si>
  <si>
    <t>Hong Myung-bo</t>
  </si>
  <si>
    <t>Benjamin Williams (Referee) · Matthew Cream (AR1) · Hakan Anaz (AR2) · Víctor Carrillo (4th)</t>
  </si>
  <si>
    <t>Jan Vertonghen · 77</t>
  </si>
  <si>
    <t>['77&amp;rsquor;|0:1|Jan Vertonghen']</t>
  </si>
  <si>
    <t>Steven Defour · 44</t>
  </si>
  <si>
    <t>['35&amp;rsquor;|0:0|Hong Jeong-ho']</t>
  </si>
  <si>
    <t>['50&amp;rsquor;|0:0|Mousa Dembélé']</t>
  </si>
  <si>
    <t>['46&amp;rsquor;|0:0|Lee Keun-ho|for Han Kook-young', '66&amp;rsquor;|0:0|Kim Bo-kyung|for Kim Shin-wook', '73&amp;rsquor;|0:0|Ji Dong-won|for Son Heung-min']</t>
  </si>
  <si>
    <t>['60&amp;rsquor;|0:0|Divock Origi|for Dries Mertens', '60&amp;rsquor;|0:0|Nacer Chadli|for Adnan Januzaj', '88&amp;rsquor;|0:1|Eden Hazard|for Kevin Mirallas']</t>
  </si>
  <si>
    <t>Fabio Capello</t>
  </si>
  <si>
    <t>Estádio Joaquim Américo Guimarães, Curitiba</t>
  </si>
  <si>
    <t>Cüneyt Çakιr (Referee) · Bahattin Duran (AR1) · Tarık Ongun (AR2) · Joel Aguilar (4th)</t>
  </si>
  <si>
    <t>Islam Slimani · 60</t>
  </si>
  <si>
    <t>Aleksandr Kokorin · 6</t>
  </si>
  <si>
    <t>['60&amp;rsquor;|1:1|Islam Slimani|Assist:|Yacine Brahimi']</t>
  </si>
  <si>
    <t>['6&amp;rsquor;|0:1|Aleksandr Kokorin|Assist:|Dmitri Kombarov']</t>
  </si>
  <si>
    <t>['39&amp;rsquor;|0:1|Djamel Mesbah', '87&amp;rsquor;|1:1|Nabil Ghilas', '90+2&amp;rsquor;|1:1|Liassine Cadamuro']</t>
  </si>
  <si>
    <t>['57&amp;rsquor;|0:1|Dmitri Kombarov', '59&amp;rsquor;|0:1|Aleksei Anatolyevich Kozlov']</t>
  </si>
  <si>
    <t>['71&amp;rsquor;|1:1|Hassan Yebda|for Yacine Brahimi', '77&amp;rsquor;|1:1|Nabil Ghilas|for Abdelmoumene Djabou', '90&amp;rsquor;|1:1|Hillel Soudani|for Islam Slimani']</t>
  </si>
  <si>
    <t>['46&amp;rsquor;|0:1|Igor Denisov|for Denis Glushakov', '67&amp;rsquor;|1:1|Alan Dzagoev|for Oleg Shatov', '81&amp;rsquor;|1:1|Maksim Kanunnikov|for Aleksandr Kerzhakov']</t>
  </si>
  <si>
    <t>Safet Sušić</t>
  </si>
  <si>
    <t>Carlos Velasco (Referee) · Roberto Alonso (AR1) · Juan Carlos Yuste (AR2) · Enrique Osses (4th)</t>
  </si>
  <si>
    <t>Edin Džeko · 23|Miralem Pjanić · 59|Avdija Vršajević · 83</t>
  </si>
  <si>
    <t>Reza Ghoochannejad · 82</t>
  </si>
  <si>
    <t>['23&amp;rsquor;|1:0|Edin Džeko', '59&amp;rsquor;|2:0|Miralem Pjanić|Assist:|Toni Šunjić', '83&amp;rsquor;|3:1|Avdija Vršajević']</t>
  </si>
  <si>
    <t>['82&amp;rsquor;|2:1|Reza Ghoochannejad|Assist:|Javad Nekounam']</t>
  </si>
  <si>
    <t>['77&amp;rsquor;|2:0|Muhamed Bešić']</t>
  </si>
  <si>
    <t>['88&amp;rsquor;|3:1|Karim Ansarifard']</t>
  </si>
  <si>
    <t>['61&amp;rsquor;|2:0|Ognjen Vranješ|for Anel Hadžić', '79&amp;rsquor;|2:0|Sejad Salihović|for Tino-Sven Sušić', '84&amp;rsquor;|3:1|Edin Višća|for Edin Džeko']</t>
  </si>
  <si>
    <t>['46&amp;rsquor;|1:0|Khosro Heydari|for Masoud Shojaei', '63&amp;rsquor;|2:0|Alireza Jahanbakhsh|for Ehsan Hajsafi', '68&amp;rsquor;|2:0|Karim Ansarifard|for Ashkan Dejagah']</t>
  </si>
  <si>
    <t>Nicola Rizzoli (Referee) · Renato Faverani (AR1) · Andrea Stefani (AR2) · Svein Oddvar Moen (4th)</t>
  </si>
  <si>
    <t>Ahmed Musa · 4|Ahmed Musa · 47</t>
  </si>
  <si>
    <t>Lionel Messi · 3|Lionel Messi · 45+1|Marcos Rojo · 50</t>
  </si>
  <si>
    <t>['4&amp;rsquor;|1:1|Ahmed Musa|Assist:|Michael Babatunde', '47&amp;rsquor;|2:2|Ahmed Musa|Assist:|Emmanuel Emenike']</t>
  </si>
  <si>
    <t>['3&amp;rsquor;|0:1|Lionel Messi', '45+1&amp;rsquor;|1:2|Lionel Messi', '50&amp;rsquor;|2:3|Marcos Rojo|Assist:|Ezequiel Lavezzi']</t>
  </si>
  <si>
    <t>['49&amp;rsquor;|2:2|Kenneth Omeruo', '51&amp;rsquor;|2:3|Juwon Oshaniwa']</t>
  </si>
  <si>
    <t>['66&amp;rsquor;|2:3|Michael Uchebo|for Michael Babatunde', '80&amp;rsquor;|2:3|Uche Nwofor|for Peter Odemwingie']</t>
  </si>
  <si>
    <t>['38&amp;rsquor;|1:1|Ezequiel Lavezzi|for Sergio Agüero', '63&amp;rsquor;|2:3|Ricky Álvarez|for Lionel Messi', '90&amp;rsquor;|2:3|Lucas Biglia|for Gonzalo Higuaín']</t>
  </si>
  <si>
    <t>Arena da Amazônia, Manaus</t>
  </si>
  <si>
    <t>Néstor Pitana (Referee) · Hernán Maidana (AR1) · Juan Pablo Belatti (AR2) · Milorad Mažić (4th)</t>
  </si>
  <si>
    <t>Xherdan Shaqiri · 6|Xherdan Shaqiri · 31|Xherdan Shaqiri · 71</t>
  </si>
  <si>
    <t>['6&amp;rsquor;|0:1|Xherdan Shaqiri|Assist:|Stephan Lichtsteiner', '31&amp;rsquor;|0:2|Xherdan Shaqiri|Assist:|Josip Drmić', '71&amp;rsquor;|0:3|Xherdan Shaqiri|Assist:|Josip Drmić']</t>
  </si>
  <si>
    <t>['66&amp;rsquor;|0:2|Jerry Palacios']</t>
  </si>
  <si>
    <t>['40&amp;rsquor;|0:2|Jerry Palacios|for Carlo Costly', '46&amp;rsquor;|0:2|Marvin Chávez|for Roger Espinoza', '77&amp;rsquor;|0:3|Andy Najar|for Boniek García']</t>
  </si>
  <si>
    <t>['73&amp;rsquor;|0:3|Haris Seferović|for Josip Drmić', '77&amp;rsquor;|0:3|Michael Lang|for Granit Xhaka', '87&amp;rsquor;|0:3|Blerim Džemaili|for Xherdan Shaqiri']</t>
  </si>
  <si>
    <t>Reinaldo Rueda</t>
  </si>
  <si>
    <t>Noumandiez Doué (Referee) · Songuifolo Yéo (AR1) · Jean-Claude Birumushahu (AR2) · Björn Kuipers (4th)</t>
  </si>
  <si>
    <t>Noumandiez Doué</t>
  </si>
  <si>
    <t>Antonio Valencia · 50</t>
  </si>
  <si>
    <t>['83&amp;rsquor;|0:0|Frickson Erazo']</t>
  </si>
  <si>
    <t>['63&amp;rsquor;|0:0|Renato Ibarra|for Jefferson Montero', '82&amp;rsquor;|0:0|Gabriel Achilier|for Michael Arroyo', '90&amp;rsquor;|0:0|Felipe Caicedo|for Christian Noboa']</t>
  </si>
  <si>
    <t>['61&amp;rsquor;|0:0|Raphaël Varane|for Mamadou Sakho', '67&amp;rsquor;|0:0|Olivier Giroud|for Blaise Matuidi', '79&amp;rsquor;|0:0|Loïc Rémy|for Antoine Griezmann']</t>
  </si>
  <si>
    <t>Roy Hodgson</t>
  </si>
  <si>
    <t>Djamel Haïmoudi (Referee) · Redouane Achik (AR1) · Abdelhak Etchiali (AR2) · Alireza Faghani (4th)</t>
  </si>
  <si>
    <t>['60&amp;rsquor;|0:0|Giancarlo González']</t>
  </si>
  <si>
    <t>['53&amp;rsquor;|0:0|Ross Barkley', '57&amp;rsquor;|0:0|Adam Lallana']</t>
  </si>
  <si>
    <t>['59&amp;rsquor;|0:0|Christian Bolaños|for Randall Brenes', '65&amp;rsquor;|0:0|Marco Ureña|for Joel Campbell', '78&amp;rsquor;|0:0|Michael Barrantes|for Celso Borges']</t>
  </si>
  <si>
    <t>['62&amp;rsquor;|0:0|Raheem Sterling|for Adam Lallana', '73&amp;rsquor;|0:0|Steven Gerrard|for Jack Wilshere', '76&amp;rsquor;|0:0|Wayne Rooney|for James Milner']</t>
  </si>
  <si>
    <t>Cesare Prandelli</t>
  </si>
  <si>
    <t>Arena das Dunas, Natal</t>
  </si>
  <si>
    <t>Diego Godín · 81</t>
  </si>
  <si>
    <t>['81&amp;rsquor;|0:1|Diego Godín|Assist:|Gastón Ramírez']</t>
  </si>
  <si>
    <t>Claudio Marchisio · 59</t>
  </si>
  <si>
    <t>['22&amp;rsquor;|0:0|Mario Balotelli', '77&amp;rsquor;|0:0|Mattia De Sciglio']</t>
  </si>
  <si>
    <t>['46&amp;rsquor;|0:0|Egidio Arévalo', '90+1&amp;rsquor;|0:1|Fernando Muslera']</t>
  </si>
  <si>
    <t>['46&amp;rsquor;|0:0|Marco Parolo|for Mario Balotelli', '71&amp;rsquor;|0:0|Antonio Cassano|for Ciro Immobile', '75&amp;rsquor;|0:0|Thiago Motta|for Marco Verratti']</t>
  </si>
  <si>
    <t>['46&amp;rsquor;|0:0|Maxi Pereira|for Nicolás Lodeiro', '63&amp;rsquor;|0:0|Cristhian Stuani|for Álvaro Pereira', '78&amp;rsquor;|0:0|Gastón Ramírez|for Cristian Rodríguez']</t>
  </si>
  <si>
    <t>Alberto Zaccheroni</t>
  </si>
  <si>
    <t>Arena Pantanal, Cuiabá</t>
  </si>
  <si>
    <t>Pedro Proença (Referee) · Bertino Miranda (AR1) · José Trigo (AR2) · Roberto Moreno (4th)</t>
  </si>
  <si>
    <t>1–4</t>
  </si>
  <si>
    <t>Shinji Okazaki · 45+1</t>
  </si>
  <si>
    <t>Jackson Martínez · 55|Jackson Martínez · 82|James Rodríguez · 90</t>
  </si>
  <si>
    <t>['45+1&amp;rsquor;|1:1|Shinji Okazaki|Assist:|Keisuke Honda']</t>
  </si>
  <si>
    <t>['55&amp;rsquor;|1:2|Jackson Martínez|Assist:|James Rodríguez', '82&amp;rsquor;|1:3|Jackson Martínez|Assist:|James Rodríguez', '90&amp;rsquor;|1:4|James Rodríguez|Assist:|Adrián Ramos']</t>
  </si>
  <si>
    <t>Juan Cuadrado (P) · 17</t>
  </si>
  <si>
    <t>['16&amp;rsquor;|0:0|Yasuyuki Konno']</t>
  </si>
  <si>
    <t>['63&amp;rsquor;|1:2|Fredy Guarín']</t>
  </si>
  <si>
    <t>['62&amp;rsquor;|1:2|Hotaru Yamaguchi|for Toshihiro Aoyama', '69&amp;rsquor;|1:2|Yoichiro Kakitani|for Shinji Okazaki', '85&amp;rsquor;|1:3|Hiroshi Kiyotake|for Shinji Kagawa']</t>
  </si>
  <si>
    <t>['46&amp;rsquor;|1:1|Carlos Carbonero|for Juan Cuadrado', '46&amp;rsquor;|1:1|James Rodríguez|for Juan Quintero', '85&amp;rsquor;|1:3|Faryd Mondragón|for David Ospina']</t>
  </si>
  <si>
    <t>Sabri Lamouchi</t>
  </si>
  <si>
    <t>Carlos Vera (Referee) · Christian Lescano (AR1) · Byron Romero (AR2) · Sandro Ricci (4th)</t>
  </si>
  <si>
    <t>Carlos Vera</t>
  </si>
  <si>
    <t>Andreas Samaris · 42</t>
  </si>
  <si>
    <t>Wilfried Bony · 74</t>
  </si>
  <si>
    <t>['42&amp;rsquor;|1:0|Andreas Samaris|Assist:|Georgios Samaras']</t>
  </si>
  <si>
    <t>['74&amp;rsquor;|1:1|Wilfried Bony|Assist:|Gervinho']</t>
  </si>
  <si>
    <t>Georgios Samaras (P) · 90+3</t>
  </si>
  <si>
    <t>['37&amp;rsquor;|0:0|Didier Drogba', '62&amp;rsquor;|1:0|Salomon Kalou', '70&amp;rsquor;|1:0|Serey Die']</t>
  </si>
  <si>
    <t>['12&amp;rsquor;|0:0|Andreas Samaris|for Panagiotis Kone', '24&amp;rsquor;|0:0|Panagiotis Glykos|for Orestis Karnezis', '78&amp;rsquor;|1:1|Theofanis Gekas|for Giorgos Karagounis']</t>
  </si>
  <si>
    <t>['61&amp;rsquor;|1:0|Wilfried Bony|for Cheick Tioté', '78&amp;rsquor;|1:1|Ismaël Diomandé|for Didier Drogba', '83&amp;rsquor;|1:1|Giovanni Sio|for Gervinho']</t>
  </si>
  <si>
    <t>Ange Postecoglou</t>
  </si>
  <si>
    <t>Del Bosque</t>
  </si>
  <si>
    <t>Nawaf Shukralla (Referee) · Yaser Tulefat (AR1) · Ebrahim Saleh (AR2) · Norbert Hauata (4th)</t>
  </si>
  <si>
    <t>David Villa · 36|Fernando Torres · 69|Juan Mata · 82</t>
  </si>
  <si>
    <t>['36&amp;rsquor;|0:1|David Villa|Assist:|Juanfran', '69&amp;rsquor;|0:2|Fernando Torres|Assist:|Andrés Iniesta', '82&amp;rsquor;|0:3|Juan Mata|Assist:|Cesc Fàbregas']</t>
  </si>
  <si>
    <t>['88&amp;rsquor;|0:3|Matthew Spiranovic', '90+2&amp;rsquor;|0:3|Mile Jedinak']</t>
  </si>
  <si>
    <t>['62&amp;rsquor;|0:1|Sergio Ramos']</t>
  </si>
  <si>
    <t>['46&amp;rsquor;|0:1|Ben Halloran|for Adam Taggart', '61&amp;rsquor;|0:1|James Troisi|for Tommy Oar', '72&amp;rsquor;|0:2|Mark Bresciano|for Oliver Bozanic']</t>
  </si>
  <si>
    <t>['56&amp;rsquor;|0:1|Juan Mata|for David Villa', '68&amp;rsquor;|0:1|Cesc Fàbregas|for Santi Cazorla', '83&amp;rsquor;|0:3|David Silva|for Xabi Alonso']</t>
  </si>
  <si>
    <t>Bakary Papa Gassama (Referee) · Evarist Menkouande (AR1) · Félicien Kabanda (AR2) · Joel Aguilar (4th)</t>
  </si>
  <si>
    <t>Leroy Fer · 77|Memphis · 90+2</t>
  </si>
  <si>
    <t>['77&amp;rsquor;|1:0|Leroy Fer|Assist:|Daryl Janmaat', '90+2&amp;rsquor;|2:0|Memphis|Assist:|Arjen Robben']</t>
  </si>
  <si>
    <t>['64&amp;rsquor;|0:0|Daley Blind']</t>
  </si>
  <si>
    <t>['25&amp;rsquor;|0:0|Francisco Silva']</t>
  </si>
  <si>
    <t>['69&amp;rsquor;|0:0|Memphis|for Jeremain Lens', '75&amp;rsquor;|0:0|Leroy Fer|for Wesley Sneijder', '89&amp;rsquor;|1:0|Terence Kongolo|for Dirk Kuyt']</t>
  </si>
  <si>
    <t>['46&amp;rsquor;|0:0|Jean Beausejour|for Felipe Gutiérrez', '70&amp;rsquor;|0:0|Jorge Valdivia|for Francisco Silva', '81&amp;rsquor;|1:0|Mauricio Pinilla|for Eduardo Vargas']</t>
  </si>
  <si>
    <t>Niko Kovač</t>
  </si>
  <si>
    <t>Ivan Perišić · 87</t>
  </si>
  <si>
    <t>Rafael Márquez · 72|Andrés Guardado · 75|Javier Hernández · 82</t>
  </si>
  <si>
    <t>['87&amp;rsquor;|1:3|Ivan Perišić|Assist:|Ivan Rakitić']</t>
  </si>
  <si>
    <t>['72&amp;rsquor;|0:1|Rafael Márquez|Assist:|Héctor Herrera', '75&amp;rsquor;|0:2|Andrés Guardado|Assist:|Oribe Peralta', '82&amp;rsquor;|0:3|Javier Hernández|Assist:|Rafael Márquez']</t>
  </si>
  <si>
    <t>Ante Rebić · 89</t>
  </si>
  <si>
    <t>['9&amp;rsquor;|0:0|Ivan Rakitić']</t>
  </si>
  <si>
    <t>['39&amp;rsquor;|0:0|Rafael Márquez', '66&amp;rsquor;|0:0|José Juan Vázquez']</t>
  </si>
  <si>
    <t>['58&amp;rsquor;|0:0|Mateo Kovačić|for Šime Vrsaljko', '69&amp;rsquor;|0:0|Ante Rebić|for Ivica Olić', '74&amp;rsquor;|0:1|Nikica Jelavić|for Danijel Pranjić']</t>
  </si>
  <si>
    <t>['62&amp;rsquor;|0:0|Javier Hernández|for Giovani dos Santos', '79&amp;rsquor;|0:2|Carlos Peña|for Oribe Peralta', '84&amp;rsquor;|0:3|Marco Fabián|for Andrés Guardado']</t>
  </si>
  <si>
    <t>Volker Finke</t>
  </si>
  <si>
    <t>Joël Matip · 26</t>
  </si>
  <si>
    <t>Neymar · 17|Neymar · 35|Fred · 49|Fernandinho · 84</t>
  </si>
  <si>
    <t>['26&amp;rsquor;|1:1|Joël Matip|Assist:|Allan Nyom']</t>
  </si>
  <si>
    <t>['17&amp;rsquor;|0:1|Neymar|Assist:|Luiz Gustavo', '35&amp;rsquor;|1:2|Neymar|Assist:|Marcelo', '49&amp;rsquor;|1:3|Fred|Assist:|David Luiz', '84&amp;rsquor;|1:4|Fernandinho|Assist:|Oscar']</t>
  </si>
  <si>
    <t>['11&amp;rsquor;|0:0|Eyong Enoh', '75&amp;rsquor;|1:3|Edgar Salli', '80&amp;rsquor;|1:3|Stéphane Mbia']</t>
  </si>
  <si>
    <t>['58&amp;rsquor;|1:3|Edgar Salli|for Benjamin Moukandjo', '72&amp;rsquor;|1:3|Pierre Webó|for Vincent Aboubakar', '81&amp;rsquor;|1:3|Jean Makoun|for Eric Maxim Choupo-Moting']</t>
  </si>
  <si>
    <t>['46&amp;rsquor;|1:2|Fernandinho|for Paulinho', '63&amp;rsquor;|1:3|Ramires|for Hulk', '71&amp;rsquor;|1:3|Willian|for Neymar']</t>
  </si>
  <si>
    <t>Felix Brych (Referee) · Mark Borsch (AR1) · Stefan Lupp (AR2) · Carlos Vera (4th)</t>
  </si>
  <si>
    <t>Divock Origi · 88</t>
  </si>
  <si>
    <t>['88&amp;rsquor;|1:0|Divock Origi|Assist:|Eden Hazard']</t>
  </si>
  <si>
    <t>['54&amp;rsquor;|0:0|Axel Witsel', '73&amp;rsquor;|0:0|Toby Alderweireld']</t>
  </si>
  <si>
    <t>['38&amp;rsquor;|0:0|Denis Glushakov']</t>
  </si>
  <si>
    <t>['31&amp;rsquor;|0:0|Jan Vertonghen|for Thomas Vermaelen', '57&amp;rsquor;|0:0|Divock Origi|for Romelu Lukaku', '75&amp;rsquor;|0:0|Kevin Mirallas|for Dries Mertens']</t>
  </si>
  <si>
    <t>['62&amp;rsquor;|0:0|Andrey Yeshchenko|for Aleksei Anatolyevich Kozlov', '83&amp;rsquor;|0:0|Alan Dzagoev|for Oleg Shatov', '90&amp;rsquor;|1:0|Aleksandr Kerzhakov|for Aleksandr Samedov']</t>
  </si>
  <si>
    <t>Wilmar Roldán (Referee) · Eduardo Díaz (AR1) · Christian Lescano (AR2) · Alireza Faghani (4th)</t>
  </si>
  <si>
    <t>Son Heung-min · 50|Koo Ja-cheol · 72</t>
  </si>
  <si>
    <t>Islam Slimani · 26|Rafik Halliche · 28|Abdelmoumene Djabou · 38|Yacine Brahimi · 62</t>
  </si>
  <si>
    <t>['50&amp;rsquor;|1:3|Son Heung-min|Assist:|Ki Sung-yueng', '72&amp;rsquor;|2:4|Koo Ja-cheol|Assist:|Lee Keun-ho']</t>
  </si>
  <si>
    <t>['26&amp;rsquor;|0:1|Islam Slimani|Assist:|Carl Medjani', '28&amp;rsquor;|0:2|Rafik Halliche|Assist:|Abdelmoumene Djabou', '38&amp;rsquor;|0:3|Abdelmoumene Djabou|Assist:|Islam Slimani', '62&amp;rsquor;|1:4|Yacine Brahimi|Assist:|Sofiane Feghouli']</t>
  </si>
  <si>
    <t>['54&amp;rsquor;|1:3|Lee Yong', '69&amp;rsquor;|1:4|Han Kook-young']</t>
  </si>
  <si>
    <t>['67&amp;rsquor;|1:4|Madjid Bougherra']</t>
  </si>
  <si>
    <t>['57&amp;rsquor;|1:3|Kim Shin-wook|for Park Chu-young', '64&amp;rsquor;|1:4|Lee Keun-ho|for Lee Chung-yong', '78&amp;rsquor;|2:4|Ji Dong-won|for Han Kook-young']</t>
  </si>
  <si>
    <t>['73&amp;rsquor;|2:4|Nabil Ghilas|for Abdelmoumene Djabou', '77&amp;rsquor;|2:4|Mehdi Lacen|for Yacine Brahimi', '89&amp;rsquor;|2:4|Essaïd Belkalem|for Madjid Bougherra']</t>
  </si>
  <si>
    <t>Néstor Pitana (Referee) · Hernán Maidana (AR1) · Juan Pablo Belatti (AR2) · Walter López (4th)</t>
  </si>
  <si>
    <t>Jermaine Jones · 64|Clint Dempsey · 81</t>
  </si>
  <si>
    <t>Nani · 5|Silvestre Varela · 90+5</t>
  </si>
  <si>
    <t>['64&amp;rsquor;|1:1|Jermaine Jones', '81&amp;rsquor;|2:1|Clint Dempsey|Assist:|Graham Zusi']</t>
  </si>
  <si>
    <t>['5&amp;rsquor;|0:1|Nani', '90+5&amp;rsquor;|2:2|Silvestre Varela|Assist:|Cristiano Ronaldo']</t>
  </si>
  <si>
    <t>['75&amp;rsquor;|1:1|Jermaine Jones']</t>
  </si>
  <si>
    <t>['72&amp;rsquor;|1:1|DeAndre Yedlin|for Alejandro Bedoya', '87&amp;rsquor;|2:1|Chris Wondolowski|for Clint Dempsey', '90+1&amp;rsquor;|2:1|Omar Gonzalez|for Graham Zusi']</t>
  </si>
  <si>
    <t>['16&amp;rsquor;|0:1|Éder|for Hélder Postiga', '46&amp;rsquor;|0:1|William Carvalho|for André Almeida', '70&amp;rsquor;|1:1|Silvestre Varela|for Raul Meireles']</t>
  </si>
  <si>
    <t>Milorad Mažić (Referee) · Milovan Ristić (AR1) · Dalibor Đurđević (AR2) · Norbert Hauata (4th)</t>
  </si>
  <si>
    <t>Lionel Messi · 90+1</t>
  </si>
  <si>
    <t>['90+1&amp;rsquor;|1:0|Lionel Messi']</t>
  </si>
  <si>
    <t>['53&amp;rsquor;|0:0|Javad Nekounam', '73&amp;rsquor;|0:0|Masoud Shojaei']</t>
  </si>
  <si>
    <t>['77&amp;rsquor;|0:0|Ezequiel Lavezzi|for Sergio Agüero', '77&amp;rsquor;|0:0|Rodrigo Palacio|for Gonzalo Higuaín', '90&amp;rsquor;|0:0|Lucas Biglia|for Ángel Di María']</t>
  </si>
  <si>
    <t>['76&amp;rsquor;|0:0|Khosro Heydari|for Masoud Shojaei', '85&amp;rsquor;|0:0|Alireza Jahanbakhsh|for Ashkan Dejagah', '88&amp;rsquor;|0:0|Reza Haghighi|for Ehsan Hajsafi']</t>
  </si>
  <si>
    <t>Sandro Ricci (Referee) · Emerson de Carvalho (AR1) · Marcelo Van Gasse (AR2) · Víctor Carrillo (4th)</t>
  </si>
  <si>
    <t>Mario Götze · 51|Miroslav Klose · 71</t>
  </si>
  <si>
    <t>André Ayew · 54|Asamoah Gyan · 63</t>
  </si>
  <si>
    <t>['51&amp;rsquor;|1:0|Mario Götze|Assist:|Thomas Müller', '71&amp;rsquor;|2:2|Miroslav Klose|Assist:|Benedikt Höwedes']</t>
  </si>
  <si>
    <t>['54&amp;rsquor;|1:1|André Ayew|Assist:|Harrison Afful', '63&amp;rsquor;|1:2|Asamoah Gyan|Assist:|Sulley Muntari']</t>
  </si>
  <si>
    <t>['90+4&amp;rsquor;|2:2|Sulley Muntari']</t>
  </si>
  <si>
    <t>['46&amp;rsquor;|0:0|Shkodran Mustafi|for Jérôme Boateng', '69&amp;rsquor;|1:2|Bastian Schweinsteiger|for Sami Khedira', '69&amp;rsquor;|1:2|Miroslav Klose|for Mario Götze']</t>
  </si>
  <si>
    <t>['52&amp;rsquor;|1:0|Jordan Ayew|for Kevin-Prince Boateng', '72&amp;rsquor;|2:2|Wakaso|for Christian Atsu', '78&amp;rsquor;|2:2|Emmanuel Agyemang-Badu|for Mohammed Rabiu']</t>
  </si>
  <si>
    <t>Peter O'Leary (Referee) · Jan-Hendrik Hintz (AR1) · Mark Rule (AR2) · Roberto Moreno (4th)</t>
  </si>
  <si>
    <t>Peter O'Leary</t>
  </si>
  <si>
    <t>Peter Odemwingie · 29</t>
  </si>
  <si>
    <t>['29&amp;rsquor;|1:0|Peter Odemwingie|Assist:|Emmanuel Emenike']</t>
  </si>
  <si>
    <t>['81&amp;rsquor;|1:0|John Obi Mikel']</t>
  </si>
  <si>
    <t>['6&amp;rsquor;|0:0|Haris Medunjanin']</t>
  </si>
  <si>
    <t>['65&amp;rsquor;|1:0|Shola Ameobi|for Ahmed Musa', '75&amp;rsquor;|1:0|Ejike Uzoenyi|for Michael Babatunde']</t>
  </si>
  <si>
    <t>['57&amp;rsquor;|1:0|Vedad Ibišević|for Izet Hajrović', '58&amp;rsquor;|1:0|Sejad Salihović|for Senad Lulić', '64&amp;rsquor;|1:0|Tino-Sven Sušić|for Haris Medunjanin']</t>
  </si>
  <si>
    <t>Enrique Osses (Referee) · Carlos Astroza (AR1) · Sergio Román (AR2) · Alioum Alioum (4th)</t>
  </si>
  <si>
    <t>Enrique Osses</t>
  </si>
  <si>
    <t>Bryan Ruiz · 44</t>
  </si>
  <si>
    <t>['44&amp;rsquor;|0:1|Bryan Ruiz|Assist:|Júnior Díaz']</t>
  </si>
  <si>
    <t>['69&amp;rsquor;|0:1|Mario Balotelli']</t>
  </si>
  <si>
    <t>['71&amp;rsquor;|0:1|José Miguel Cubero']</t>
  </si>
  <si>
    <t>['46&amp;rsquor;|0:1|Antonio Cassano|for Thiago Motta', '57&amp;rsquor;|0:1|Lorenzo Insigne|for Antonio Candreva', '69&amp;rsquor;|0:1|Alessio Cerci|for Claudio Marchisio']</t>
  </si>
  <si>
    <t>['68&amp;rsquor;|0:1|José Miguel Cubero|for Yeltsin Tejeda', '74&amp;rsquor;|0:1|Marco Ureña|for Joel Campbell', '81&amp;rsquor;|0:1|Randall Brenes|for Bryan Ruiz']</t>
  </si>
  <si>
    <t>2–5</t>
  </si>
  <si>
    <t>Blerim Džemaili · 81|Granit Xhaka · 87</t>
  </si>
  <si>
    <t>Olivier Giroud · 17|Blaise Matuidi · 18|Mathieu Valbuena · 40|Karim Benzema · 67|Moussa Sissoko · 73</t>
  </si>
  <si>
    <t>['81&amp;rsquor;|1:5|Blerim Džemaili', '87&amp;rsquor;|2:5|Granit Xhaka|Assist:|Gökhan Inler']</t>
  </si>
  <si>
    <t>['17&amp;rsquor;|0:1|Olivier Giroud|Assist:|Mathieu Valbuena', '18&amp;rsquor;|0:2|Blaise Matuidi|Assist:|Karim Benzema', '40&amp;rsquor;|0:3|Mathieu Valbuena|Assist:|Olivier Giroud', '67&amp;rsquor;|0:4|Karim Benzema|Assist:|Paul Pogba', '73&amp;rsquor;|0:5|Moussa Sissoko|Assist:|Karim Benzema']</t>
  </si>
  <si>
    <t>['32&amp;rsquor;|0:2|Karim Benzema|Penalty saved by Diego Benaglio']</t>
  </si>
  <si>
    <t>['88&amp;rsquor;|2:5|Yohan Cabaye']</t>
  </si>
  <si>
    <t>['9&amp;rsquor;|0:0|Philippe Senderos|for Steve von Bergen', '46&amp;rsquor;|0:3|Blerim Džemaili|for Valon Behrami', '69&amp;rsquor;|0:4|Josip Drmić|for Haris Seferović']</t>
  </si>
  <si>
    <t>['63&amp;rsquor;|0:3|Paul Pogba|for Olivier Giroud', '66&amp;rsquor;|0:3|Laurent Koscielny|for Mamadou Sakho', '82&amp;rsquor;|1:5|Antoine Griezmann|for Mathieu Valbuena']</t>
  </si>
  <si>
    <t>Benjamin Williams (Referee) · Matthew Cream (AR1) · Hakan Anaz (AR2) · Yuichi Nishimura (4th)</t>
  </si>
  <si>
    <t>Carlo Costly · 31</t>
  </si>
  <si>
    <t>Enner Valencia · 34|Enner Valencia · 65</t>
  </si>
  <si>
    <t>['31&amp;rsquor;|1:0|Carlo Costly']</t>
  </si>
  <si>
    <t>['34&amp;rsquor;|1:1|Enner Valencia', '65&amp;rsquor;|1:2|Enner Valencia|Assist:|Walter Ayoví']</t>
  </si>
  <si>
    <t>['7&amp;rsquor;|0:0|Víctor Bernárdez', '45+3&amp;rsquor;|1:1|Jerry Bengtson']</t>
  </si>
  <si>
    <t>['57&amp;rsquor;|1:1|Antonio Valencia', '72&amp;rsquor;|1:2|Enner Valencia', '80&amp;rsquor;|1:2|Jefferson Montero']</t>
  </si>
  <si>
    <t>['46&amp;rsquor;|1:1|Juan Carlos García|for Emilio Izaguirre', '71&amp;rsquor;|1:2|Mario Martínez|for Luis Garrido', '82&amp;rsquor;|1:2|Marvin Chávez|for Boniek García']</t>
  </si>
  <si>
    <t>['82&amp;rsquor;|1:2|Édison Méndez|for Felipe Caicedo', '83&amp;rsquor;|1:2|Carlos Gruezo|for Oswaldo Minda', '90&amp;rsquor;|1:2|Gabriel Achilier|for Jefferson Montero']</t>
  </si>
  <si>
    <t>Howard Webb (Referee) · Michael Mullarkey (AR1) · Darren Cann (AR2) · Víctor Carrillo (4th)</t>
  </si>
  <si>
    <t>James Rodríguez · 64|Juan Quintero · 70</t>
  </si>
  <si>
    <t>Gervinho · 73</t>
  </si>
  <si>
    <t>['64&amp;rsquor;|1:0|James Rodríguez|Assist:|Juan Cuadrado', '70&amp;rsquor;|2:0|Juan Quintero|Assist:|Teófilo Gutiérrez']</t>
  </si>
  <si>
    <t>['73&amp;rsquor;|2:1|Gervinho']</t>
  </si>
  <si>
    <t>['55&amp;rsquor;|0:0|Didier Zokora', '90&amp;rsquor;|2:1|Cheick Tioté']</t>
  </si>
  <si>
    <t>['53&amp;rsquor;|0:0|Juan Quintero|for Víctor Ibarbo', '72&amp;rsquor;|2:0|Santiago Arias|for Pablo Armero', '79&amp;rsquor;|2:1|Alexander Mejía|for Abel Aguilar']</t>
  </si>
  <si>
    <t>['60&amp;rsquor;|0:0|Didier Drogba|for Wilfried Bony', '67&amp;rsquor;|1:0|Salomon Kalou|for Max Gradel', '73&amp;rsquor;|2:0|Mathis Bolly|for Serey Die']</t>
  </si>
  <si>
    <t>Carlos Velasco (Referee) · Roberto Alonso (AR1) · Juan Carlos Yuste (AR2) · Alireza Faghani (4th)</t>
  </si>
  <si>
    <t>Luis Suárez · 39|Luis Suárez · 85</t>
  </si>
  <si>
    <t>Wayne Rooney · 75</t>
  </si>
  <si>
    <t>['39&amp;rsquor;|1:0|Luis Suárez|Assist:|Edinson Cavani', '85&amp;rsquor;|2:1|Luis Suárez']</t>
  </si>
  <si>
    <t>['75&amp;rsquor;|1:1|Wayne Rooney|Assist:|Glen Johnson']</t>
  </si>
  <si>
    <t>['9&amp;rsquor;|0:0|Diego Godín']</t>
  </si>
  <si>
    <t>['68&amp;rsquor;|1:0|Steven Gerrard']</t>
  </si>
  <si>
    <t>['67&amp;rsquor;|1:0|Cristhian Stuani|for Nicolás Lodeiro', '78&amp;rsquor;|1:1|Jorge Fucile|for Álvaro González', '88&amp;rsquor;|2:1|Sebastián Coates|for Luis Suárez']</t>
  </si>
  <si>
    <t>['64&amp;rsquor;|1:0|Ross Barkley|for Raheem Sterling', '71&amp;rsquor;|1:0|Adam Lallana|for Danny Welbeck', '89&amp;rsquor;|2:1|Rickie Lambert|for Jordan Henderson']</t>
  </si>
  <si>
    <t>Joel Aguilar (Referee) · William Torres (AR1) · Juan Zumba (AR2) · Norbert Hauata (4th)</t>
  </si>
  <si>
    <t>Kostas Katsouranis · 38</t>
  </si>
  <si>
    <t>['12&amp;rsquor;|0:0|Makoto Hasebe']</t>
  </si>
  <si>
    <t>['27&amp;rsquor;|0:0|Kostas Katsouranis', '55&amp;rsquor;|0:0|Georgios Samaras', '89&amp;rsquor;|0:0|Vasilis Torosidis']</t>
  </si>
  <si>
    <t>['46&amp;rsquor;|0:0|Yasuhito Endō|for Makoto Hasebe', '57&amp;rsquor;|0:0|Shinji Kagawa|for Yuya Osako']</t>
  </si>
  <si>
    <t>['35&amp;rsquor;|0:0|Theofanis Gekas|for Kostas Mitroglou', '41&amp;rsquor;|0:0|Giorgos Karagounis|for Giannis Fetfatzidis', '81&amp;rsquor;|0:0|Dimitris Salpingidis|for Panagiotis Kone']</t>
  </si>
  <si>
    <t>Djamel Haïmoudi (Referee) · Redouane Achik (AR1) · Abdelhak Etchiali (AR2) · Bakary Papa Gassama (4th)</t>
  </si>
  <si>
    <t>Tim Cahill · 21</t>
  </si>
  <si>
    <t>Arjen Robben · 20|Robin van Persie · 58|Memphis · 68</t>
  </si>
  <si>
    <t>['21&amp;rsquor;|1:1|Tim Cahill|Assist:|Ryan McGowan']</t>
  </si>
  <si>
    <t>['20&amp;rsquor;|0:1|Arjen Robben|Assist:|Daley Blind', '58&amp;rsquor;|2:2|Robin van Persie|Assist:|Memphis', '68&amp;rsquor;|2:3|Memphis|Assist:|Jonathan de Guzmán']</t>
  </si>
  <si>
    <t>Mile Jedinak (P) · 54</t>
  </si>
  <si>
    <t>['43&amp;rsquor;|1:1|Tim Cahill']</t>
  </si>
  <si>
    <t>['47&amp;rsquor;|1:1|Robin van Persie']</t>
  </si>
  <si>
    <t>['51&amp;rsquor;|1:1|Oliver Bozanic|for Mark Bresciano', '69&amp;rsquor;|2:3|Ben Halloran|for Tim Cahill', '77&amp;rsquor;|2:3|Adam Taggart|for Tommy Oar']</t>
  </si>
  <si>
    <t>['45+3&amp;rsquor;|1:1|Memphis|for Bruno Martins Indi', '78&amp;rsquor;|2:3|Georginio Wijnaldum|for Jonathan de Guzmán', '87&amp;rsquor;|2:3|Jeremain Lens|for Robin van Persie']</t>
  </si>
  <si>
    <t>Mark Geiger (Referee) · Sean Hurd (AR1) · Joe Fletcher (AR2) · Nawaf Shukralla (4th)</t>
  </si>
  <si>
    <t>Eduardo Vargas · 20|Charles Aránguiz · 43</t>
  </si>
  <si>
    <t>['20&amp;rsquor;|0:1|Eduardo Vargas|Assist:|Charles Aránguiz', '43&amp;rsquor;|0:2|Charles Aránguiz']</t>
  </si>
  <si>
    <t>['41&amp;rsquor;|0:1|Xabi Alonso']</t>
  </si>
  <si>
    <t>['26&amp;rsquor;|0:1|Arturo Vidal', '61&amp;rsquor;|0:2|Eugenio Mena']</t>
  </si>
  <si>
    <t>['46&amp;rsquor;|0:2|Koke|for Xabi Alonso', '64&amp;rsquor;|0:2|Fernando Torres|for Diego Costa', '76&amp;rsquor;|0:2|Santi Cazorla|for Pedro']</t>
  </si>
  <si>
    <t>['64&amp;rsquor;|0:2|Felipe Gutiérrez|for Charles Aránguiz', '85&amp;rsquor;|0:2|Jorge Valdivia|for Eduardo Vargas', '88&amp;rsquor;|0:2|Carlos Carmona|for Arturo Vidal']</t>
  </si>
  <si>
    <t>Pedro Proença (Referee) · Bertino Miranda (AR1) · José Trigo (AR2) · Walter López (4th)</t>
  </si>
  <si>
    <t>0–4</t>
  </si>
  <si>
    <t>Ivica Olić · 11|Ivan Perišić · 48|Mario Mandžukić · 61|Mario Mandžukić · 73</t>
  </si>
  <si>
    <t>['11&amp;rsquor;|0:1|Ivica Olić|Assist:|Ivan Perišić', '48&amp;rsquor;|0:2|Ivan Perišić', '61&amp;rsquor;|0:3|Mario Mandžukić|Assist:|Danijel Pranjić', '73&amp;rsquor;|0:4|Mario Mandžukić']</t>
  </si>
  <si>
    <t>Alex Song · 40</t>
  </si>
  <si>
    <t>['80&amp;rsquor;|0:4|Eduardo da Silva']</t>
  </si>
  <si>
    <t>['46&amp;rsquor;|0:1|Dany Nounkeu|for Aurélien Chedjou', '70&amp;rsquor;|0:3|Pierre Webó|for Vincent Aboubakar', '75&amp;rsquor;|0:4|Edgar Salli|for Eric Maxim Choupo-Moting']</t>
  </si>
  <si>
    <t>['69&amp;rsquor;|0:3|Eduardo da Silva|for Ivica Olić', '72&amp;rsquor;|0:3|Mateo Kovačić|for Sammir', '78&amp;rsquor;|0:4|Ante Rebić|for Ivan Perišić']</t>
  </si>
  <si>
    <t>Marcos Rodriguez (Referee) · Marvin Torrentera (AR1) · Marcos Quintero (AR2) · Alireza Faghani (4th)</t>
  </si>
  <si>
    <t>Marcos Rodriguez</t>
  </si>
  <si>
    <t>Marouane Fellaini · 70|Dries Mertens · 80</t>
  </si>
  <si>
    <t>['70&amp;rsquor;|1:1|Marouane Fellaini|Assist:|Kevin De Bruyne', '80&amp;rsquor;|2:1|Dries Mertens|Assist:|Eden Hazard']</t>
  </si>
  <si>
    <t>Sofiane Feghouli (P) · 25</t>
  </si>
  <si>
    <t>['24&amp;rsquor;|0:0|Jan Vertonghen']</t>
  </si>
  <si>
    <t>['34&amp;rsquor;|0:1|Nabil Bentaleb']</t>
  </si>
  <si>
    <t>['46&amp;rsquor;|0:1|Dries Mertens|for Nacer Chadli', '58&amp;rsquor;|0:1|Divock Origi|for Romelu Lukaku', '65&amp;rsquor;|0:1|Marouane Fellaini|for Mousa Dembélé']</t>
  </si>
  <si>
    <t>['66&amp;rsquor;|0:1|Islam Slimani|for Hillel Soudani', '71&amp;rsquor;|1:1|Mehdi Lacen|for Riyad Mahrez', '84&amp;rsquor;|2:1|Nabil Ghilas|for Carl Medjani']</t>
  </si>
  <si>
    <t>Cüneyt Çakιr (Referee) · Bahattin Duran (AR1) · Tarık Ongun (AR2) · Svein Oddvar Moen (4th)</t>
  </si>
  <si>
    <t>['45&amp;rsquor;|0:0|Ramires', '79&amp;rsquor;|0:0|Thiago Silva']</t>
  </si>
  <si>
    <t>['59&amp;rsquor;|0:0|Paul Aguilar', '62&amp;rsquor;|0:0|José Juan Vázquez']</t>
  </si>
  <si>
    <t>['46&amp;rsquor;|0:0|Bernard|for Ramires', '68&amp;rsquor;|0:0|Jô|for Fred', '84&amp;rsquor;|0:0|Willian|for Oscar']</t>
  </si>
  <si>
    <t>['74&amp;rsquor;|0:0|Javier Hernández|for Oribe Peralta', '76&amp;rsquor;|0:0|Marco Fabián|for Héctor Herrera', '84&amp;rsquor;|0:0|Raúl Jiménez|for Giovani dos Santos']</t>
  </si>
  <si>
    <t>Néstor Pitana (Referee) · Hernán Maidana (AR1) · Juan Pablo Belatti (AR2) · Roberto Moreno (4th)</t>
  </si>
  <si>
    <t>Aleksandr Kerzhakov · 74</t>
  </si>
  <si>
    <t>Lee Keun-ho · 68</t>
  </si>
  <si>
    <t>['74&amp;rsquor;|1:1|Aleksandr Kerzhakov|Assist:|Andrey Yeshchenko']</t>
  </si>
  <si>
    <t>['68&amp;rsquor;|0:1|Lee Keun-ho|Assist:|Han Kook-young']</t>
  </si>
  <si>
    <t>['49&amp;rsquor;|0:0|Oleg Shatov']</t>
  </si>
  <si>
    <t>['13&amp;rsquor;|0:0|Son Heung-min', '30&amp;rsquor;|0:0|Ki Sung-yueng', '90&amp;rsquor;|1:1|Koo Ja-cheol']</t>
  </si>
  <si>
    <t>['59&amp;rsquor;|0:0|Alan Dzagoev|for Oleg Shatov', '71&amp;rsquor;|0:1|Aleksandr Kerzhakov|for Yuri Zhirkov', '72&amp;rsquor;|0:1|Igor Denisov|for Denis Glushakov']</t>
  </si>
  <si>
    <t>['56&amp;rsquor;|0:0|Lee Keun-ho|for Park Chu-young', '72&amp;rsquor;|0:1|Hwang Seok-ho|for Hong Jeong-ho', '84&amp;rsquor;|1:1|Kim Bo-kyung|for Son Heung-min']</t>
  </si>
  <si>
    <t>Milorad Mažić (Referee) · Milovan Ristić (AR1) · Dalibor Đurđević (AR2) · Alioum Alioum (4th)</t>
  </si>
  <si>
    <t>4–0</t>
  </si>
  <si>
    <t>Mats Hummels · 32|Thomas Müller · 45+1|Thomas Müller · 78</t>
  </si>
  <si>
    <t>['32&amp;rsquor;|2:0|Mats Hummels|Assist:|Toni Kroos', '45+1&amp;rsquor;|3:0|Thomas Müller', '78&amp;rsquor;|4:0|Thomas Müller']</t>
  </si>
  <si>
    <t>Thomas Müller (P) · 12</t>
  </si>
  <si>
    <t>Pepe · 37</t>
  </si>
  <si>
    <t>['11&amp;rsquor;|0:0|João Pereira']</t>
  </si>
  <si>
    <t>['63&amp;rsquor;|3:0|André Schürrle|for Mesut Özil', '73&amp;rsquor;|3:0|Shkodran Mustafi|for Mats Hummels', '82&amp;rsquor;|4:0|Lukas Podolski|for Thomas Müller']</t>
  </si>
  <si>
    <t>['28&amp;rsquor;|1:0|Éder|for Hugo Almeida', '46&amp;rsquor;|3:0|Ricardo Costa|for Miguel Veloso', '65&amp;rsquor;|3:0|André Almeida|for Fábio Coentrão']</t>
  </si>
  <si>
    <t>Carlos Vera (Referee) · Christian Lescano (AR1) · Byron Romero (AR2) · Wilmar Roldán (4th)</t>
  </si>
  <si>
    <t>['75&amp;rsquor;|0:0|Andranik Teymourian']</t>
  </si>
  <si>
    <t>['78&amp;rsquor;|0:0|Alireza Jahanbakhsh|for Ashkan Dejagah', '89&amp;rsquor;|0:0|Masoud Shojaei|for Khosro Heydari']</t>
  </si>
  <si>
    <t>['29&amp;rsquor;|0:0|Joseph Yobo|for Godfrey Oboabona', '52&amp;rsquor;|0:0|Shola Ameobi|for Victor Moses', '69&amp;rsquor;|0:0|Peter Odemwingie|for Ramon Azeez']</t>
  </si>
  <si>
    <t>Jonas Eriksson (Referee) · Mathias Klasenius (AR1) · Daniel Wärnmark (AR2) · Norbert Hauata (4th)</t>
  </si>
  <si>
    <t>André Ayew · 82</t>
  </si>
  <si>
    <t>Clint Dempsey · 1|John Brooks · 86</t>
  </si>
  <si>
    <t>['82&amp;rsquor;|1:1|André Ayew|Assist:|Asamoah Gyan']</t>
  </si>
  <si>
    <t>['1&amp;rsquor;|0:1|Clint Dempsey|Assist:|Jermaine Jones', '86&amp;rsquor;|1:2|John Brooks|Assist:|Graham Zusi']</t>
  </si>
  <si>
    <t>['30&amp;rsquor;|0:1|Mohammed Rabiu', '90+2&amp;rsquor;|1:2|Sulley Muntari']</t>
  </si>
  <si>
    <t>['59&amp;rsquor;|0:1|Kevin-Prince Boateng|for Jordan Ayew', '71&amp;rsquor;|0:1|Michael Essien|for Mohammed Rabiu', '78&amp;rsquor;|0:1|Albert Adomah|for Christian Atsu']</t>
  </si>
  <si>
    <t>['23&amp;rsquor;|0:1|Aron Jóhannsson|for Jozy Altidore', '46&amp;rsquor;|0:1|John Brooks|for Matt Besler', '77&amp;rsquor;|0:1|Graham Zusi|for Alejandro Bedoya']</t>
  </si>
  <si>
    <t>Ravshan Irmatov (Referee) · Abdukhamidullo Rasulov (AR1) · Bahadır Koçkarov (AR2) · Svein Oddvar Moen (4th)</t>
  </si>
  <si>
    <t>Admir Mehmedi · 48|Haris Seferović · 90+3</t>
  </si>
  <si>
    <t>Enner Valencia · 22</t>
  </si>
  <si>
    <t>['48&amp;rsquor;|1:1|Admir Mehmedi|Assist:|Ricardo Rodríguez', '90+3&amp;rsquor;|2:1|Haris Seferović|Assist:|Ricardo Rodríguez']</t>
  </si>
  <si>
    <t>['22&amp;rsquor;|0:1|Enner Valencia|Assist:|Walter Ayoví']</t>
  </si>
  <si>
    <t>['84&amp;rsquor;|1:1|Johan Djourou']</t>
  </si>
  <si>
    <t>['53&amp;rsquor;|1:1|Juan Carlos Paredes']</t>
  </si>
  <si>
    <t>['46&amp;rsquor;|0:1|Admir Mehmedi|for Valentin Stocker', '75&amp;rsquor;|1:1|Haris Seferović|for Josip Drmić']</t>
  </si>
  <si>
    <t>['70&amp;rsquor;|1:1|Michael Arroyo|for Felipe Caicedo', '76&amp;rsquor;|1:1|Joao Rojas|for Jefferson Montero']</t>
  </si>
  <si>
    <t>Sandro Ricci (Referee) · Emerson de Carvalho (AR1) · Marcelo Van Gasse (AR2) · Peter O'Leary (4th)</t>
  </si>
  <si>
    <t>Karim Benzema · 72</t>
  </si>
  <si>
    <t>['72&amp;rsquor;|3:0|Karim Benzema|Assist:|Patrice Evra']</t>
  </si>
  <si>
    <t>Noel Valladares (OG) · 48</t>
  </si>
  <si>
    <t>Karim Benzema (P) · 45</t>
  </si>
  <si>
    <t>Wilson Palacios · 43</t>
  </si>
  <si>
    <t>['7&amp;rsquor;|0:0|Patrice Evra', '28&amp;rsquor;|0:0|Paul Pogba', '45+2&amp;rsquor;|1:0|Yohan Cabaye']</t>
  </si>
  <si>
    <t>['28&amp;rsquor;|0:0|Wilson Palacios', '53&amp;rsquor;|2:0|Boniek García', '83&amp;rsquor;|3:0|Luis Garrido']</t>
  </si>
  <si>
    <t>['57&amp;rsquor;|2:0|Moussa Sissoko|for Paul Pogba', '65&amp;rsquor;|2:0|Rio Mavuba|for Yohan Cabaye', '78&amp;rsquor;|3:0|Olivier Giroud|for Mathieu Valbuena']</t>
  </si>
  <si>
    <t>['46&amp;rsquor;|1:0|Osman Chávez|for Víctor Bernárdez', '46&amp;rsquor;|1:0|Boniek García|for Jerry Bengtson', '58&amp;rsquor;|2:0|Jorge Claros|for Andy Najar']</t>
  </si>
  <si>
    <t>Joel Aguilar (Referee) · William Torres (AR1) · Juan Zumba (AR2) · Djamel Haïmoudi (4th)</t>
  </si>
  <si>
    <t>Lionel Messi · 65</t>
  </si>
  <si>
    <t>Vedad Ibišević · 85</t>
  </si>
  <si>
    <t>['65&amp;rsquor;|2:0|Lionel Messi|Assist:|Gonzalo Higuaín']</t>
  </si>
  <si>
    <t>['85&amp;rsquor;|2:1|Vedad Ibišević|Assist:|Senad Lulić']</t>
  </si>
  <si>
    <t>Sead Kolašinac (OG) · 3</t>
  </si>
  <si>
    <t>['25&amp;rsquor;|1:0|Marcos Rojo']</t>
  </si>
  <si>
    <t>['63&amp;rsquor;|1:0|Emir Spahić']</t>
  </si>
  <si>
    <t>['46&amp;rsquor;|1:0|Gonzalo Higuaín|for Maxi Rodríguez', '46&amp;rsquor;|1:0|Fernando Gago|for Hugo Campagnaro', '87&amp;rsquor;|2:1|Lucas Biglia|for Sergio Agüero']</t>
  </si>
  <si>
    <t>['69&amp;rsquor;|2:0|Vedad Ibišević|for Mensur Mujdža', '71&amp;rsquor;|2:0|Edin Višća|for Izet Hajrović', '74&amp;rsquor;|2:0|Haris Medunjanin|for Zvjezdan Misimović']</t>
  </si>
  <si>
    <t>Pablo Armero · 6|Teófilo Gutiérrez · 58|James Rodríguez · 90+3</t>
  </si>
  <si>
    <t>['6&amp;rsquor;|1:0|Pablo Armero|Assist:|Juan Cuadrado', '58&amp;rsquor;|2:0|Teófilo Gutiérrez|Assist:|Abel Aguilar', '90+3&amp;rsquor;|3:0|James Rodríguez|Assist:|Juan Cuadrado']</t>
  </si>
  <si>
    <t>['26&amp;rsquor;|1:0|Carlos Sánchez']</t>
  </si>
  <si>
    <t>['52&amp;rsquor;|1:0|Sokratis Papastathopoulos', '55&amp;rsquor;|1:0|Dimitris Salpingidis']</t>
  </si>
  <si>
    <t>['69&amp;rsquor;|2:0|Alexander Mejía|for Abel Aguilar', '74&amp;rsquor;|2:0|Santiago Arias|for Pablo Armero', '76&amp;rsquor;|2:0|Jackson Martínez|for Teófilo Gutiérrez']</t>
  </si>
  <si>
    <t>['57&amp;rsquor;|1:0|Giannis Fetfatzidis|for Dimitris Salpingidis', '64&amp;rsquor;|2:0|Kostas Mitroglou|for Theofanis Gekas', '78&amp;rsquor;|2:0|Giorgos Karagounis|for Panagiotis Kone']</t>
  </si>
  <si>
    <t>Felix Brych (Referee) · Mark Borsch (AR1) · Stefan Lupp (AR2) · Víctor Carrillo (4th)</t>
  </si>
  <si>
    <t>Joel Campbell · 54|Óscar Duarte · 57|Marco Ureña · 84</t>
  </si>
  <si>
    <t>['54&amp;rsquor;|1:1|Joel Campbell', '57&amp;rsquor;|1:2|Óscar Duarte|Assist:|Christian Bolaños', '84&amp;rsquor;|1:3|Marco Ureña|Assist:|Joel Campbell']</t>
  </si>
  <si>
    <t>Edinson Cavani (P) · 24</t>
  </si>
  <si>
    <t>Maxi Pereira · 90+4</t>
  </si>
  <si>
    <t>['50&amp;rsquor;|1:0|Diego Lugano', '56&amp;rsquor;|1:1|Walter Gargano', '81&amp;rsquor;|1:2|Martín Cáceres']</t>
  </si>
  <si>
    <t>['60&amp;rsquor;|1:2|Nicolás Lodeiro|for Diego Forlán', '60&amp;rsquor;|1:2|Álvaro González|for Walter Gargano', '76&amp;rsquor;|1:2|Abel Hernández|for Cristian Rodríguez']</t>
  </si>
  <si>
    <t>['74&amp;rsquor;|1:2|José Miguel Cubero|for Yeltsin Tejeda', '83&amp;rsquor;|1:2|Marco Ureña|for Bryan Ruiz', '89&amp;rsquor;|1:3|Michael Barrantes|for Christian Bolaños']</t>
  </si>
  <si>
    <t>Björn Kuipers (Referee) · Sander van Roekel (AR1) · Erwin Zeinstra (AR2) · Walter López (4th)</t>
  </si>
  <si>
    <t>Daniel Sturridge · 37</t>
  </si>
  <si>
    <t>Claudio Marchisio · 35|Mario Balotelli · 50</t>
  </si>
  <si>
    <t>['37&amp;rsquor;|1:1|Daniel Sturridge|Assist:|Wayne Rooney']</t>
  </si>
  <si>
    <t>['35&amp;rsquor;|0:1|Claudio Marchisio|Assist:|Marco Verratti', '50&amp;rsquor;|1:2|Mario Balotelli|Assist:|Antonio Candreva']</t>
  </si>
  <si>
    <t>['90+2&amp;rsquor;|1:2|Raheem Sterling']</t>
  </si>
  <si>
    <t>['61&amp;rsquor;|1:2|Ross Barkley|for Danny Welbeck', '73&amp;rsquor;|1:2|Jack Wilshere|for Jordan Henderson', '80&amp;rsquor;|1:2|Adam Lallana|for Daniel Sturridge']</t>
  </si>
  <si>
    <t>['57&amp;rsquor;|1:2|Thiago Motta|for Marco Verratti', '73&amp;rsquor;|1:2|Ciro Immobile|for Mario Balotelli', '79&amp;rsquor;|1:2|Marco Parolo|for Antonio Candreva']</t>
  </si>
  <si>
    <t>Wilfried Bony · 64|Gervinho · 66</t>
  </si>
  <si>
    <t>Keisuke Honda · 16</t>
  </si>
  <si>
    <t>['64&amp;rsquor;|1:1|Wilfried Bony|Assist:|Serge Aurier', '66&amp;rsquor;|2:1|Gervinho|Assist:|Serge Aurier']</t>
  </si>
  <si>
    <t>['16&amp;rsquor;|0:1|Keisuke Honda|Assist:|Yuto Nagatomo']</t>
  </si>
  <si>
    <t>['54&amp;rsquor;|0:1|Sol Bamba', '58&amp;rsquor;|0:1|Didier Zokora']</t>
  </si>
  <si>
    <t>['23&amp;rsquor;|0:1|Maya Yoshida', '64&amp;rsquor;|1:1|Masato Morishige']</t>
  </si>
  <si>
    <t>['62&amp;rsquor;|0:1|Didier Drogba|for Serey Die', '75&amp;rsquor;|2:1|Constant Djakpa|for Arthur Boka', '78&amp;rsquor;|2:1|Didier Ya Konan|for Wilfried Bony']</t>
  </si>
  <si>
    <t>['54&amp;rsquor;|0:1|Yasuhito Endō|for Makoto Hasebe', '67&amp;rsquor;|2:1|Yoshito Ōkubo|for Yuya Osako', '86&amp;rsquor;|2:1|Yoichiro Kakitani|for Shinji Kagawa']</t>
  </si>
  <si>
    <t>Wilmar Roldán (Referee) · Humberto Clavijo (AR1) · Eduardo Díaz (AR2) · Norbert Hauata (4th)</t>
  </si>
  <si>
    <t>Oribe Peralta · 61</t>
  </si>
  <si>
    <t>['61&amp;rsquor;|1:0|Oribe Peralta']</t>
  </si>
  <si>
    <t>['57&amp;rsquor;|0:0|Héctor Moreno']</t>
  </si>
  <si>
    <t>['77&amp;rsquor;|1:0|Dany Nounkeu']</t>
  </si>
  <si>
    <t>['69&amp;rsquor;|1:0|Marco Fabián|for Andrés Guardado', '74&amp;rsquor;|1:0|Javier Hernández|for Oribe Peralta', '90+2&amp;rsquor;|1:0|Carlos Salcido|for Héctor Herrera']</t>
  </si>
  <si>
    <t>['46&amp;rsquor;|0:0|Dany Nounkeu|for Cédric Djeugoué', '79&amp;rsquor;|1:0|Pierre Webó|for Alex Song']</t>
  </si>
  <si>
    <t>1–5</t>
  </si>
  <si>
    <t>Robin van Persie · 44|Arjen Robben · 53|Stefan de Vrij · 65|Robin van Persie · 72|Arjen Robben · 80</t>
  </si>
  <si>
    <t>['44&amp;rsquor;|1:1|Robin van Persie|Assist:|Daley Blind', '53&amp;rsquor;|1:2|Arjen Robben|Assist:|Daley Blind', '65&amp;rsquor;|1:3|Stefan de Vrij|Assist:|Wesley Sneijder', '72&amp;rsquor;|1:4|Robin van Persie', '80&amp;rsquor;|1:5|Arjen Robben']</t>
  </si>
  <si>
    <t>Xabi Alonso (P) · 27</t>
  </si>
  <si>
    <t>['65&amp;rsquor;|1:2|Iker Casillas']</t>
  </si>
  <si>
    <t>['25&amp;rsquor;|0:0|Jonathan de Guzmán', '41&amp;rsquor;|1:0|Stefan de Vrij', '66&amp;rsquor;|1:3|Robin van Persie']</t>
  </si>
  <si>
    <t>['63&amp;rsquor;|1:2|Fernando Torres|for Diego Costa', '63&amp;rsquor;|1:2|Pedro|for Xabi Alonso', '78&amp;rsquor;|1:4|Cesc Fàbregas|for David Silva']</t>
  </si>
  <si>
    <t>['62&amp;rsquor;|1:2|Georginio Wijnaldum|for Jonathan de Guzmán', '77&amp;rsquor;|1:4|Joël Veltman|for Stefan de Vrij', '79&amp;rsquor;|1:4|Jeremain Lens|for Robin van Persie']</t>
  </si>
  <si>
    <t>Noumandiez Doué (Referee) · Songuifolo Yéo (AR1) · Jean-Claude Birumushahu (AR2) · Roberto Moreno (4th)</t>
  </si>
  <si>
    <t>Alexis Sánchez · 12|Jorge Valdivia · 14|Jean Beausejour · 90+2</t>
  </si>
  <si>
    <t>Tim Cahill · 35</t>
  </si>
  <si>
    <t>['12&amp;rsquor;|1:0|Alexis Sánchez', '14&amp;rsquor;|2:0|Jorge Valdivia|Assist:|Alexis Sánchez', '90+2&amp;rsquor;|3:1|Jean Beausejour']</t>
  </si>
  <si>
    <t>['35&amp;rsquor;|2:1|Tim Cahill|Assist:|Ivan Franjic']</t>
  </si>
  <si>
    <t>['86&amp;rsquor;|2:1|Charles Aránguiz']</t>
  </si>
  <si>
    <t>['44&amp;rsquor;|2:1|Tim Cahill', '58&amp;rsquor;|2:1|Mile Jedinak', '67&amp;rsquor;|2:1|Mark Milligan']</t>
  </si>
  <si>
    <t>['60&amp;rsquor;|2:1|Felipe Gutiérrez|for Arturo Vidal', '68&amp;rsquor;|2:1|Jean Beausejour|for Jorge Valdivia', '88&amp;rsquor;|2:1|Mauricio Pinilla|for Eduardo Vargas']</t>
  </si>
  <si>
    <t>['49&amp;rsquor;|2:1|Ryan McGowan|for Ivan Franjic', '68&amp;rsquor;|2:1|Ben Halloran|for Tommy Oar', '78&amp;rsquor;|2:1|James Troisi|for Mark Bresciano']</t>
  </si>
  <si>
    <t>Yuichi Nishimura (Referee) · Toru Sagara (AR1) · Toshiyuki Nagi (AR2) · Alireza Faghani (4th)</t>
  </si>
  <si>
    <t>Yuichi Nishimura</t>
  </si>
  <si>
    <t>Neymar · 29|Oscar · 90+1</t>
  </si>
  <si>
    <t>['29&amp;rsquor;|1:1|Neymar|Assist:|Oscar', '90+1&amp;rsquor;|3:1|Oscar|Assist:|Ramires']</t>
  </si>
  <si>
    <t>Marcelo (OG) · 11</t>
  </si>
  <si>
    <t>Neymar (P) · 71</t>
  </si>
  <si>
    <t>['27&amp;rsquor;|0:1|Neymar', '88&amp;rsquor;|2:1|Luiz Gustavo']</t>
  </si>
  <si>
    <t>['65&amp;rsquor;|1:1|Vedran Ćorluka', '69&amp;rsquor;|1:1|Dejan Lovren']</t>
  </si>
  <si>
    <t>['63&amp;rsquor;|1:1|Hernanes|for Paulinho', '68&amp;rsquor;|1:1|Bernard|for Hulk', '88&amp;rsquor;|2:1|Ramires|for Neymar']</t>
  </si>
  <si>
    <t>['61&amp;rsquor;|1:1|Marcelo Brozović|for Mateo Kovačić', '78&amp;rsquor;|2:1|Ante Rebić|for Nikica Jelavić']</t>
  </si>
  <si>
    <t>Vicente del Bosque</t>
  </si>
  <si>
    <t>Soccer City, Johannesburg</t>
  </si>
  <si>
    <t>Howard Webb (Referee) · Darren Cann (AR1) · Michael Mullarkey (AR2) · Yuichi Nishimura (4th)</t>
  </si>
  <si>
    <t>Andrés Iniesta · 116</t>
  </si>
  <si>
    <t>['116&amp;rsquor;|0:1|Andrés Iniesta']</t>
  </si>
  <si>
    <t>John Heitinga · 109</t>
  </si>
  <si>
    <t>['15&amp;rsquor;|0:0|Robin van Persie', '22&amp;rsquor;|0:0|Mark van Bommel', '28&amp;rsquor;|0:0|Nigel de Jong', '54&amp;rsquor;|0:0|Giovanni van Bronckhorst', '57&amp;rsquor;|0:0|John Heitinga', '84&amp;rsquor;|0:0|Arjen Robben', '111&amp;rsquor;|0:0|Gregory van der Wiel', '117&amp;rsquor;|0:1|Joris Mathijsen']</t>
  </si>
  <si>
    <t>['17&amp;rsquor;|0:0|Carles Puyol', '23&amp;rsquor;|0:0|Sergio Ramos', '67&amp;rsquor;|0:0|Joan Capdevila', '118&amp;rsquor;|0:1|Andrés Iniesta', '120+1&amp;rsquor;|0:1|Xavi']</t>
  </si>
  <si>
    <t>['71&amp;rsquor;|0:0|Eljero Elia|for Dirk Kuyt', '99&amp;rsquor;|0:0|Rafael van der Vaart|for Nigel de Jong', '105&amp;rsquor;|0:0|Edson Braafheid|for Giovanni van Bronckhorst']</t>
  </si>
  <si>
    <t>['60&amp;rsquor;|0:0|Jesús Navas|for Pedro', '87&amp;rsquor;|0:0|Cesc Fàbregas|for Xabi Alonso', '106&amp;rsquor;|0:0|Fernando Torres|for David Villa']</t>
  </si>
  <si>
    <t>Nelson Mandela Bay Stadium, Port Elizabeth</t>
  </si>
  <si>
    <t>Edinson Cavani · 28|Diego Forlán · 51</t>
  </si>
  <si>
    <t>Thomas Müller · 19|Marcell Jansen · 56|Sami Khedira · 82</t>
  </si>
  <si>
    <t>['28&amp;rsquor;|1:1|Edinson Cavani', '51&amp;rsquor;|2:1|Diego Forlán']</t>
  </si>
  <si>
    <t>['19&amp;rsquor;|0:1|Thomas Müller', '56&amp;rsquor;|2:2|Marcell Jansen', '82&amp;rsquor;|2:3|Sami Khedira']</t>
  </si>
  <si>
    <t>['61&amp;rsquor;|2:2|Diego Pérez']</t>
  </si>
  <si>
    <t>['5&amp;rsquor;|0:0|Dennis Aogo', '90+2&amp;rsquor;|2:3|Arne Friedrich']</t>
  </si>
  <si>
    <t>['77&amp;rsquor;|2:2|Walter Gargano|for Diego Pérez', '88&amp;rsquor;|2:3|Sebastián Abreu|for Edinson Cavani']</t>
  </si>
  <si>
    <t>['73&amp;rsquor;|2:2|Stefan Kießling|for Cacau', '81&amp;rsquor;|2:2|Toni Kroos|for Marcell Jansen', '90&amp;rsquor;|2:3|Serdar Tasci|for Mesut Özil']</t>
  </si>
  <si>
    <t>Moses Mabhida Stadium, Durban</t>
  </si>
  <si>
    <t>Carles Puyol · 73</t>
  </si>
  <si>
    <t>['73&amp;rsquor;|0:1|Carles Puyol|Assist:|Xavi']</t>
  </si>
  <si>
    <t>['52&amp;rsquor;|0:0|Marcell Jansen|for Jérôme Boateng', '62&amp;rsquor;|0:0|Toni Kroos|for Piotr Trochowski', '81&amp;rsquor;|0:1|Mario Gómez|for Sami Khedira']</t>
  </si>
  <si>
    <t>['81&amp;rsquor;|0:1|Fernando Torres|for David Villa', '86&amp;rsquor;|0:1|David Silva|for Pedro', '90&amp;rsquor;|0:1|Carlos Marchena|for Xabi Alonso']</t>
  </si>
  <si>
    <t>Cape Town Stadium, Cape Town</t>
  </si>
  <si>
    <t>Diego Forlán · 41|Maxi Pereira · 90+2</t>
  </si>
  <si>
    <t>Giovanni van Bronckhorst · 18|Wesley Sneijder · 70|Arjen Robben · 73</t>
  </si>
  <si>
    <t>['41&amp;rsquor;|1:1|Diego Forlán', '90+2&amp;rsquor;|2:3|Maxi Pereira']</t>
  </si>
  <si>
    <t>['18&amp;rsquor;|0:1|Giovanni van Bronckhorst', '70&amp;rsquor;|1:2|Wesley Sneijder', '73&amp;rsquor;|1:3|Arjen Robben']</t>
  </si>
  <si>
    <t>['21&amp;rsquor;|0:1|Maxi Pereira', '29&amp;rsquor;|0:1|Martín Cáceres']</t>
  </si>
  <si>
    <t>['29&amp;rsquor;|0:1|Wesley Sneijder', '78&amp;rsquor;|1:3|Khalid Boulahrouz', '90+5&amp;rsquor;|2:3|Mark van Bommel']</t>
  </si>
  <si>
    <t>['78&amp;rsquor;|1:3|Sebastián Abreu|for Álvaro Pereira', '84&amp;rsquor;|1:3|Seba Fernández|for Diego Forlán']</t>
  </si>
  <si>
    <t>['46&amp;rsquor;|1:1|Rafael van der Vaart|for Demy de Zeeuw', '89&amp;rsquor;|1:3|Eljero Elia|for Arjen Robben']</t>
  </si>
  <si>
    <t>Diego Maradona</t>
  </si>
  <si>
    <t>Thomas Müller · 3|Miroslav Klose · 68|Arne Friedrich · 74|Miroslav Klose · 89</t>
  </si>
  <si>
    <t>['3&amp;rsquor;|0:1|Thomas Müller', '68&amp;rsquor;|0:2|Miroslav Klose', '74&amp;rsquor;|0:3|Arne Friedrich', '89&amp;rsquor;|0:4|Miroslav Klose']</t>
  </si>
  <si>
    <t>['11&amp;rsquor;|0:1|Nicolás Otamendi', '80&amp;rsquor;|0:3|Javier Mascherano']</t>
  </si>
  <si>
    <t>['35&amp;rsquor;|0:1|Thomas Müller']</t>
  </si>
  <si>
    <t>['70&amp;rsquor;|0:2|Javier Pastore|for Nicolás Otamendi', '75&amp;rsquor;|0:3|Sergio Agüero|for Ángel Di María']</t>
  </si>
  <si>
    <t>['72&amp;rsquor;|0:2|Marcell Jansen|for Jérôme Boateng', '77&amp;rsquor;|0:3|Toni Kroos|for Sami Khedira', '84&amp;rsquor;|0:3|Piotr Trochowski|for Thomas Müller']</t>
  </si>
  <si>
    <t>Gerardo Martino</t>
  </si>
  <si>
    <t>Emirates Airline Park, Johannesburg</t>
  </si>
  <si>
    <t>David Villa · 83</t>
  </si>
  <si>
    <t>['83&amp;rsquor;|0:1|David Villa']</t>
  </si>
  <si>
    <t>['59&amp;rsquor;|0:0|Víctor Cáceres', '59&amp;rsquor;|0:0|Antolín Alcaraz', '71&amp;rsquor;|0:0|Claudio Morel Rodríguez', '88&amp;rsquor;|0:1|Jonathan Santana']</t>
  </si>
  <si>
    <t>['57&amp;rsquor;|0:0|Gerard Piqué', '63&amp;rsquor;|0:0|Sergio Busquets']</t>
  </si>
  <si>
    <t>['64&amp;rsquor;|0:0|Enrique Vera|for Édgar Barreto', '72&amp;rsquor;|0:0|Roque Santa Cruz|for Nelson Valdez', '84&amp;rsquor;|0:1|Lucas Barrios|for Víctor Cáceres']</t>
  </si>
  <si>
    <t>['56&amp;rsquor;|0:0|Cesc Fàbregas|for Fernando Torres', '75&amp;rsquor;|0:0|Pedro|for Xabi Alonso', '84&amp;rsquor;|0:1|Carlos Marchena|for Carles Puyol']</t>
  </si>
  <si>
    <t>Dunga</t>
  </si>
  <si>
    <t>Wesley Sneijder · 53|Wesley Sneijder · 68</t>
  </si>
  <si>
    <t>Robinho · 10</t>
  </si>
  <si>
    <t>['53&amp;rsquor;|1:1|Wesley Sneijder', '68&amp;rsquor;|2:1|Wesley Sneijder']</t>
  </si>
  <si>
    <t>['10&amp;rsquor;|0:1|Robinho']</t>
  </si>
  <si>
    <t>['14&amp;rsquor;|0:1|John Heitinga', '47&amp;rsquor;|0:1|Gregory van der Wiel', '64&amp;rsquor;|1:1|Nigel de Jong', '76&amp;rsquor;|2:1|André Ooijer']</t>
  </si>
  <si>
    <t>['37&amp;rsquor;|0:1|Michel Bastos']</t>
  </si>
  <si>
    <t>['85&amp;rsquor;|2:1|Klaas-Jan Huntelaar|for Robin van Persie']</t>
  </si>
  <si>
    <t>['62&amp;rsquor;|1:1|Gilberto|for Michel Bastos', '77&amp;rsquor;|2:1|Nilmar|for Luís Fabiano']</t>
  </si>
  <si>
    <t>Milovan Rajevac</t>
  </si>
  <si>
    <t>Uruguay won on penalty kicks following extra time</t>
  </si>
  <si>
    <t>Diego Forlán · 55</t>
  </si>
  <si>
    <t>Sulley Muntari · 45+2</t>
  </si>
  <si>
    <t>['55&amp;rsquor;|1:1|Diego Forlán']</t>
  </si>
  <si>
    <t>['45+2&amp;rsquor;|0:1|Sulley Muntari']</t>
  </si>
  <si>
    <t>['120+2&amp;rsquor;|1:1|Asamoah Gyan|Penalty Miss']</t>
  </si>
  <si>
    <t>['1|1:0|Diego Forlán', '3|2:1|Mauricio Victorino', '5|3:2|Andrés Scotti', '9|4:2|Sebastián Abreu']</t>
  </si>
  <si>
    <t>['2|1:1|Asamoah Gyan', '4|2:2|Stephen Appiah']</t>
  </si>
  <si>
    <t>['7|3:2|Maxi Pereira']</t>
  </si>
  <si>
    <t>['6|3:2|John Mensah', '8|3:2|Dominic Adiyiah']</t>
  </si>
  <si>
    <t>Luis Suárez · 120+1</t>
  </si>
  <si>
    <t>['20&amp;rsquor;|0:0|Jorge Fucile', '48&amp;rsquor;|0:1|Egidio Arévalo', '59&amp;rsquor;|1:1|Diego Pérez']</t>
  </si>
  <si>
    <t>['54&amp;rsquor;|0:1|John Paintsil', '77&amp;rsquor;|1:1|Hans Sarpei', '93&amp;rsquor;|1:1|John Mensah']</t>
  </si>
  <si>
    <t>['38&amp;rsquor;|0:0|Andrés Scotti|for Diego Lugano', '46&amp;rsquor;|0:1|Nicolás Lodeiro|for Álvaro Fernández', '76&amp;rsquor;|1:1|Sebastián Abreu|for Edinson Cavani']</t>
  </si>
  <si>
    <t>['74&amp;rsquor;|1:1|Stephen Appiah|for Samuel Inkoom', '88&amp;rsquor;|1:1|Dominic Adiyiah|for Sulley Muntari']</t>
  </si>
  <si>
    <t>Takeshi Okada</t>
  </si>
  <si>
    <t>Loftus Versfeld Stadium, Pretoria</t>
  </si>
  <si>
    <t>(5) 0–0 (3)</t>
  </si>
  <si>
    <t>Paraguay won on penalty kicks following extra time</t>
  </si>
  <si>
    <t>['1|1:0|Édgar Barreto', '3|2:1|Lucas Barrios', '5|3:2|Cristian Riveros', '7|4:2|Nelson Valdez', '9|5:3|Óscar Cardozo']</t>
  </si>
  <si>
    <t>['2|1:1|Yasuhito Endō', '4|2:2|Makoto Hasebe', '8|4:3|Keisuke Honda']</t>
  </si>
  <si>
    <t>['6|3:2|Yūichi Komano']</t>
  </si>
  <si>
    <t>['118&amp;rsquor;|0:0|Cristian Riveros']</t>
  </si>
  <si>
    <t>['58&amp;rsquor;|0:0|Daisuke Matsui', '72&amp;rsquor;|0:0|Yuto Nagatomo', '90+3&amp;rsquor;|0:0|Keisuke Honda', '113&amp;rsquor;|0:0|Yasuhito Endō']</t>
  </si>
  <si>
    <t>['60&amp;rsquor;|0:0|Nelson Valdez|for Édgar Benítez', '75&amp;rsquor;|0:0|Édgar Barreto|for Néstor Ortigoza', '94&amp;rsquor;|0:0|Óscar Cardozo|for Roque Santa Cruz']</t>
  </si>
  <si>
    <t>['65&amp;rsquor;|0:0|Shinji Okazaki|for Daisuke Matsui', '81&amp;rsquor;|0:0|Kengo Nakamura|for Yuki Abe', '106&amp;rsquor;|0:0|Keiji Tamada|for Yoshito Ōkubo']</t>
  </si>
  <si>
    <t>David Villa · 63</t>
  </si>
  <si>
    <t>['63&amp;rsquor;|1:0|David Villa']</t>
  </si>
  <si>
    <t>Ricardo Costa · 89</t>
  </si>
  <si>
    <t>['74&amp;rsquor;|1:0|Xabi Alonso']</t>
  </si>
  <si>
    <t>['80&amp;rsquor;|1:0|Tiago Mendes']</t>
  </si>
  <si>
    <t>['58&amp;rsquor;|0:0|Fernando Llorente|for Fernando Torres', '88&amp;rsquor;|1:0|Pedro|for David Villa', '90&amp;rsquor;|1:0|Carlos Marchena|for Xabi Alonso']</t>
  </si>
  <si>
    <t>['58&amp;rsquor;|0:0|Danny|for Hugo Almeida', '72&amp;rsquor;|1:0|Liédson|for Simão Sabrosa', '72&amp;rsquor;|1:0|Pedro Mendes|for Pepe']</t>
  </si>
  <si>
    <t>Vladimír Weiss</t>
  </si>
  <si>
    <t>Arjen Robben · 18|Wesley Sneijder · 84</t>
  </si>
  <si>
    <t>['18&amp;rsquor;|1:0|Arjen Robben', '84&amp;rsquor;|2:0|Wesley Sneijder']</t>
  </si>
  <si>
    <t>Róbert Vittek (P) · 90+4</t>
  </si>
  <si>
    <t>['31&amp;rsquor;|1:0|Arjen Robben', '90+3&amp;rsquor;|2:0|Maarten Stekelenburg']</t>
  </si>
  <si>
    <t>['40&amp;rsquor;|1:0|Juraj Kucka', '84&amp;rsquor;|1:0|Martin Škrtel']</t>
  </si>
  <si>
    <t>['71&amp;rsquor;|1:0|Eljero Elia|for Arjen Robben', '80&amp;rsquor;|1:0|Klaas-Jan Huntelaar|for Robin van Persie', '90&amp;rsquor;|2:0|Ibrahim Afellay|for Wesley Sneijder']</t>
  </si>
  <si>
    <t>['71&amp;rsquor;|1:0|Kamil Kopúnek|for Erik Jendrišek', '87&amp;rsquor;|2:0|Marek Sapara|for Marek Hamšík', '88&amp;rsquor;|2:0|Martin Jakubko|for Radoslav Zabavník']</t>
  </si>
  <si>
    <t>Marcelo Bielsa</t>
  </si>
  <si>
    <t>Juan · 35|Luís Fabiano · 38|Robinho · 59</t>
  </si>
  <si>
    <t>['35&amp;rsquor;|1:0|Juan', '38&amp;rsquor;|2:0|Luís Fabiano', '59&amp;rsquor;|3:0|Robinho']</t>
  </si>
  <si>
    <t>['30&amp;rsquor;|0:0|Kaká', '72&amp;rsquor;|3:0|Ramires']</t>
  </si>
  <si>
    <t>['47&amp;rsquor;|2:0|Arturo Vidal', '68&amp;rsquor;|3:0|Ismael Fuentes', '80&amp;rsquor;|3:0|Rodrigo Millar']</t>
  </si>
  <si>
    <t>['76&amp;rsquor;|3:0|Nilmar|for Luís Fabiano', '81&amp;rsquor;|3:0|José Kléberson|for Kaká', '85&amp;rsquor;|3:0|Gilberto|for Robinho']</t>
  </si>
  <si>
    <t>['46&amp;rsquor;|2:0|Rodrigo Tello|for Pablo Contreras', '46&amp;rsquor;|2:0|Jorge Valdivia|for Mark González', '62&amp;rsquor;|3:0|Rodrigo Millar|for Mauricio Isla']</t>
  </si>
  <si>
    <t>Toyota Stadium, Bloemfontein</t>
  </si>
  <si>
    <t>Miroslav Klose · 20|Lukas Podolski · 32|Thomas Müller · 67|Thomas Müller · 70</t>
  </si>
  <si>
    <t>Matthew Upson · 37</t>
  </si>
  <si>
    <t>['20&amp;rsquor;|1:0|Miroslav Klose', '32&amp;rsquor;|2:0|Lukas Podolski', '67&amp;rsquor;|3:1|Thomas Müller', '70&amp;rsquor;|4:1|Thomas Müller']</t>
  </si>
  <si>
    <t>['37&amp;rsquor;|2:1|Matthew Upson']</t>
  </si>
  <si>
    <t>['47&amp;rsquor;|2:1|Arne Friedrich']</t>
  </si>
  <si>
    <t>['81&amp;rsquor;|4:1|Glen Johnson']</t>
  </si>
  <si>
    <t>['72&amp;rsquor;|4:1|Mario Gómez|for Miroslav Klose', '72&amp;rsquor;|4:1|Piotr Trochowski|for Thomas Müller', '83&amp;rsquor;|4:1|Stefan Kießling|for Mesut Özil']</t>
  </si>
  <si>
    <t>['64&amp;rsquor;|2:1|Joe Cole|for James Milner', '71&amp;rsquor;|4:1|Emile Heskey|for Jermain Defoe', '87&amp;rsquor;|4:1|Shaun Wright-Phillips|for Glen Johnson']</t>
  </si>
  <si>
    <t>Javier Aguirre</t>
  </si>
  <si>
    <t>Carlos Tevez · 26|Gonzalo Higuaín · 33|Carlos Tevez · 52</t>
  </si>
  <si>
    <t>Javier Hernández · 71</t>
  </si>
  <si>
    <t>['26&amp;rsquor;|1:0|Carlos Tevez', '33&amp;rsquor;|2:0|Gonzalo Higuaín', '52&amp;rsquor;|3:0|Carlos Tevez']</t>
  </si>
  <si>
    <t>['71&amp;rsquor;|3:1|Javier Hernández']</t>
  </si>
  <si>
    <t>['28&amp;rsquor;|1:0|Rafael Márquez']</t>
  </si>
  <si>
    <t>['69&amp;rsquor;|3:0|Juan Sebastián Verón|for Carlos Tevez', '79&amp;rsquor;|3:1|Jonás Gutiérrez|for Ángel Di María', '87&amp;rsquor;|3:1|Javier Pastore|for Maxi Rodríguez']</t>
  </si>
  <si>
    <t>['46&amp;rsquor;|2:0|Pablo Barrera|for Adolfo Bautista', '61&amp;rsquor;|3:0|Guillermo Franco|for Andrés Guardado']</t>
  </si>
  <si>
    <t>Huh Jung-moo</t>
  </si>
  <si>
    <t>Luis Suárez · 8|Luis Suárez · 80</t>
  </si>
  <si>
    <t>Lee Chung-yong · 68</t>
  </si>
  <si>
    <t>['8&amp;rsquor;|1:0|Luis Suárez', '80&amp;rsquor;|2:1|Luis Suárez']</t>
  </si>
  <si>
    <t>['68&amp;rsquor;|1:1|Lee Chung-yong']</t>
  </si>
  <si>
    <t>['38&amp;rsquor;|1:0|Kim Jung-woo', '69&amp;rsquor;|1:1|Cha Du-ri', '83&amp;rsquor;|2:1|Cho Yong-hyung']</t>
  </si>
  <si>
    <t>['46&amp;rsquor;|1:0|Mauricio Victorino|for Diego Godín', '74&amp;rsquor;|1:1|Nicolás Lodeiro|for Álvaro Pereira', '84&amp;rsquor;|2:1|Álvaro Fernández|for Luis Suárez']</t>
  </si>
  <si>
    <t>['61&amp;rsquor;|1:0|Lee Dong-gook|for Kim Jae-sung', '85&amp;rsquor;|2:1|Yeom Ki-hun|for Ki Sung-yueng']</t>
  </si>
  <si>
    <t>Bob Bradley</t>
  </si>
  <si>
    <t>Royal Bafokeng Stadium, Phokeng</t>
  </si>
  <si>
    <t>Kevin-Prince Boateng · 5|Asamoah Gyan · 93</t>
  </si>
  <si>
    <t>['5&amp;rsquor;|0:1|Kevin-Prince Boateng', '93&amp;rsquor;|1:2|Asamoah Gyan']</t>
  </si>
  <si>
    <t>Landon Donovan (P) · 62</t>
  </si>
  <si>
    <t>['7&amp;rsquor;|0:1|Ricardo Clark', '18&amp;rsquor;|0:1|Steve Cherundolo', '68&amp;rsquor;|1:1|Carlos Bocanegra']</t>
  </si>
  <si>
    <t>['61&amp;rsquor;|0:1|Jonathan Mensah', '90+2&amp;rsquor;|1:1|André Ayew']</t>
  </si>
  <si>
    <t>['31&amp;rsquor;|0:1|Maurice Edu|for Ricardo Clark', '46&amp;rsquor;|0:1|Benny Feilhaber|for Robbie Findley', '91&amp;rsquor;|1:1|Hérculez Gómez|for Jozy Altidore']</t>
  </si>
  <si>
    <t>['73&amp;rsquor;|1:1|Lee Addy|for Hans Sarpei', '78&amp;rsquor;|1:1|Stephen Appiah|for Kevin-Prince Boateng', '113&amp;rsquor;|1:2|Sulley Muntari|for Samuel Inkoom']</t>
  </si>
  <si>
    <t>['25&amp;rsquor;|0:0|Duda', '31&amp;rsquor;|0:0|Tiago Mendes', '40&amp;rsquor;|0:0|Pepe', '45&amp;rsquor;|0:0|Fábio Coentrão']</t>
  </si>
  <si>
    <t>['15&amp;rsquor;|0:0|Luís Fabiano', '25&amp;rsquor;|0:0|Juan', '43&amp;rsquor;|0:0|Felipe Melo']</t>
  </si>
  <si>
    <t>['54&amp;rsquor;|0:0|Simão Sabrosa|for Duda', '64&amp;rsquor;|0:0|Pedro Mendes|for Pepe', '84&amp;rsquor;|0:0|Miguel Veloso|for Raul Meireles']</t>
  </si>
  <si>
    <t>['44&amp;rsquor;|0:0|Josué|for Felipe Melo', '82&amp;rsquor;|0:0|Ramires|for Júlio Baptista', '85&amp;rsquor;|0:0|Grafite|for Luís Fabiano']</t>
  </si>
  <si>
    <t>Kim Jong-hun</t>
  </si>
  <si>
    <t>Sven-Göran Eriksson</t>
  </si>
  <si>
    <t>Mbombela Stadium, Nelspruit</t>
  </si>
  <si>
    <t>Yaya Touré · 14|Romaric · 20|Salomon Kalou · 82</t>
  </si>
  <si>
    <t>['14&amp;rsquor;|0:1|Yaya Touré', '20&amp;rsquor;|0:2|Romaric', '82&amp;rsquor;|0:3|Salomon Kalou']</t>
  </si>
  <si>
    <t>['67&amp;rsquor;|0:2|Choe Kum-chol|for Mun In-guk']</t>
  </si>
  <si>
    <t>['64&amp;rsquor;|0:2|Salomon Kalou|for Gervinho', '64&amp;rsquor;|0:2|Aruna Dindane|for Abdul Kader Keïta', '79&amp;rsquor;|0:2|Seydou Doumbia|for Romaric']</t>
  </si>
  <si>
    <t>Rodrigo Millar · 47</t>
  </si>
  <si>
    <t>David Villa · 24|Andrés Iniesta · 37</t>
  </si>
  <si>
    <t>['47&amp;rsquor;|1:2|Rodrigo Millar']</t>
  </si>
  <si>
    <t>['24&amp;rsquor;|0:1|David Villa', '37&amp;rsquor;|0:2|Andrés Iniesta']</t>
  </si>
  <si>
    <t>Marco Estrada · 37</t>
  </si>
  <si>
    <t>['15&amp;rsquor;|0:0|Gary Medel', '19&amp;rsquor;|0:0|Waldo Ponce', '21&amp;rsquor;|0:0|Marco Estrada']</t>
  </si>
  <si>
    <t>['46&amp;rsquor;|0:2|Rodrigo Millar|for Mark González', '46&amp;rsquor;|0:2|Esteban Paredes|for Jorge Valdivia', '65&amp;rsquor;|1:2|Fabián Orellana|for Alexis Sánchez']</t>
  </si>
  <si>
    <t>['55&amp;rsquor;|1:2|Cesc Fàbregas|for Fernando Torres', '73&amp;rsquor;|1:2|Javi Martínez|for Xabi Alonso']</t>
  </si>
  <si>
    <t>['34&amp;rsquor;|0:0|Gelson Fernandes']</t>
  </si>
  <si>
    <t>['4&amp;rsquor;|0:0|Hendry Thomas', '58&amp;rsquor;|0:0|David Suazo', '64&amp;rsquor;|0:0|Osman Chávez', '89&amp;rsquor;|0:0|Wilson Palacios']</t>
  </si>
  <si>
    <t>['46&amp;rsquor;|0:0|Hakan Yakin|for Gelson Fernandes', '69&amp;rsquor;|0:0|Alexander Frei|for Blaise Nkufo', '78&amp;rsquor;|0:0|Xherdan Shaqiri|for Benjamin Huggel']</t>
  </si>
  <si>
    <t>['67&amp;rsquor;|0:0|Walter Martínez|for Ramón Núñez', '78&amp;rsquor;|0:0|Georgie Welcome|for Jerry Palacios', '87&amp;rsquor;|0:0|Danilo Turcios|for David Suazo']</t>
  </si>
  <si>
    <t>Ricki Herbert</t>
  </si>
  <si>
    <t>Peter Mokaba Stadium, Polokwane</t>
  </si>
  <si>
    <t>['10&amp;rsquor;|0:0|Víctor Cáceres', '41&amp;rsquor;|0:0|Roque Santa Cruz']</t>
  </si>
  <si>
    <t>['56&amp;rsquor;|0:0|Ryan Nelsen']</t>
  </si>
  <si>
    <t>['66&amp;rsquor;|0:0|Lucas Barrios|for Óscar Cardozo', '67&amp;rsquor;|0:0|Édgar Benítez|for Nelson Valdez']</t>
  </si>
  <si>
    <t>['69&amp;rsquor;|0:0|Chris Wood|for Rory Fallon', '79&amp;rsquor;|0:0|Jeremy Brockie|for Chris Killen']</t>
  </si>
  <si>
    <t>Marcello Lippi</t>
  </si>
  <si>
    <t>Róbert Vittek · 25|Róbert Vittek · 73|Kamil Kopúnek · 89</t>
  </si>
  <si>
    <t>Antonio Di Natale · 81|Fabio Quagliarella · 90+2</t>
  </si>
  <si>
    <t>['25&amp;rsquor;|1:0|Róbert Vittek', '73&amp;rsquor;|2:0|Róbert Vittek', '89&amp;rsquor;|3:1|Kamil Kopúnek']</t>
  </si>
  <si>
    <t>['81&amp;rsquor;|2:1|Antonio Di Natale', '90+2&amp;rsquor;|3:2|Fabio Quagliarella']</t>
  </si>
  <si>
    <t>['16&amp;rsquor;|0:0|Zdeno Štrba', '40&amp;rsquor;|1:0|Róbert Vittek', '50&amp;rsquor;|1:0|Peter Pekarík', '82&amp;rsquor;|2:1|Ján Mucha']</t>
  </si>
  <si>
    <t>['31&amp;rsquor;|1:0|Fabio Cannavaro', '67&amp;rsquor;|1:0|Gennaro Gattuso', '76&amp;rsquor;|2:0|Simone Pepe', '83&amp;rsquor;|2:1|Fabio Quagliarella']</t>
  </si>
  <si>
    <t>['87&amp;rsquor;|2:1|Kamil Kopúnek|for Zdeno Štrba', '90&amp;rsquor;|3:1|Stanislav Šesták|for Róbert Vittek', '90&amp;rsquor;|3:1|Martin Petráš|for Erik Jendrišek']</t>
  </si>
  <si>
    <t>['46&amp;rsquor;|1:0|Christian Maggio|for Domenico Criscito', '46&amp;rsquor;|1:0|Fabio Quagliarella|for Gennaro Gattuso', '56&amp;rsquor;|1:0|Andrea Pirlo|for Riccardo Montolivo']</t>
  </si>
  <si>
    <t>Morten Olsen</t>
  </si>
  <si>
    <t>Jon Dahl Tomasson · 81</t>
  </si>
  <si>
    <t>Keisuke Honda · 17|Yasuhito Endō · 30|Shinji Okazaki · 87</t>
  </si>
  <si>
    <t>['81&amp;rsquor;|1:2|Jon Dahl Tomasson']</t>
  </si>
  <si>
    <t>['17&amp;rsquor;|0:1|Keisuke Honda', '30&amp;rsquor;|0:2|Yasuhito Endō', '87&amp;rsquor;|1:3|Shinji Okazaki']</t>
  </si>
  <si>
    <t>['29&amp;rsquor;|0:1|Per Krøldrup', '48&amp;rsquor;|0:2|Christian Poulsen', '66&amp;rsquor;|0:2|Nicklas Bendtner']</t>
  </si>
  <si>
    <t>['12&amp;rsquor;|0:0|Yasuhito Endō', '26&amp;rsquor;|0:1|Yuto Nagatomo']</t>
  </si>
  <si>
    <t>['34&amp;rsquor;|0:2|Jakob Poulsen|for Martin Jørgensen', '56&amp;rsquor;|0:2|Søren Larsen|for Per Krøldrup', '63&amp;rsquor;|0:2|Christian Eriksen|for Thomas Kahlenberg']</t>
  </si>
  <si>
    <t>['74&amp;rsquor;|0:2|Shinji Okazaki|for Daisuke Matsui', '88&amp;rsquor;|1:3|Yasuyuki Konno|for Yoshito Ōkubo', '90&amp;rsquor;|1:3|Junichi Inamoto|for Yasuhito Endō']</t>
  </si>
  <si>
    <t>Paul Le Guen</t>
  </si>
  <si>
    <t>Robin van Persie · 36|Klaas-Jan Huntelaar · 83</t>
  </si>
  <si>
    <t>['36&amp;rsquor;|0:1|Robin van Persie', '83&amp;rsquor;|1:2|Klaas-Jan Huntelaar']</t>
  </si>
  <si>
    <t>Samuel Eto'o (P) · 65</t>
  </si>
  <si>
    <t>['25&amp;rsquor;|0:0|Nicolas Nkoulou', '81&amp;rsquor;|1:1|Stéphane Mbia']</t>
  </si>
  <si>
    <t>['17&amp;rsquor;|0:0|Dirk Kuyt', '65&amp;rsquor;|1:1|Rafael van der Vaart', '70&amp;rsquor;|1:1|Giovanni van Bronckhorst']</t>
  </si>
  <si>
    <t>['56&amp;rsquor;|0:1|Vincent Aboubakar|for Gaëtan Bong', '72&amp;rsquor;|1:1|Mohammadou Idrissou|for Eric Maxim Choupo-Moting', '73&amp;rsquor;|1:1|Rigobert Song|for Nicolas Nkoulou']</t>
  </si>
  <si>
    <t>['59&amp;rsquor;|0:1|Klaas-Jan Huntelaar|for Robin van Persie', '66&amp;rsquor;|1:1|Eljero Elia|for Dirk Kuyt', '73&amp;rsquor;|1:1|Arjen Robben|for Rafael van der Vaart']</t>
  </si>
  <si>
    <t>Matjaž Kek</t>
  </si>
  <si>
    <t>Jermain Defoe · 23</t>
  </si>
  <si>
    <t>['23&amp;rsquor;|0:1|Jermain Defoe']</t>
  </si>
  <si>
    <t>['40&amp;rsquor;|0:1|Bojan Jokić', '79&amp;rsquor;|0:1|Valter Birsa', '81&amp;rsquor;|0:1|Zlatko Dedić']</t>
  </si>
  <si>
    <t>['48&amp;rsquor;|0:1|Glen Johnson']</t>
  </si>
  <si>
    <t>['62&amp;rsquor;|0:1|Zlatko Dedić|for Zlatan Ljubijankić', '79&amp;rsquor;|0:1|Tim Matavž|for Andraž Kirm']</t>
  </si>
  <si>
    <t>['72&amp;rsquor;|0:1|Joe Cole|for Wayne Rooney', '86&amp;rsquor;|0:1|Emile Heskey|for Jermain Defoe']</t>
  </si>
  <si>
    <t>Rabah Saâdane</t>
  </si>
  <si>
    <t>Landon Donovan · 90+1</t>
  </si>
  <si>
    <t>['90+1&amp;rsquor;|1:0|Landon Donovan']</t>
  </si>
  <si>
    <t>Antar Yahia · 90+3</t>
  </si>
  <si>
    <t>['62&amp;rsquor;|0:0|Jozy Altidore', '90&amp;rsquor;|0:0|DaMarcus Beasley']</t>
  </si>
  <si>
    <t>['12&amp;rsquor;|0:0|Hassan Yebda', '76&amp;rsquor;|0:0|Antar Yahia', '83&amp;rsquor;|0:0|Mehdi Lacen']</t>
  </si>
  <si>
    <t>['46&amp;rsquor;|0:0|Benny Feilhaber|for Hérculez Gómez', '64&amp;rsquor;|0:0|Edson Buddle|for Maurice Edu', '80&amp;rsquor;|0:0|DaMarcus Beasley|for Jonathan Bornstein']</t>
  </si>
  <si>
    <t>['65&amp;rsquor;|0:0|Abdelkader Ghezzal|for Rafik Djebbour', '69&amp;rsquor;|0:0|Adlène Guedioura|for Karim Ziani', '85&amp;rsquor;|0:0|Rafik Saïfi|for Karim Matmour']</t>
  </si>
  <si>
    <t>Mesut Özil · 60</t>
  </si>
  <si>
    <t>['60&amp;rsquor;|0:1|Mesut Özil']</t>
  </si>
  <si>
    <t>['40&amp;rsquor;|0:0|André Ayew']</t>
  </si>
  <si>
    <t>['43&amp;rsquor;|0:0|Thomas Müller']</t>
  </si>
  <si>
    <t>['64&amp;rsquor;|0:1|Sulley Muntari|for Prince Tagoe', '82&amp;rsquor;|0:1|Matthew Amoah|for Asamoah Gyan', '90&amp;rsquor;|0:1|Dominic Adiyiah|for André Ayew']</t>
  </si>
  <si>
    <t>['67&amp;rsquor;|0:1|Piotr Trochowski|for Thomas Müller', '73&amp;rsquor;|0:1|Marcell Jansen|for Jérôme Boateng', '81&amp;rsquor;|0:1|Toni Kroos|for Bastian Schweinsteiger']</t>
  </si>
  <si>
    <t>Pim Verbeek</t>
  </si>
  <si>
    <t>Radomir Antić</t>
  </si>
  <si>
    <t>Tim Cahill · 69|Brett Holman · 73</t>
  </si>
  <si>
    <t>Marko Pantelić · 84</t>
  </si>
  <si>
    <t>['69&amp;rsquor;|1:0|Tim Cahill', '73&amp;rsquor;|2:0|Brett Holman']</t>
  </si>
  <si>
    <t>['84&amp;rsquor;|2:1|Marko Pantelić']</t>
  </si>
  <si>
    <t>['49&amp;rsquor;|0:0|Michael Beauchamp', '50&amp;rsquor;|0:0|Luke Wilkshire', '67&amp;rsquor;|0:0|Brett Emerton']</t>
  </si>
  <si>
    <t>['18&amp;rsquor;|0:0|Aleksandar Luković', '59&amp;rsquor;|0:0|Miloš Ninković']</t>
  </si>
  <si>
    <t>['66&amp;rsquor;|0:0|Brett Holman|for Carl Valeri', '66&amp;rsquor;|0:0|Scott Chipperfield|for Mark Bresciano', '82&amp;rsquor;|2:0|Richard Garcia|for Luke Wilkshire']</t>
  </si>
  <si>
    <t>['62&amp;rsquor;|0:0|Zoran Tošić|for Miloš Krasić', '67&amp;rsquor;|0:0|Marko Pantelić|for Nikola Žigić', '77&amp;rsquor;|2:0|Danko Lazović|for Zdravko Kuzmanović']</t>
  </si>
  <si>
    <t>Luis Suárez · 43</t>
  </si>
  <si>
    <t>['43&amp;rsquor;|0:1|Luis Suárez']</t>
  </si>
  <si>
    <t>['77&amp;rsquor;|0:1|Javier Hernández', '86&amp;rsquor;|0:1|Israel Castro']</t>
  </si>
  <si>
    <t>['68&amp;rsquor;|0:1|Jorge Fucile']</t>
  </si>
  <si>
    <t>['46&amp;rsquor;|0:1|Pablo Barrera|for Andrés Guardado', '57&amp;rsquor;|0:1|Israel Castro|for Héctor Moreno', '63&amp;rsquor;|0:1|Javier Hernández|for Cuauhtémoc Blanco']</t>
  </si>
  <si>
    <t>['77&amp;rsquor;|0:1|Andrés Scotti|for Álvaro Pereira', '85&amp;rsquor;|0:1|Álvaro Fernández|for Luis Suárez']</t>
  </si>
  <si>
    <t>Raymond Domenech</t>
  </si>
  <si>
    <t>Carlos Alberto Parreira</t>
  </si>
  <si>
    <t>Florent Malouda · 70</t>
  </si>
  <si>
    <t>Bongani Khumalo · 20|Katlego Mphela · 37</t>
  </si>
  <si>
    <t>['70&amp;rsquor;|1:2|Florent Malouda']</t>
  </si>
  <si>
    <t>['20&amp;rsquor;|0:1|Bongani Khumalo', '37&amp;rsquor;|0:2|Katlego Mphela']</t>
  </si>
  <si>
    <t>Yoann Gourcuff · 25</t>
  </si>
  <si>
    <t>['71&amp;rsquor;|1:2|Abou Diaby']</t>
  </si>
  <si>
    <t>['46&amp;rsquor;|0:2|Florent Malouda|for André-Pierre Gignac', '55&amp;rsquor;|0:2|Thierry Henry|for Djibril Cissé', '82&amp;rsquor;|1:2|Sidney Govou|for Alou Diarra']</t>
  </si>
  <si>
    <t>['55&amp;rsquor;|0:2|Siboniso Gaxa|for Anele Ngcongca', '68&amp;rsquor;|0:2|Siyabonga Nomvethe|for Bernard Parker', '78&amp;rsquor;|1:2|Teko Modise|for Thanduyise Khuboni']</t>
  </si>
  <si>
    <t>Lars Lagerbäck</t>
  </si>
  <si>
    <t>Kalu Uche · 12</t>
  </si>
  <si>
    <t>Lee Jung-soo · 38|Park Chu-young · 49</t>
  </si>
  <si>
    <t>['12&amp;rsquor;|1:0|Kalu Uche']</t>
  </si>
  <si>
    <t>['38&amp;rsquor;|1:1|Lee Jung-soo', '49&amp;rsquor;|1:2|Park Chu-young']</t>
  </si>
  <si>
    <t>Yakubu Aiyegbeni (P) · 69</t>
  </si>
  <si>
    <t>['31&amp;rsquor;|1:0|Vincent Enyeama', '37&amp;rsquor;|1:0|Chinedu Obasi', '42&amp;rsquor;|1:1|Ayila Yussuf']</t>
  </si>
  <si>
    <t>['68&amp;rsquor;|1:2|Kim Nam-il']</t>
  </si>
  <si>
    <t>['46&amp;rsquor;|1:1|Elderson Echiéjilé|for Joseph Yobo', '57&amp;rsquor;|1:2|Obafemi Martins|for Nwankwo Kanu', '70&amp;rsquor;|2:2|Victor Obinna|for Yakubu Aiyegbeni']</t>
  </si>
  <si>
    <t>['64&amp;rsquor;|1:2|Kim Nam-il|for Yeom Ki-hun', '87&amp;rsquor;|2:2|Kim Jae-sung|for Ki Sung-yueng', '90&amp;rsquor;|2:2|Kim Dong-jin|for Park Chu-young']</t>
  </si>
  <si>
    <t>Otto Rehhagel</t>
  </si>
  <si>
    <t>Martín Demichelis · 77|Martín Palermo · 89</t>
  </si>
  <si>
    <t>['77&amp;rsquor;|0:1|Martín Demichelis', '89&amp;rsquor;|0:2|Martín Palermo']</t>
  </si>
  <si>
    <t>['30&amp;rsquor;|0:0|Kostas Katsouranis']</t>
  </si>
  <si>
    <t>['76&amp;rsquor;|0:0|Mario Bolatti']</t>
  </si>
  <si>
    <t>['46&amp;rsquor;|0:0|Nikos Spyropoulos|for Giorgos Karagounis', '54&amp;rsquor;|0:0|Sotiris Ninis|for Kostas Katsouranis', '55&amp;rsquor;|0:0|Christos Patsatzoglou|for Vasilis Torosidis']</t>
  </si>
  <si>
    <t>['63&amp;rsquor;|0:0|Ángel Di María|for Maxi Rodríguez', '77&amp;rsquor;|0:0|Javier Pastore|for Sergio Agüero', '80&amp;rsquor;|0:1|Martín Palermo|for Diego Milito']</t>
  </si>
  <si>
    <t>Raul Meireles · 29|Simão Sabrosa · 53|Hugo Almeida · 56|Tiago Mendes · 60|Liédson · 81|Cristiano Ronaldo · 87|Tiago Mendes · 89</t>
  </si>
  <si>
    <t>['29&amp;rsquor;|1:0|Raul Meireles', '53&amp;rsquor;|2:0|Simão Sabrosa', '56&amp;rsquor;|3:0|Hugo Almeida', '60&amp;rsquor;|4:0|Tiago Mendes', '81&amp;rsquor;|5:0|Liédson', '87&amp;rsquor;|6:0|Cristiano Ronaldo', '89&amp;rsquor;|7:0|Tiago Mendes']</t>
  </si>
  <si>
    <t>['38&amp;rsquor;|1:0|Pedro Mendes', '70&amp;rsquor;|4:0|Hugo Almeida']</t>
  </si>
  <si>
    <t>['32&amp;rsquor;|1:0|Pak Chol-jin', '47&amp;rsquor;|1:0|Hong Yong-jo']</t>
  </si>
  <si>
    <t>['70&amp;rsquor;|4:0|Miguel Veloso|for Raul Meireles', '74&amp;rsquor;|4:0|Duda|for Simão Sabrosa', '77&amp;rsquor;|4:0|Liédson|for Hugo Almeida']</t>
  </si>
  <si>
    <t>['58&amp;rsquor;|3:0|Kim Kum-il|for Pak Nam-chol', '58&amp;rsquor;|3:0|Kim Yong-jun|for Mun In-guk', '75&amp;rsquor;|4:0|Nam Song-chol|for Cha Jong-hyok']</t>
  </si>
  <si>
    <t>Mark González · 75</t>
  </si>
  <si>
    <t>['75&amp;rsquor;|1:0|Mark González']</t>
  </si>
  <si>
    <t>['2&amp;rsquor;|0:0|Humberto Suazo', '22&amp;rsquor;|0:0|Carlos Carmona', '25&amp;rsquor;|0:0|Waldo Ponce', '60&amp;rsquor;|0:0|Matías Fernández', '61&amp;rsquor;|0:0|Gary Medel', '90+2&amp;rsquor;|1:0|Jorge Valdivia']</t>
  </si>
  <si>
    <t>['18&amp;rsquor;|0:0|Blaise Nkufo', '48&amp;rsquor;|0:0|Tranquillo Barnetta', '60&amp;rsquor;|0:0|Gökhan Inler']</t>
  </si>
  <si>
    <t>['46&amp;rsquor;|0:0|Mark González|for Arturo Vidal', '46&amp;rsquor;|0:0|Jorge Valdivia|for Humberto Suazo', '65&amp;rsquor;|0:0|Esteban Paredes|for Matías Fernández']</t>
  </si>
  <si>
    <t>['42&amp;rsquor;|0:0|Tranquillo Barnetta|for Alexander Frei', '68&amp;rsquor;|0:0|Eren Derdiyok|for Blaise Nkufo', '77&amp;rsquor;|1:0|Albert Bunjaku|for Gelson Fernandes']</t>
  </si>
  <si>
    <t>David Villa · 17|David Villa · 51</t>
  </si>
  <si>
    <t>['17&amp;rsquor;|1:0|David Villa', '51&amp;rsquor;|2:0|David Villa']</t>
  </si>
  <si>
    <t>['8&amp;rsquor;|0:0|Danilo Turcios', '38&amp;rsquor;|1:0|Emilio Izaguirre']</t>
  </si>
  <si>
    <t>['66&amp;rsquor;|2:0|Cesc Fàbregas|for Xavi', '70&amp;rsquor;|2:0|Juan Mata|for Fernando Torres', '77&amp;rsquor;|2:0|Álvaro Arbeloa|for Sergio Ramos']</t>
  </si>
  <si>
    <t>['46&amp;rsquor;|1:0|Georgie Welcome|for Roger Espinoza', '63&amp;rsquor;|2:0|Ramón Núñez|for Danilo Turcios', '84&amp;rsquor;|2:0|Jerry Palacios|for David Suazo']</t>
  </si>
  <si>
    <t>Enrique Vera · 27|Cristian Riveros · 86</t>
  </si>
  <si>
    <t>['27&amp;rsquor;|0:1|Enrique Vera', '86&amp;rsquor;|0:2|Cristian Riveros']</t>
  </si>
  <si>
    <t>['42&amp;rsquor;|0:1|Ján Ďurica', '47&amp;rsquor;|0:1|Stanislav Šesták', '84&amp;rsquor;|0:1|Vladimír Weiss']</t>
  </si>
  <si>
    <t>['45&amp;rsquor;|0:1|Enrique Vera']</t>
  </si>
  <si>
    <t>['70&amp;rsquor;|0:1|Filip Hološko|for Stanislav Šesták', '83&amp;rsquor;|0:1|Miroslav Stoch|for Kornel Saláta']</t>
  </si>
  <si>
    <t>['68&amp;rsquor;|0:1|Aureliano Torres|for Nelson Valdez', '82&amp;rsquor;|0:1|Óscar Cardozo|for Lucas Barrios', '88&amp;rsquor;|0:2|Édgar Barreto|for Enrique Vera']</t>
  </si>
  <si>
    <t>Shane Smeltz · 7</t>
  </si>
  <si>
    <t>['7&amp;rsquor;|0:1|Shane Smeltz']</t>
  </si>
  <si>
    <t>Vincenzo Iaquinta (P) · 29</t>
  </si>
  <si>
    <t>['14&amp;rsquor;|0:1|Rory Fallon', '28&amp;rsquor;|0:1|Tommy Smith', '87&amp;rsquor;|1:1|Ryan Nelsen']</t>
  </si>
  <si>
    <t>['46&amp;rsquor;|1:1|Mauro Camoranesi|for Simone Pepe', '46&amp;rsquor;|1:1|Antonio Di Natale|for Alberto Gilardino', '61&amp;rsquor;|1:1|Giampaolo Pazzini|for Claudio Marchisio']</t>
  </si>
  <si>
    <t>['63&amp;rsquor;|1:1|Chris Wood|for Rory Fallon', '81&amp;rsquor;|1:1|Jeremy Christie|for Ivan Vicelich', '90&amp;rsquor;|1:1|Andrew Barron|for Chris Killen']</t>
  </si>
  <si>
    <t>Luís Fabiano · 25|Luís Fabiano · 50|Elano · 62</t>
  </si>
  <si>
    <t>Didier Drogba · 79</t>
  </si>
  <si>
    <t>['25&amp;rsquor;|1:0|Luís Fabiano', '50&amp;rsquor;|2:0|Luís Fabiano', '62&amp;rsquor;|3:0|Elano']</t>
  </si>
  <si>
    <t>['79&amp;rsquor;|3:1|Didier Drogba']</t>
  </si>
  <si>
    <t>Kaká · 88</t>
  </si>
  <si>
    <t>['85&amp;rsquor;|3:1|Kaká']</t>
  </si>
  <si>
    <t>['31&amp;rsquor;|1:0|Siaka Tiéné', '86&amp;rsquor;|3:1|Cheick Tioté']</t>
  </si>
  <si>
    <t>['67&amp;rsquor;|3:0|Dani Alves|for Elano', '90&amp;rsquor;|3:1|Ramires|for Robinho']</t>
  </si>
  <si>
    <t>['54&amp;rsquor;|2:0|Gervinho|for Aruna Dindane', '68&amp;rsquor;|3:0|Abdul Kader Keïta|for Salomon Kalou', '72&amp;rsquor;|3:0|Romaric|for Emmanuel Eboué']</t>
  </si>
  <si>
    <t>Wesley Sneijder · 53</t>
  </si>
  <si>
    <t>['53&amp;rsquor;|1:0|Wesley Sneijder']</t>
  </si>
  <si>
    <t>['36&amp;rsquor;|0:0|Gregory van der Wiel']</t>
  </si>
  <si>
    <t>['72&amp;rsquor;|1:0|Eljero Elia|for Rafael van der Vaart', '83&amp;rsquor;|1:0|Ibrahim Afellay|for Wesley Sneijder', '88&amp;rsquor;|1:0|Klaas-Jan Huntelaar|for Robin van Persie']</t>
  </si>
  <si>
    <t>['64&amp;rsquor;|1:0|Shunsuke Nakamura|for Daisuke Matsui', '77&amp;rsquor;|1:0|Keiji Tamada|for Yoshito Ōkubo', '77&amp;rsquor;|1:0|Shinji Okazaki|for Makoto Hasebe']</t>
  </si>
  <si>
    <t>Brett Holman · 11</t>
  </si>
  <si>
    <t>['11&amp;rsquor;|0:1|Brett Holman']</t>
  </si>
  <si>
    <t>Asamoah Gyan (P) · 25</t>
  </si>
  <si>
    <t>Harry Kewell · 24</t>
  </si>
  <si>
    <t>['40&amp;rsquor;|1:1|Lee Addy', '79&amp;rsquor;|1:1|Jonathan Mensah', '84&amp;rsquor;|1:1|Anthony Annan']</t>
  </si>
  <si>
    <t>['85&amp;rsquor;|1:1|Craig Moore']</t>
  </si>
  <si>
    <t>['56&amp;rsquor;|1:1|Quincy Owusu-Abeyie|for Prince Tagoe', '77&amp;rsquor;|1:1|Sulley Muntari|for Kwadwo Asamoah', '87&amp;rsquor;|1:1|Matthew Amoah|for Kevin-Prince Boateng']</t>
  </si>
  <si>
    <t>['66&amp;rsquor;|1:1|Scott Chipperfield|for Mark Bresciano', '68&amp;rsquor;|1:1|Joshua Kennedy|for Brett Holman', '84&amp;rsquor;|1:1|Nikita Rukavytsya|for Luke Wilkshire']</t>
  </si>
  <si>
    <t>Samuel Eto'o · 10</t>
  </si>
  <si>
    <t>Nicklas Bendtner · 33|Dennis Rommedahl · 61</t>
  </si>
  <si>
    <t>["10&amp;rsquor;|1:0|Samuel Eto'o"]</t>
  </si>
  <si>
    <t>['33&amp;rsquor;|1:1|Nicklas Bendtner', '61&amp;rsquor;|1:2|Dennis Rommedahl']</t>
  </si>
  <si>
    <t>['49&amp;rsquor;|1:1|Sébastien Bassong', '75&amp;rsquor;|1:2|Stéphane Mbia']</t>
  </si>
  <si>
    <t>['86&amp;rsquor;|1:2|Thomas Sørensen', '87&amp;rsquor;|1:2|Simon Kjær']</t>
  </si>
  <si>
    <t>['46&amp;rsquor;|1:1|Jean Makoun|for Eyong Enoh', '72&amp;rsquor;|1:2|Mohammadou Idrissou|for Sébastien Bassong', '78&amp;rsquor;|1:2|Vincent Aboubakar|for Pierre Webó']</t>
  </si>
  <si>
    <t>['46&amp;rsquor;|1:1|Daniel Jensen|for Martin Jørgensen', '67&amp;rsquor;|1:2|Thomas Kahlenberg|for Jesper Grønkjær', '86&amp;rsquor;|1:2|Jakob Poulsen|for Jon Dahl Tomasson']</t>
  </si>
  <si>
    <t>Milan Jovanović · 38</t>
  </si>
  <si>
    <t>['38&amp;rsquor;|0:1|Milan Jovanović']</t>
  </si>
  <si>
    <t>Miroslav Klose · 37</t>
  </si>
  <si>
    <t>['12&amp;rsquor;|0:0|Miroslav Klose', '22&amp;rsquor;|0:0|Sami Khedira', '32&amp;rsquor;|0:0|Philipp Lahm', '73&amp;rsquor;|0:1|Bastian Schweinsteiger']</t>
  </si>
  <si>
    <t>['18&amp;rsquor;|0:0|Branislav Ivanović', '19&amp;rsquor;|0:0|Aleksandar Kolarov', '57&amp;rsquor;|0:1|Neven Subotić', '59&amp;rsquor;|0:1|Nemanja Vidić']</t>
  </si>
  <si>
    <t>['70&amp;rsquor;|0:1|Marko Marin|for Thomas Müller', '70&amp;rsquor;|0:1|Cacau|for Mesut Özil', '77&amp;rsquor;|0:1|Mario Gómez|for Holger Badstuber']</t>
  </si>
  <si>
    <t>['70&amp;rsquor;|0:1|Gojko Kačar|for Miloš Ninković', '75&amp;rsquor;|0:1|Radosav Petrović|for Zdravko Kuzmanović', '79&amp;rsquor;|0:1|Danko Lazović|for Milan Jovanović']</t>
  </si>
  <si>
    <t>Valter Birsa · 13|Zlatan Ljubijankić · 42</t>
  </si>
  <si>
    <t>Landon Donovan · 48|Michael Bradley · 82</t>
  </si>
  <si>
    <t>['13&amp;rsquor;|1:0|Valter Birsa', '42&amp;rsquor;|2:0|Zlatan Ljubijankić']</t>
  </si>
  <si>
    <t>['48&amp;rsquor;|2:1|Landon Donovan', '82&amp;rsquor;|2:2|Michael Bradley']</t>
  </si>
  <si>
    <t>['35&amp;rsquor;|1:0|Boštjan Cesar', '69&amp;rsquor;|2:1|Marko Šuler', '72&amp;rsquor;|2:1|Andraž Kirm', '75&amp;rsquor;|2:1|Bojan Jokić']</t>
  </si>
  <si>
    <t>['40&amp;rsquor;|1:0|Robbie Findley']</t>
  </si>
  <si>
    <t>['74&amp;rsquor;|2:1|Nejc Pečnik|for Zlatan Ljubijankić', '87&amp;rsquor;|2:2|Zlatko Dedić|for Valter Birsa', '90&amp;rsquor;|2:2|Andrej Komac|for Nejc Pečnik']</t>
  </si>
  <si>
    <t>['46&amp;rsquor;|2:0|Maurice Edu|for José Francisco Torres', '46&amp;rsquor;|2:0|Benny Feilhaber|for Robbie Findley', '80&amp;rsquor;|2:1|Hérculez Gómez|for Oguchi Onyewu']</t>
  </si>
  <si>
    <t>['58&amp;rsquor;|0:0|Jamie Carragher']</t>
  </si>
  <si>
    <t>['85&amp;rsquor;|0:0|Mehdi Lacen']</t>
  </si>
  <si>
    <t>['63&amp;rsquor;|0:0|Shaun Wright-Phillips|for Aaron Lennon', '74&amp;rsquor;|0:0|Jermain Defoe|for Emile Heskey', '84&amp;rsquor;|0:0|Peter Crouch|for Gareth Barry']</t>
  </si>
  <si>
    <t>['74&amp;rsquor;|0:0|Djamel Abdoun|for Ryad Boudebouz', '81&amp;rsquor;|0:0|Adlène Guedioura|for Karim Ziani', '88&amp;rsquor;|0:0|Djamel Mesbah|for Hassan Yebda']</t>
  </si>
  <si>
    <t>Gonzalo Higuaín · 33|Gonzalo Higuaín · 76|Gonzalo Higuaín · 80</t>
  </si>
  <si>
    <t>Lee Chung-yong · 45+1</t>
  </si>
  <si>
    <t>['33&amp;rsquor;|2:0|Gonzalo Higuaín', '76&amp;rsquor;|3:1|Gonzalo Higuaín', '80&amp;rsquor;|4:1|Gonzalo Higuaín']</t>
  </si>
  <si>
    <t>['45+1&amp;rsquor;|2:1|Lee Chung-yong']</t>
  </si>
  <si>
    <t>Park Chu-young (OG) · 17</t>
  </si>
  <si>
    <t>['54&amp;rsquor;|2:1|Jonás Gutiérrez', '55&amp;rsquor;|2:1|Javier Mascherano', '74&amp;rsquor;|2:1|Gabriel Heinze']</t>
  </si>
  <si>
    <t>['10&amp;rsquor;|0:0|Yeom Ki-hun', '34&amp;rsquor;|2:0|Lee Chung-yong']</t>
  </si>
  <si>
    <t>['23&amp;rsquor;|1:0|Nicolás Burdisso|for Walter Samuel', '75&amp;rsquor;|2:1|Sergio Agüero|for Carlos Tevez', '82&amp;rsquor;|4:1|Mario Bolatti|for Gonzalo Higuaín']</t>
  </si>
  <si>
    <t>['46&amp;rsquor;|2:1|Kim Nam-il|for Ki Sung-yueng', '81&amp;rsquor;|4:1|Lee Dong-gook|for Park Chu-young']</t>
  </si>
  <si>
    <t>Dimitris Salpingidis · 44|Vasilis Torosidis · 71</t>
  </si>
  <si>
    <t>Kalu Uche · 16</t>
  </si>
  <si>
    <t>['44&amp;rsquor;|1:1|Dimitris Salpingidis', '71&amp;rsquor;|2:1|Vasilis Torosidis']</t>
  </si>
  <si>
    <t>['16&amp;rsquor;|0:1|Kalu Uche']</t>
  </si>
  <si>
    <t>['15&amp;rsquor;|0:0|Sokratis Papastathopoulos', '59&amp;rsquor;|1:1|Alexandros Tziolis', '88&amp;rsquor;|2:1|Georgios Samaras']</t>
  </si>
  <si>
    <t>['33&amp;rsquor;|0:1|Sani Kaita']</t>
  </si>
  <si>
    <t>['37&amp;rsquor;|0:1|Georgios Samaras|for Sokratis Papastathopoulos', '79&amp;rsquor;|2:1|Sotiris Ninis|for Theofanis Gekas']</t>
  </si>
  <si>
    <t>['46&amp;rsquor;|1:1|Chinedu Obasi|for Peter Odemwingie', '55&amp;rsquor;|1:1|Elderson Echiéjilé|for Taye Taiwo', '77&amp;rsquor;|2:1|Rabiu Afolabi|for Elderson Echiéjilé']</t>
  </si>
  <si>
    <t>Javier Hernández · 64</t>
  </si>
  <si>
    <t>['64&amp;rsquor;|0:1|Javier Hernández']</t>
  </si>
  <si>
    <t>Cuauhtémoc Blanco (P) · 79</t>
  </si>
  <si>
    <t>['45+1&amp;rsquor;|0:0|Jérémy Toulalan', '78&amp;rsquor;|0:1|Éric Abidal']</t>
  </si>
  <si>
    <t>['4&amp;rsquor;|0:0|Guillermo Franco', '48&amp;rsquor;|0:0|Efraín Juárez', '49&amp;rsquor;|0:0|Héctor Moreno', '82&amp;rsquor;|0:2|Francisco Javier Rodríguez']</t>
  </si>
  <si>
    <t>['46&amp;rsquor;|0:0|André-Pierre Gignac|for Nicolas Anelka', '69&amp;rsquor;|0:1|Mathieu Valbuena|for Sidney Govou']</t>
  </si>
  <si>
    <t>['31&amp;rsquor;|0:0|Pablo Barrera|for Carlos Vela', '55&amp;rsquor;|0:0|Javier Hernández|for Efraín Juárez', '62&amp;rsquor;|0:0|Cuauhtémoc Blanco|for Guillermo Franco']</t>
  </si>
  <si>
    <t>Jean Beausejour · 34</t>
  </si>
  <si>
    <t>['34&amp;rsquor;|0:1|Jean Beausejour']</t>
  </si>
  <si>
    <t>['33&amp;rsquor;|0:0|Wilson Palacios']</t>
  </si>
  <si>
    <t>['4&amp;rsquor;|0:0|Carlos Carmona', '19&amp;rsquor;|0:0|Matías Fernández']</t>
  </si>
  <si>
    <t>['60&amp;rsquor;|0:1|Georgie Welcome|for Carlos Pavón', '66&amp;rsquor;|0:1|Hendry Thomas|for Amado Guevara', '78&amp;rsquor;|0:1|Walter Martínez|for Ramón Núñez']</t>
  </si>
  <si>
    <t>['52&amp;rsquor;|0:1|Gonzalo Jara|for Rodrigo Millar', '81&amp;rsquor;|0:1|Pablo Contreras|for Arturo Vidal', '87&amp;rsquor;|0:1|Mark González|for Jorge Valdivia']</t>
  </si>
  <si>
    <t>Gelson Fernandes · 52</t>
  </si>
  <si>
    <t>['52&amp;rsquor;|0:1|Gelson Fernandes']</t>
  </si>
  <si>
    <t>['30&amp;rsquor;|0:0|Stéphane Grichting', '73&amp;rsquor;|0:1|Reto Ziegler', '90+1&amp;rsquor;|0:1|Diego Benaglio', '90+4&amp;rsquor;|0:1|Hakan Yakin']</t>
  </si>
  <si>
    <t>['61&amp;rsquor;|0:1|Fernando Torres|for Sergio Busquets', '62&amp;rsquor;|0:1|Jesús Navas|for David Silva', '77&amp;rsquor;|0:1|Pedro|for Andrés Iniesta']</t>
  </si>
  <si>
    <t>['36&amp;rsquor;|0:0|Steve von Bergen|for Philippe Senderos', '79&amp;rsquor;|0:1|Hakan Yakin|for Eren Derdiyok', '90&amp;rsquor;|0:1|Mario Eggimann|for Tranquillo Barnetta']</t>
  </si>
  <si>
    <t>Diego Forlán · 24|Álvaro Pereira · 90+5</t>
  </si>
  <si>
    <t>['24&amp;rsquor;|0:1|Diego Forlán', '90+5&amp;rsquor;|0:3|Álvaro Pereira']</t>
  </si>
  <si>
    <t>Diego Forlán (P) · 80</t>
  </si>
  <si>
    <t>['6&amp;rsquor;|0:0|Steven Pienaar', '42&amp;rsquor;|0:1|Kagisho Dikgacoi', '76&amp;rsquor;|0:1|Itumeleng Khune']</t>
  </si>
  <si>
    <t>['57&amp;rsquor;|0:1|Surprise Moriri|for Reneilwe Letsholonyane', '79&amp;rsquor;|0:1|Moeneeb Josephs|for Steven Pienaar']</t>
  </si>
  <si>
    <t>['71&amp;rsquor;|0:1|Álvaro Fernández|for Jorge Fucile', '89&amp;rsquor;|0:2|Seba Fernández|for Edinson Cavani', '90&amp;rsquor;|0:2|Walter Gargano|for Diego Pérez']</t>
  </si>
  <si>
    <t>Winston Reid · 90+3</t>
  </si>
  <si>
    <t>Róbert Vittek · 50</t>
  </si>
  <si>
    <t>['90+3&amp;rsquor;|1:1|Winston Reid']</t>
  </si>
  <si>
    <t>['50&amp;rsquor;|0:1|Róbert Vittek']</t>
  </si>
  <si>
    <t>['42&amp;rsquor;|0:0|Tony Lochhead', '90+3&amp;rsquor;|1:1|Winston Reid']</t>
  </si>
  <si>
    <t>['55&amp;rsquor;|0:1|Zdeno Štrba']</t>
  </si>
  <si>
    <t>['72&amp;rsquor;|0:1|Chris Wood|for Chris Killen', '78&amp;rsquor;|0:1|Jeremy Christie|for Ivan Vicelich']</t>
  </si>
  <si>
    <t>['81&amp;rsquor;|0:1|Filip Hološko|for Stanislav Šesták', '84&amp;rsquor;|0:1|Miroslav Stoch|for Róbert Vittek', '90+1&amp;rsquor;|0:1|Juraj Kucka|for Vladimír Weiss']</t>
  </si>
  <si>
    <t>['7&amp;rsquor;|0:0|Didier Zokora', '21&amp;rsquor;|0:0|Guy Demel']</t>
  </si>
  <si>
    <t>['21&amp;rsquor;|0:0|Cristiano Ronaldo']</t>
  </si>
  <si>
    <t>['66&amp;rsquor;|0:0|Didier Drogba|for Salomon Kalou', '82&amp;rsquor;|0:0|Abdul Kader Keïta|for Gervinho', '89&amp;rsquor;|0:0|Romaric|for Emmanuel Eboué']</t>
  </si>
  <si>
    <t>['55&amp;rsquor;|0:0|Simão Sabrosa|for Danny', '62&amp;rsquor;|0:0|Tiago Mendes|for Deco', '85&amp;rsquor;|0:0|Rúben Amorim|for Raul Meireles']</t>
  </si>
  <si>
    <t>Maicon Sisenando · 55|Elano · 72</t>
  </si>
  <si>
    <t>Ji Yun-nam · 89</t>
  </si>
  <si>
    <t>['55&amp;rsquor;|1:0|Maicon Sisenando', '72&amp;rsquor;|2:0|Elano']</t>
  </si>
  <si>
    <t>['89&amp;rsquor;|2:1|Ji Yun-nam']</t>
  </si>
  <si>
    <t>['88&amp;rsquor;|2:0|Ramires']</t>
  </si>
  <si>
    <t>['73&amp;rsquor;|2:0|Dani Alves|for Elano', '78&amp;rsquor;|2:0|Nilmar|for Kaká', '84&amp;rsquor;|2:0|Ramires|for Felipe Melo']</t>
  </si>
  <si>
    <t>['80&amp;rsquor;|2:0|Kim Kum-il|for Mun In-guk']</t>
  </si>
  <si>
    <t>Dirk Kuyt · 85</t>
  </si>
  <si>
    <t>['85&amp;rsquor;|2:0|Dirk Kuyt']</t>
  </si>
  <si>
    <t>Daniel Agger (OG) · 46</t>
  </si>
  <si>
    <t>['44&amp;rsquor;|0:0|Nigel de Jong', '49&amp;rsquor;|1:0|Robin van Persie']</t>
  </si>
  <si>
    <t>['63&amp;rsquor;|1:0|Simon Kjær']</t>
  </si>
  <si>
    <t>['67&amp;rsquor;|1:0|Eljero Elia|for Rafael van der Vaart', '77&amp;rsquor;|1:0|Ibrahim Afellay|for Robin van Persie', '88&amp;rsquor;|2:0|Demy de Zeeuw|for Nigel de Jong']</t>
  </si>
  <si>
    <t>['56&amp;rsquor;|1:0|Jesper Grønkjær|for Thomas Enevoldsen', '62&amp;rsquor;|1:0|Mikkel Beckmann|for Nicklas Bendtner', '73&amp;rsquor;|1:0|Christian Eriksen|for Thomas Kahlenberg']</t>
  </si>
  <si>
    <t>Keisuke Honda · 39</t>
  </si>
  <si>
    <t>['39&amp;rsquor;|1:0|Keisuke Honda']</t>
  </si>
  <si>
    <t>['90+1&amp;rsquor;|1:0|Yuki Abe']</t>
  </si>
  <si>
    <t>['72&amp;rsquor;|1:0|Nicolas Nkoulou']</t>
  </si>
  <si>
    <t>['69&amp;rsquor;|1:0|Shinji Okazaki|for Daisuke Matsui', '82&amp;rsquor;|1:0|Kisho Yano|for Yoshito Ōkubo', '88&amp;rsquor;|1:0|Junichi Inamoto|for Makoto Hasebe']</t>
  </si>
  <si>
    <t>['63&amp;rsquor;|1:0|Achille Emaná|for Joël Matip', '75&amp;rsquor;|1:0|Geremi|for Jean Makoun', '75&amp;rsquor;|1:0|Mohammadou Idrissou|for Eric Maxim Choupo-Moting']</t>
  </si>
  <si>
    <t>Daniele De Rossi · 63</t>
  </si>
  <si>
    <t>Antolín Alcaraz · 39</t>
  </si>
  <si>
    <t>['63&amp;rsquor;|1:1|Daniele De Rossi']</t>
  </si>
  <si>
    <t>['39&amp;rsquor;|0:1|Antolín Alcaraz']</t>
  </si>
  <si>
    <t>['70&amp;rsquor;|1:1|Mauro Camoranesi']</t>
  </si>
  <si>
    <t>['62&amp;rsquor;|0:1|Víctor Cáceres']</t>
  </si>
  <si>
    <t>['46&amp;rsquor;|0:1|Federico Marchetti|for Gianluigi Buffon', '59&amp;rsquor;|0:1|Mauro Camoranesi|for Claudio Marchisio', '72&amp;rsquor;|1:1|Antonio Di Natale|for Alberto Gilardino']</t>
  </si>
  <si>
    <t>['60&amp;rsquor;|0:1|Jonathan Santana|for Aureliano Torres', '68&amp;rsquor;|1:1|Roque Santa Cruz|for Nelson Valdez', '76&amp;rsquor;|1:1|Óscar Cardozo|for Lucas Barrios']</t>
  </si>
  <si>
    <t>Robert Koren · 79</t>
  </si>
  <si>
    <t>['79&amp;rsquor;|0:1|Robert Koren']</t>
  </si>
  <si>
    <t>Abdelkader Ghezzal · 73</t>
  </si>
  <si>
    <t>['59&amp;rsquor;|0:0|Abdelkader Ghezzal', '90+5&amp;rsquor;|0:1|Hassan Yebda']</t>
  </si>
  <si>
    <t>['35&amp;rsquor;|0:0|Aleksandar Radosavljević']</t>
  </si>
  <si>
    <t>['58&amp;rsquor;|0:0|Abdelkader Ghezzal|for Ryad Boudebouz', '81&amp;rsquor;|0:1|Rafik Saïfi|for Karim Matmour', '82&amp;rsquor;|0:1|Adlène Guedioura|for Foued Kadir']</t>
  </si>
  <si>
    <t>['53&amp;rsquor;|0:0|Zlatan Ljubijankić|for Zlatko Dedić', '84&amp;rsquor;|0:1|Nejc Pečnik|for Valter Birsa', '87&amp;rsquor;|0:1|Andrej Komac|for Aleksandar Radosavljević']</t>
  </si>
  <si>
    <t>Asamoah Gyan (P) · 85</t>
  </si>
  <si>
    <t>Aleksandar Luković · 74</t>
  </si>
  <si>
    <t>['19&amp;rsquor;|0:0|Nikola Žigić', '54&amp;rsquor;|0:0|Aleksandar Luković']</t>
  </si>
  <si>
    <t>['26&amp;rsquor;|0:0|Isaac Vorsah', '89&amp;rsquor;|0:1|Prince Tagoe']</t>
  </si>
  <si>
    <t>['62&amp;rsquor;|0:0|Zdravko Kuzmanović|for Nenad Milijaš', '69&amp;rsquor;|0:0|Danko Lazović|for Nikola Žigić', '76&amp;rsquor;|0:0|Neven Subotić|for Milan Jovanović']</t>
  </si>
  <si>
    <t>['73&amp;rsquor;|0:0|Stephen Appiah|for Kwadwo Asamoah', '90&amp;rsquor;|0:1|Quincy Owusu-Abeyie|for Asamoah Gyan', '90&amp;rsquor;|0:1|Lee Addy|for Kevin-Prince Boateng']</t>
  </si>
  <si>
    <t>Lukas Podolski · 8|Miroslav Klose · 26|Thomas Müller · 68|Cacau · 70</t>
  </si>
  <si>
    <t>['8&amp;rsquor;|1:0|Lukas Podolski', '26&amp;rsquor;|2:0|Miroslav Klose', '68&amp;rsquor;|3:0|Thomas Müller', '70&amp;rsquor;|4:0|Cacau']</t>
  </si>
  <si>
    <t>Tim Cahill · 56</t>
  </si>
  <si>
    <t>['12&amp;rsquor;|1:0|Mesut Özil']</t>
  </si>
  <si>
    <t>['24&amp;rsquor;|1:0|Craig Moore', '46&amp;rsquor;|2:0|Lucas Neill', '58&amp;rsquor;|2:0|Carl Valeri']</t>
  </si>
  <si>
    <t>['68&amp;rsquor;|2:0|Cacau|for Miroslav Klose', '74&amp;rsquor;|4:0|Mario Gómez|for Mesut Özil', '81&amp;rsquor;|4:0|Marko Marin|for Lukas Podolski']</t>
  </si>
  <si>
    <t>['46&amp;rsquor;|2:0|Brett Holman|for Vince Grella', '64&amp;rsquor;|2:0|Nikita Rukavytsya|for Richard Garcia', '74&amp;rsquor;|4:0|Mile Jedinak|for Brett Emerton']</t>
  </si>
  <si>
    <t>Lee Jung-soo · 7|Park Ji-sung · 52</t>
  </si>
  <si>
    <t>['7&amp;rsquor;|1:0|Lee Jung-soo', '52&amp;rsquor;|2:0|Park Ji-sung']</t>
  </si>
  <si>
    <t>['56&amp;rsquor;|2:0|Vasilis Torosidis']</t>
  </si>
  <si>
    <t>['74&amp;rsquor;|2:0|Kim Nam-il|for Ki Sung-yueng', '87&amp;rsquor;|2:0|Lee Seung-yeoul|for Park Chu-young', '90&amp;rsquor;|2:0|Kim Jae-sung|for Lee Chung-yong']</t>
  </si>
  <si>
    <t>['46&amp;rsquor;|1:0|Christos Patsatzoglou|for Giorgos Karagounis', '59&amp;rsquor;|2:0|Dimitris Salpingidis|for Georgios Samaras', '61&amp;rsquor;|2:0|Pantelis Kapetanos|for Angelos Charisteas']</t>
  </si>
  <si>
    <t>Gabriel Heinze · 6</t>
  </si>
  <si>
    <t>['6&amp;rsquor;|1:0|Gabriel Heinze']</t>
  </si>
  <si>
    <t>['41&amp;rsquor;|1:0|Jonás Gutiérrez']</t>
  </si>
  <si>
    <t>['77&amp;rsquor;|1:0|Lukman Haruna']</t>
  </si>
  <si>
    <t>['74&amp;rsquor;|1:0|Maxi Rodríguez|for Juan Sebastián Verón', '79&amp;rsquor;|1:0|Diego Milito|for Gonzalo Higuaín', '85&amp;rsquor;|1:0|Nicolás Burdisso|for Ángel Di María']</t>
  </si>
  <si>
    <t>['52&amp;rsquor;|1:0|Obafemi Martins|for Victor Obinna', '60&amp;rsquor;|1:0|Peter Odemwingie|for Chinedu Obasi', '75&amp;rsquor;|1:0|Kalu Uche|for Taye Taiwo']</t>
  </si>
  <si>
    <t>Steven Gerrard · 4</t>
  </si>
  <si>
    <t>Clint Dempsey · 40</t>
  </si>
  <si>
    <t>['4&amp;rsquor;|1:0|Steven Gerrard']</t>
  </si>
  <si>
    <t>['40&amp;rsquor;|1:1|Clint Dempsey']</t>
  </si>
  <si>
    <t>['26&amp;rsquor;|1:0|James Milner', '61&amp;rsquor;|1:1|Steven Gerrard']</t>
  </si>
  <si>
    <t>['39&amp;rsquor;|1:0|Steve Cherundolo', '47&amp;rsquor;|1:1|Jay DeMerit', '74&amp;rsquor;|1:1|Robbie Findley']</t>
  </si>
  <si>
    <t>['31&amp;rsquor;|1:0|Shaun Wright-Phillips|for James Milner', '46&amp;rsquor;|1:1|Jamie Carragher|for Ledley King', '79&amp;rsquor;|1:1|Peter Crouch|for Emile Heskey']</t>
  </si>
  <si>
    <t>['77&amp;rsquor;|1:1|Edson Buddle|for Robbie Findley', '86&amp;rsquor;|1:1|Stuart Holden|for Jozy Altidore']</t>
  </si>
  <si>
    <t>Siphiwe Tshabalala · 55</t>
  </si>
  <si>
    <t>Rafael Márquez · 79</t>
  </si>
  <si>
    <t>['55&amp;rsquor;|1:0|Siphiwe Tshabalala']</t>
  </si>
  <si>
    <t>['79&amp;rsquor;|1:1|Rafael Márquez']</t>
  </si>
  <si>
    <t>['27&amp;rsquor;|0:0|Kagisho Dikgacoi', '70&amp;rsquor;|1:0|Tsepo Masilela']</t>
  </si>
  <si>
    <t>['18&amp;rsquor;|0:0|Efraín Juárez', '57&amp;rsquor;|1:0|Gerardo Torrado']</t>
  </si>
  <si>
    <t>['46&amp;rsquor;|0:0|Tsepo Masilela|for Lucas Thwala', '83&amp;rsquor;|1:1|Bernard Parker|for Steven Pienaar']</t>
  </si>
  <si>
    <t>['55&amp;rsquor;|1:0|Andrés Guardado|for Paul Aguilar', '69&amp;rsquor;|1:0|Cuauhtémoc Blanco|for Carlos Vela', '73&amp;rsquor;|1:0|Javier Hernández|for Guillermo Franco']</t>
  </si>
  <si>
    <t>Nicolás Lodeiro · 81</t>
  </si>
  <si>
    <t>['59&amp;rsquor;|0:0|Mauricio Victorino', '65&amp;rsquor;|0:0|Nicolás Lodeiro', '90+3&amp;rsquor;|0:0|Diego Lugano']</t>
  </si>
  <si>
    <t>['12&amp;rsquor;|0:0|Patrice Evra', '19&amp;rsquor;|0:0|Franck Ribéry', '68&amp;rsquor;|0:0|Jérémy Toulalan']</t>
  </si>
  <si>
    <t>['63&amp;rsquor;|0:0|Nicolás Lodeiro|for Nacho González', '74&amp;rsquor;|0:0|Sebastián Abreu|for Luis Suárez', '87&amp;rsquor;|0:0|Sebastián Eguren|for Diego Pérez']</t>
  </si>
  <si>
    <t>['72&amp;rsquor;|0:0|Thierry Henry|for Nicolas Anelka', '75&amp;rsquor;|0:0|Florent Malouda|for Yoann Gourcuff', '85&amp;rsquor;|0:0|André-Pierre Gignac|for Sidney Govou']</t>
  </si>
  <si>
    <t>Olympiastadion Berlin, Berlin</t>
  </si>
  <si>
    <t>Italy won on penalty kicks following extra time</t>
  </si>
  <si>
    <t>Marco Materazzi · 19</t>
  </si>
  <si>
    <t>['19&amp;rsquor;|1:1|Marco Materazzi']</t>
  </si>
  <si>
    <t>Zinédine Zidane (P) · 7</t>
  </si>
  <si>
    <t>['1|1:0|Andrea Pirlo', '3|2:1|Marco Materazzi', '5|3:1|Daniele De Rossi', '7|4:2|Alessandro Del Piero', '9|5:3|Fabio Grosso']</t>
  </si>
  <si>
    <t>['2|1:1|Sylvain Wiltord', '6|3:2|Éric Abidal', '8|4:3|Willy Sagnol']</t>
  </si>
  <si>
    <t>['4|2:1|David Trezeguet']</t>
  </si>
  <si>
    <t>Zinédine Zidane · 110</t>
  </si>
  <si>
    <t>['5&amp;rsquor;|0:0|Gianluca Zambrotta']</t>
  </si>
  <si>
    <t>['12&amp;rsquor;|0:1|Willy Sagnol', '76&amp;rsquor;|1:1|Claude Makélélé', '111&amp;rsquor;|1:1|Florent Malouda']</t>
  </si>
  <si>
    <t>['61&amp;rsquor;|1:1|Vincenzo Iaquinta|for Simone Perrotta', '61&amp;rsquor;|1:1|Daniele De Rossi|for Francesco Totti', '86&amp;rsquor;|1:1|Alessandro Del Piero|for Mauro Camoranesi']</t>
  </si>
  <si>
    <t>['56&amp;rsquor;|1:1|Alou Diarra|for Patrick Vieira', '100&amp;rsquor;|1:1|David Trezeguet|for Franck Ribéry', '107&amp;rsquor;|1:1|Sylvain Wiltord|for Thierry Henry']</t>
  </si>
  <si>
    <t>Mercedes-Benz Arena, Stuttgart</t>
  </si>
  <si>
    <t>Bastian Schweinsteiger · 56|Bastian Schweinsteiger · 78</t>
  </si>
  <si>
    <t>Nuno Gomes · 88</t>
  </si>
  <si>
    <t>['56&amp;rsquor;|1:0|Bastian Schweinsteiger', '78&amp;rsquor;|3:0|Bastian Schweinsteiger']</t>
  </si>
  <si>
    <t>['88&amp;rsquor;|3:1|Nuno Gomes']</t>
  </si>
  <si>
    <t>Petit (OG) · 60</t>
  </si>
  <si>
    <t>['7&amp;rsquor;|0:0|Torsten Frings', '78&amp;rsquor;|2:0|Bastian Schweinsteiger']</t>
  </si>
  <si>
    <t>['24&amp;rsquor;|0:0|Ricardo Costa', '33&amp;rsquor;|0:0|Costinha', '60&amp;rsquor;|1:0|Paulo Ferreira']</t>
  </si>
  <si>
    <t>['65&amp;rsquor;|2:0|Oliver Neuville|for Miroslav Klose', '71&amp;rsquor;|2:0|Mike Hanke|for Lukas Podolski', '79&amp;rsquor;|3:0|Thomas Hitzlsperger|for Bastian Schweinsteiger']</t>
  </si>
  <si>
    <t>['46&amp;rsquor;|0:0|Petit|for Costinha', '69&amp;rsquor;|2:0|Nuno Gomes|for Nuno Valente', '77&amp;rsquor;|2:0|Luís Figo|for Pauleta']</t>
  </si>
  <si>
    <t>Allianz Arena, München</t>
  </si>
  <si>
    <t>Zinédine Zidane (P) · 33</t>
  </si>
  <si>
    <t>['83&amp;rsquor;|0:1|Ricardo Carvalho']</t>
  </si>
  <si>
    <t>['87&amp;rsquor;|0:1|Louis Saha']</t>
  </si>
  <si>
    <t>['62&amp;rsquor;|0:1|Paulo Ferreira|for Miguel Monteiro', '68&amp;rsquor;|0:1|Simão Sabrosa|for Pauleta', '75&amp;rsquor;|0:1|Hélder Postiga|for Costinha']</t>
  </si>
  <si>
    <t>['69&amp;rsquor;|0:1|Sylvain Wiltord|for Florent Malouda', '72&amp;rsquor;|0:1|Sidney Govou|for Franck Ribéry', '85&amp;rsquor;|0:1|Louis Saha|for Thierry Henry']</t>
  </si>
  <si>
    <t>Signal Iduna Park, Dortmund</t>
  </si>
  <si>
    <t>Fabio Grosso · 119|Alessandro Del Piero · 120+1</t>
  </si>
  <si>
    <t>['119&amp;rsquor;|0:1|Fabio Grosso', '120+1&amp;rsquor;|0:2|Alessandro Del Piero']</t>
  </si>
  <si>
    <t>['40&amp;rsquor;|0:0|Tim Borowski', '56&amp;rsquor;|0:0|Christoph Metzelder']</t>
  </si>
  <si>
    <t>['90&amp;rsquor;|0:0|Mauro Camoranesi']</t>
  </si>
  <si>
    <t>['73&amp;rsquor;|0:0|Bastian Schweinsteiger|for Tim Borowski', '83&amp;rsquor;|0:0|David Odonkor|for Bernd Schneider', '111&amp;rsquor;|0:0|Oliver Neuville|for Miroslav Klose']</t>
  </si>
  <si>
    <t>['74&amp;rsquor;|0:0|Alberto Gilardino|for Luca Toni', '91&amp;rsquor;|0:0|Vincenzo Iaquinta|for Mauro Camoranesi', '104&amp;rsquor;|0:0|Alessandro Del Piero|for Simone Perrotta']</t>
  </si>
  <si>
    <t>Veltins-Arena, Gelsenkirchen</t>
  </si>
  <si>
    <t>(1) 0–0 (3)</t>
  </si>
  <si>
    <t>Portugal won on penalty kicks following extra time</t>
  </si>
  <si>
    <t>['4|1:1|Owen Hargreaves']</t>
  </si>
  <si>
    <t>['1|0:1|Simão Sabrosa', '7|1:2|Hélder Postiga', '9|1:3|Cristiano Ronaldo']</t>
  </si>
  <si>
    <t>['2|0:1|Frank Lampard', '6|1:1|Steven Gerrard', '8|1:2|Jamie Carragher']</t>
  </si>
  <si>
    <t>['3|0:1|Hugo Viana', '5|1:1|Petit']</t>
  </si>
  <si>
    <t>Wayne Rooney · 62</t>
  </si>
  <si>
    <t>['30&amp;rsquor;|0:0|John Terry', '107&amp;rsquor;|0:0|Owen Hargreaves']</t>
  </si>
  <si>
    <t>['44&amp;rsquor;|0:0|Petit', '111&amp;rsquor;|0:0|Ricardo Carvalho']</t>
  </si>
  <si>
    <t>['52&amp;rsquor;|0:0|Aaron Lennon|for David Beckham', '65&amp;rsquor;|0:0|Peter Crouch|for Joe Cole', '119&amp;rsquor;|0:0|Jamie Carragher|for Aaron Lennon']</t>
  </si>
  <si>
    <t>['63&amp;rsquor;|0:0|Simão Sabrosa|for Pauleta', '74&amp;rsquor;|0:0|Hugo Viana|for Tiago Mendes', '86&amp;rsquor;|0:0|Hélder Postiga|for Luís Figo']</t>
  </si>
  <si>
    <t>Commerzbank-Arena, Frankfurt am Main</t>
  </si>
  <si>
    <t>Thierry Henry · 57</t>
  </si>
  <si>
    <t>['57&amp;rsquor;|0:1|Thierry Henry']</t>
  </si>
  <si>
    <t>['25&amp;rsquor;|0:0|Cafú', '45&amp;rsquor;|0:0|Juan', '45+2&amp;rsquor;|0:0|Ronaldo', '75&amp;rsquor;|0:1|Lúcio']</t>
  </si>
  <si>
    <t>['74&amp;rsquor;|0:1|Willy Sagnol', '87&amp;rsquor;|0:1|Louis Saha', '88&amp;rsquor;|0:1|Lilian Thuram']</t>
  </si>
  <si>
    <t>['63&amp;rsquor;|0:1|Adriano|for Juninho Pernambucano', '76&amp;rsquor;|0:1|Cicinho|for Cafú', '79&amp;rsquor;|0:1|Robinho|for Kaká']</t>
  </si>
  <si>
    <t>['77&amp;rsquor;|0:1|Sidney Govou|for Franck Ribéry', '81&amp;rsquor;|0:1|Sylvain Wiltord|for Florent Malouda', '86&amp;rsquor;|0:1|Louis Saha|for Thierry Henry']</t>
  </si>
  <si>
    <t>José Pékerman</t>
  </si>
  <si>
    <t>Germany won on penalty kicks following extra time</t>
  </si>
  <si>
    <t>Miroslav Klose · 80</t>
  </si>
  <si>
    <t>Roberto Ayala · 49</t>
  </si>
  <si>
    <t>['80&amp;rsquor;|1:1|Miroslav Klose']</t>
  </si>
  <si>
    <t>['49&amp;rsquor;|0:1|Roberto Ayala']</t>
  </si>
  <si>
    <t>['1|1:0|Oliver Neuville', '3|2:1|Michael Ballack', '5|3:1|Lukas Podolski', '7|4:2|Tim Borowski']</t>
  </si>
  <si>
    <t>['2|1:1|Julio Ricardo Cruz', '6|3:2|Maxi Rodríguez']</t>
  </si>
  <si>
    <t>['4|2:1|Roberto Ayala', '8|4:2|Esteban Cambiasso']</t>
  </si>
  <si>
    <t>['3&amp;rsquor;|0:0|Lukas Podolski', '90+4&amp;rsquor;|1:1|David Odonkor', '114&amp;rsquor;|1:1|Arne Friedrich']</t>
  </si>
  <si>
    <t>['46&amp;rsquor;|0:0|Juan Pablo Sorín', '60&amp;rsquor;|0:1|Javier Mascherano', '88&amp;rsquor;|1:1|Maxi Rodríguez', '95&amp;rsquor;|1:1|Julio Ricardo Cruz']</t>
  </si>
  <si>
    <t>['62&amp;rsquor;|0:1|David Odonkor|for Bernd Schneider', '74&amp;rsquor;|0:1|Tim Borowski|for Bastian Schweinsteiger', '86&amp;rsquor;|1:1|Oliver Neuville|for Miroslav Klose']</t>
  </si>
  <si>
    <t>['71&amp;rsquor;|0:1|Leo Franco|for Pato Abbondanzieri', '72&amp;rsquor;|0:1|Esteban Cambiasso|for Juan Román Riquelme', '79&amp;rsquor;|0:1|Julio Ricardo Cruz|for Hernán Crespo']</t>
  </si>
  <si>
    <t>Oleh Blokhin</t>
  </si>
  <si>
    <t>Volksparkstadion, Hamburg</t>
  </si>
  <si>
    <t>Gianluca Zambrotta · 6|Luca Toni · 59|Luca Toni · 69</t>
  </si>
  <si>
    <t>['6&amp;rsquor;|1:0|Gianluca Zambrotta', '59&amp;rsquor;|2:0|Luca Toni', '69&amp;rsquor;|3:0|Luca Toni']</t>
  </si>
  <si>
    <t>['16&amp;rsquor;|1:0|Vyacheslav Sviderskyi', '21&amp;rsquor;|1:0|Maksym Kalynychenko', '67&amp;rsquor;|2:0|Artem Milevskiy']</t>
  </si>
  <si>
    <t>['68&amp;rsquor;|2:0|Massimo Oddo|for Mauro Camoranesi', '68&amp;rsquor;|2:0|Simone Barone|for Andrea Pirlo', '77&amp;rsquor;|3:0|Cristian Zaccardo|for Gennaro Gattuso']</t>
  </si>
  <si>
    <t>['20&amp;rsquor;|1:0|Andriy Vorobey|for Vyacheslav Sviderskyi', '47&amp;rsquor;|1:0|Vladyslav Vashchuk|for Andriy Rusol', '72&amp;rsquor;|3:0|Oleksiy Byelik|for Artem Milevskiy']</t>
  </si>
  <si>
    <t>Ratomir Dujković</t>
  </si>
  <si>
    <t>Ronaldo · 5|Adriano · 45+1|Zé Roberto · 84</t>
  </si>
  <si>
    <t>['5&amp;rsquor;|1:0|Ronaldo', '45+1&amp;rsquor;|2:0|Adriano', '84&amp;rsquor;|3:0|Zé Roberto']</t>
  </si>
  <si>
    <t>['13&amp;rsquor;|1:0|Adriano', '44&amp;rsquor;|1:0|Juan']</t>
  </si>
  <si>
    <t>['7&amp;rsquor;|1:0|Stephen Appiah', '11&amp;rsquor;|1:0|Sulley Muntari', '29&amp;rsquor;|1:0|John Paintsil', '38&amp;rsquor;|1:0|Eric Addo', '48&amp;rsquor;|2:0|Asamoah Gyan']</t>
  </si>
  <si>
    <t>['46&amp;rsquor;|2:0|Gilberto Silva|for Emerson', '61&amp;rsquor;|2:0|Juninho Pernambucano|for Adriano', '83&amp;rsquor;|2:0|Ricardinho|for Kaká']</t>
  </si>
  <si>
    <t>['60&amp;rsquor;|2:0|Derek Boateng|for Eric Addo', '70&amp;rsquor;|2:0|Alex Tachie-Mensah|for Matthew Amoah']</t>
  </si>
  <si>
    <t>Luis Aragonés</t>
  </si>
  <si>
    <t>HDI-Arena, Hannover</t>
  </si>
  <si>
    <t>Franck Ribéry · 41|Patrick Vieira · 83|Zinédine Zidane · 90+2</t>
  </si>
  <si>
    <t>['41&amp;rsquor;|1:1|Franck Ribéry', '83&amp;rsquor;|1:2|Patrick Vieira', '90+2&amp;rsquor;|1:3|Zinédine Zidane']</t>
  </si>
  <si>
    <t>David Villa (P) · 28</t>
  </si>
  <si>
    <t>['82&amp;rsquor;|1:1|Carles Puyol']</t>
  </si>
  <si>
    <t>['68&amp;rsquor;|1:1|Patrick Vieira', '87&amp;rsquor;|1:2|Franck Ribéry', '90+1&amp;rsquor;|1:2|Zinédine Zidane']</t>
  </si>
  <si>
    <t>['54&amp;rsquor;|1:1|Luis García|for Raúl', '54&amp;rsquor;|1:1|Joaquín|for David Villa', '72&amp;rsquor;|1:1|Marcos Senna|for Xavi']</t>
  </si>
  <si>
    <t>['74&amp;rsquor;|1:1|Sidney Govou|for Florent Malouda', '88&amp;rsquor;|1:2|Sylvain Wiltord|for Thierry Henry']</t>
  </si>
  <si>
    <t>Guus Hiddink</t>
  </si>
  <si>
    <t>Fritz-Walter-Stadion, Kaiserslautern</t>
  </si>
  <si>
    <t>Francesco Totti (P) · 90+5</t>
  </si>
  <si>
    <t>Marco Materazzi · 50</t>
  </si>
  <si>
    <t>['29&amp;rsquor;|0:0|Fabio Grosso', '89&amp;rsquor;|0:0|Gennaro Gattuso', '90+1&amp;rsquor;|0:0|Gianluca Zambrotta']</t>
  </si>
  <si>
    <t>['23&amp;rsquor;|0:0|Vince Grella', '49&amp;rsquor;|0:0|Tim Cahill', '61&amp;rsquor;|0:0|Luke Wilkshire']</t>
  </si>
  <si>
    <t>['46&amp;rsquor;|0:0|Vincenzo Iaquinta|for Alberto Gilardino', '56&amp;rsquor;|0:0|Andrea Barzagli|for Luca Toni', '75&amp;rsquor;|0:0|Francesco Totti|for Alessandro Del Piero']</t>
  </si>
  <si>
    <t>['81&amp;rsquor;|0:0|John Aloisi|for Mile Sterjovski']</t>
  </si>
  <si>
    <t>Köbi Kuhn</t>
  </si>
  <si>
    <t>RheinEnergieSTADION, Köln</t>
  </si>
  <si>
    <t>(0) 0–0 (3)</t>
  </si>
  <si>
    <t>Ukraine won on penalty kicks following extra time</t>
  </si>
  <si>
    <t>['3|0:1|Artem Milevskiy', '5|0:2|Serhiy Rebrov', '7|0:3|Oleh Husyev']</t>
  </si>
  <si>
    <t>['2|0:0|Marco Streller', '4|0:1|Tranquillo Barnetta', '6|0:2|Ricardo Cabanas']</t>
  </si>
  <si>
    <t>['1|0:0|Andriy Shevchenko']</t>
  </si>
  <si>
    <t>['59&amp;rsquor;|0:0|Tranquillo Barnetta']</t>
  </si>
  <si>
    <t>['34&amp;rsquor;|0:0|Stéphane Grichting|for Johan Djourou', '64&amp;rsquor;|0:0|Marco Streller|for Hakan Yakin', '117&amp;rsquor;|0:0|Mauro Lustrinelli|for Alexander Frei']</t>
  </si>
  <si>
    <t>['75&amp;rsquor;|0:0|Ruslan Rotan|for Maksym Kalynychenko', '94&amp;rsquor;|0:0|Serhiy Rebrov|for Andriy Vorobey', '111&amp;rsquor;|0:0|Artem Milevskiy|for Andriy Voronin']</t>
  </si>
  <si>
    <t>David Beckham · 60</t>
  </si>
  <si>
    <t>['60&amp;rsquor;|1:0|David Beckham']</t>
  </si>
  <si>
    <t>['18&amp;rsquor;|0:0|John Terry', '78&amp;rsquor;|1:0|Paul Robinson', '82&amp;rsquor;|1:0|Jamie Carragher']</t>
  </si>
  <si>
    <t>['24&amp;rsquor;|0:0|Antonio Valencia', '37&amp;rsquor;|0:0|Carlos Tenorio', '67&amp;rsquor;|1:0|Ulises de la Cruz']</t>
  </si>
  <si>
    <t>['77&amp;rsquor;|1:0|Jamie Carragher|for Joe Cole', '87&amp;rsquor;|1:0|Aaron Lennon|for David Beckham', '90&amp;rsquor;|1:0|Stewart Downing|for Steven Gerrard']</t>
  </si>
  <si>
    <t>['69&amp;rsquor;|1:0|Christian Lara|for Edwin Tenorio', '72&amp;rsquor;|1:0|Iván Kaviedes|for Carlos Tenorio']</t>
  </si>
  <si>
    <t>Marco van Basten</t>
  </si>
  <si>
    <t>Max-Morlock-Stadion, Nürnberg</t>
  </si>
  <si>
    <t>Maniche · 23</t>
  </si>
  <si>
    <t>['23&amp;rsquor;|1:0|Maniche']</t>
  </si>
  <si>
    <t>Costinha · 45+1|Deco · 78</t>
  </si>
  <si>
    <t>Khalid Boulahrouz · 63|Giovanni van Bronckhorst · 90+5</t>
  </si>
  <si>
    <t>['20&amp;rsquor;|0:0|Maniche', '31&amp;rsquor;|1:0|Costinha', '50&amp;rsquor;|1:0|Petit', '60&amp;rsquor;|1:0|Luís Figo', '73&amp;rsquor;|1:0|Deco', '76&amp;rsquor;|1:0|Ricardo', '76&amp;rsquor;|1:0|Nuno Valente']</t>
  </si>
  <si>
    <t>['2&amp;rsquor;|0:0|Mark van Bommel', '7&amp;rsquor;|0:0|Khalid Boulahrouz', '59&amp;rsquor;|1:0|Giovanni van Bronckhorst', '73&amp;rsquor;|1:0|Wesley Sneijder', '74&amp;rsquor;|1:0|Rafael van der Vaart']</t>
  </si>
  <si>
    <t>['34&amp;rsquor;|1:0|Simão Sabrosa|for Cristiano Ronaldo', '46&amp;rsquor;|1:0|Petit|for Pauleta', '84&amp;rsquor;|1:0|Tiago Mendes|for Luís Figo']</t>
  </si>
  <si>
    <t>['56&amp;rsquor;|1:0|Rafael van der Vaart|for Joris Mathijsen', '67&amp;rsquor;|1:0|John Heitinga|for Mark van Bommel', '84&amp;rsquor;|1:0|Jan Vennegoor of Hesselink|for Phillip Cocu']</t>
  </si>
  <si>
    <t>Lukas Podolski · 4|Lukas Podolski · 12</t>
  </si>
  <si>
    <t>['4&amp;rsquor;|1:0|Lukas Podolski', '12&amp;rsquor;|2:0|Lukas Podolski']</t>
  </si>
  <si>
    <t>Teddy Lučić · 35</t>
  </si>
  <si>
    <t>['27&amp;rsquor;|2:0|Torsten Frings']</t>
  </si>
  <si>
    <t>['28&amp;rsquor;|2:0|Teddy Lučić', '48&amp;rsquor;|2:0|Mattias Jonson', '78&amp;rsquor;|2:0|Marcus Allbäck']</t>
  </si>
  <si>
    <t>['72&amp;rsquor;|2:0|Tim Borowski|for Bastian Schweinsteiger', '74&amp;rsquor;|2:0|Oliver Neuville|for Lukas Podolski', '85&amp;rsquor;|2:0|Sebastian Kehl|for Torsten Frings']</t>
  </si>
  <si>
    <t>['39&amp;rsquor;|2:0|Petter Hansson|for Kim Källström', '52&amp;rsquor;|2:0|Christian Wilhelmsson|for Mattias Jonson', '72&amp;rsquor;|2:0|Marcus Allbäck|for Zlatan Ibrahimović']</t>
  </si>
  <si>
    <t>Ricardo La Volpe</t>
  </si>
  <si>
    <t>Red Bull Arena, Leipzig</t>
  </si>
  <si>
    <t>Hernán Crespo · 10</t>
  </si>
  <si>
    <t>Rafael Márquez · 6</t>
  </si>
  <si>
    <t>['10&amp;rsquor;|1:1|Hernán Crespo']</t>
  </si>
  <si>
    <t>['6&amp;rsquor;|0:1|Rafael Márquez']</t>
  </si>
  <si>
    <t>['45+1&amp;rsquor;|1:1|Gabriel Heinze', '112&amp;rsquor;|1:1|Juan Pablo Sorín']</t>
  </si>
  <si>
    <t>['70&amp;rsquor;|1:1|Rafael Márquez', '82&amp;rsquor;|1:1|José Antonio Castro', '118&amp;rsquor;|1:1|Gerardo Torrado', '119&amp;rsquor;|1:1|Francisco Fonseca']</t>
  </si>
  <si>
    <t>['75&amp;rsquor;|1:1|Carlos Tevez|for Hernán Crespo', '76&amp;rsquor;|1:1|Pablo Aimar|for Esteban Cambiasso', '84&amp;rsquor;|1:1|Lionel Messi|for Javier Saviola']</t>
  </si>
  <si>
    <t>['38&amp;rsquor;|1:1|Gerardo Torrado|for Pável Pardo', '66&amp;rsquor;|1:1|Gonzalo Pineda|for Andrés Guardado', '74&amp;rsquor;|1:1|Sinha|for Ramón Morales']</t>
  </si>
  <si>
    <t>Marcos Paquetá</t>
  </si>
  <si>
    <t>Juanito · 36</t>
  </si>
  <si>
    <t>['36&amp;rsquor;|0:1|Juanito']</t>
  </si>
  <si>
    <t>['27&amp;rsquor;|0:0|Sami Al-Jaber', '77&amp;rsquor;|0:1|Nawaf Al-Temyat']</t>
  </si>
  <si>
    <t>['30&amp;rsquor;|0:0|David Albelda', '35&amp;rsquor;|0:0|José Antonio Reyes', '75&amp;rsquor;|0:1|Carlos Marchena']</t>
  </si>
  <si>
    <t>['13&amp;rsquor;|0:0|Nawaf Al-Temyat|for Khaled Aziz', '68&amp;rsquor;|0:1|Malek Mouath|for Sami Al-Jaber', '81&amp;rsquor;|0:1|Mohammad Massad|for Hussein Abdulghani']</t>
  </si>
  <si>
    <t>['46&amp;rsquor;|0:1|David Villa|for Raúl', '66&amp;rsquor;|0:1|Xavi|for Cesc Fàbregas', '70&amp;rsquor;|0:1|Fernando Torres|for José Antonio Reyes']</t>
  </si>
  <si>
    <t>Roger Lemerre</t>
  </si>
  <si>
    <t>Andriy Shevchenko (P) · 70</t>
  </si>
  <si>
    <t>Ziad Jaziri · 45+1</t>
  </si>
  <si>
    <t>['18&amp;rsquor;|0:0|Vyacheslav Sviderskyi', '47&amp;rsquor;|0:0|Oleh Shelayev', '61&amp;rsquor;|0:0|Anatoliy Tymoshchuk', '65&amp;rsquor;|0:0|Andriy Rusol']</t>
  </si>
  <si>
    <t>['9&amp;rsquor;|0:0|Ziad Jaziri', '43&amp;rsquor;|0:0|Riadh Bouazizi', '90&amp;rsquor;|1:0|Radhi Jaïdi']</t>
  </si>
  <si>
    <t>['55&amp;rsquor;|0:0|Andriy Vorobey|for Serhiy Rebrov', '75&amp;rsquor;|1:0|Andriy Husin|for Maksym Kalynychenko', '88&amp;rsquor;|1:0|Artem Milevskiy|for Andriy Shevchenko']</t>
  </si>
  <si>
    <t>['79&amp;rsquor;|1:0|Francileudo Santos|for Riadh Bouazizi', '79&amp;rsquor;|1:0|Chaouki Ben Saada|for Adel Chedli', '90&amp;rsquor;|1:0|Kaies Ghodhbane|for Mehdi Nafti']</t>
  </si>
  <si>
    <t>Otto Pfister</t>
  </si>
  <si>
    <t>Patrick Vieira · 55|Thierry Henry · 61</t>
  </si>
  <si>
    <t>['55&amp;rsquor;|0:1|Patrick Vieira', '61&amp;rsquor;|0:2|Thierry Henry']</t>
  </si>
  <si>
    <t>['38&amp;rsquor;|0:0|Yao Aziawonou', '44&amp;rsquor;|0:0|Chérif-Touré Mamam', '88&amp;rsquor;|0:2|Moustapha Salifou']</t>
  </si>
  <si>
    <t>['30&amp;rsquor;|0:0|Claude Makélélé']</t>
  </si>
  <si>
    <t>['59&amp;rsquor;|0:1|Adékambi Olufadé|for Chérif-Touré Mamam', '75&amp;rsquor;|0:2|Thomas Dossevi|for Emmanuel Adebayor']</t>
  </si>
  <si>
    <t>['74&amp;rsquor;|0:2|Sylvain Wiltord|for Florent Malouda', '77&amp;rsquor;|0:2|Sidney Govou|for Franck Ribéry', '81&amp;rsquor;|0:2|Alou Diarra|for Patrick Vieira']</t>
  </si>
  <si>
    <t>Dick Advocaat</t>
  </si>
  <si>
    <t>Philippe Senderos · 23|Alexander Frei · 77</t>
  </si>
  <si>
    <t>['23&amp;rsquor;|1:0|Philippe Senderos', '77&amp;rsquor;|2:0|Alexander Frei']</t>
  </si>
  <si>
    <t>['43&amp;rsquor;|1:0|Philippe Senderos', '55&amp;rsquor;|1:0|Hakan Yakin', '69&amp;rsquor;|1:0|Raphaël Wicky', '82&amp;rsquor;|2:0|Christoph Spycher', '90&amp;rsquor;|2:0|Johan Djourou']</t>
  </si>
  <si>
    <t>['23&amp;rsquor;|0:0|Park Chu-young', '37&amp;rsquor;|1:0|Kim Jin-kyu', '78&amp;rsquor;|2:0|Ahn Jung-hwan', '78&amp;rsquor;|2:0|Choi Jin-cheul', '80&amp;rsquor;|2:0|Lee Chun-soo']</t>
  </si>
  <si>
    <t>['53&amp;rsquor;|1:0|Johan Djourou|for Philippe Senderos', '71&amp;rsquor;|1:0|Xavier Margairaz|for Hakan Yakin', '88&amp;rsquor;|2:0|Valon Behrami|for Raphaël Wicky']</t>
  </si>
  <si>
    <t>['63&amp;rsquor;|1:0|Ahn Jung-hwan|for Lee Young-pyo', '66&amp;rsquor;|1:0|Seol Ki-hyeon|for Park Chu-young']</t>
  </si>
  <si>
    <t>Bruce Arena</t>
  </si>
  <si>
    <t>Haminu Draman · 22</t>
  </si>
  <si>
    <t>Clint Dempsey · 43</t>
  </si>
  <si>
    <t>['22&amp;rsquor;|1:0|Haminu Draman']</t>
  </si>
  <si>
    <t>['43&amp;rsquor;|1:1|Clint Dempsey']</t>
  </si>
  <si>
    <t>Stephen Appiah (P) · 45+2</t>
  </si>
  <si>
    <t>['5&amp;rsquor;|0:0|Michael Essien', '32&amp;rsquor;|1:0|Illiasu Shilla', '81&amp;rsquor;|2:1|John Mensah', '90+1&amp;rsquor;|2:1|Stephen Appiah']</t>
  </si>
  <si>
    <t>['7&amp;rsquor;|0:0|Eddie Lewis']</t>
  </si>
  <si>
    <t>['46&amp;rsquor;|2:1|Otto Addo|for Derek Boateng', '59&amp;rsquor;|2:1|Eric Addo|for Matthew Amoah', '80&amp;rsquor;|2:1|Alex Tachie-Mensah|for Haminu Draman']</t>
  </si>
  <si>
    <t>['40&amp;rsquor;|1:0|Ben Olsen|for Claudio Reyna', '61&amp;rsquor;|2:1|Eddie Johnson|for Steve Cherundolo', '74&amp;rsquor;|2:1|Bobby Convey|for Eddie Lewis']</t>
  </si>
  <si>
    <t>Czech Republic</t>
  </si>
  <si>
    <t>Karel Brückner</t>
  </si>
  <si>
    <t>Marco Materazzi · 26|Filippo Inzaghi · 87</t>
  </si>
  <si>
    <t>['26&amp;rsquor;|0:1|Marco Materazzi', '87&amp;rsquor;|0:2|Filippo Inzaghi']</t>
  </si>
  <si>
    <t>Jan Polák · 45+2</t>
  </si>
  <si>
    <t>['35&amp;rsquor;|0:1|Jan Polák']</t>
  </si>
  <si>
    <t>['31&amp;rsquor;|0:1|Gennaro Gattuso']</t>
  </si>
  <si>
    <t>['46&amp;rsquor;|0:1|Jiří Štajner|for Karel Poborský', '64&amp;rsquor;|0:1|David Jarolím|for Milan Baroš', '78&amp;rsquor;|0:1|Marek Heinz|for Radoslav Kováč']</t>
  </si>
  <si>
    <t>['17&amp;rsquor;|0:0|Marco Materazzi|for Alessandro Nesta', '60&amp;rsquor;|0:1|Filippo Inzaghi|for Alberto Gilardino', '74&amp;rsquor;|0:1|Simone Barone|for Mauro Camoranesi']</t>
  </si>
  <si>
    <t>Zico</t>
  </si>
  <si>
    <t>Keiji Tamada · 34</t>
  </si>
  <si>
    <t>Ronaldo · 45+1|Juninho Pernambucano · 53|Gilberto · 59|Ronaldo · 81</t>
  </si>
  <si>
    <t>['34&amp;rsquor;|1:0|Keiji Tamada']</t>
  </si>
  <si>
    <t>['45+1&amp;rsquor;|1:1|Ronaldo', '53&amp;rsquor;|1:2|Juninho Pernambucano', '59&amp;rsquor;|1:3|Gilberto', '81&amp;rsquor;|1:4|Ronaldo']</t>
  </si>
  <si>
    <t>['40&amp;rsquor;|1:0|Akira Kaji']</t>
  </si>
  <si>
    <t>['44&amp;rsquor;|1:0|Gilberto']</t>
  </si>
  <si>
    <t>['56&amp;rsquor;|1:2|Kōji Nakata|for Mitsuo Ogasawara', '60&amp;rsquor;|1:3|Naohiro Takahara|for Seiichiro Maki', '66&amp;rsquor;|1:3|Masashi Oguro|for Naohiro Takahara']</t>
  </si>
  <si>
    <t>['71&amp;rsquor;|1:3|Ricardinho|for Ronaldinho', '71&amp;rsquor;|1:3|Zé Roberto|for Kaká', '82&amp;rsquor;|1:4|Rogério Ceni|for Dida']</t>
  </si>
  <si>
    <t>Zlatko Kranjčar</t>
  </si>
  <si>
    <t>Darijo Srna · 2|Niko Kovač · 56</t>
  </si>
  <si>
    <t>Harry Kewell · 79</t>
  </si>
  <si>
    <t>['2&amp;rsquor;|1:0|Darijo Srna', '56&amp;rsquor;|2:1|Niko Kovač']</t>
  </si>
  <si>
    <t>['79&amp;rsquor;|2:2|Harry Kewell']</t>
  </si>
  <si>
    <t>Craig Moore (P) · 38</t>
  </si>
  <si>
    <t>Dario Šimić · 85|Josip Šimunić · 90+3</t>
  </si>
  <si>
    <t>Brett Emerton · 87</t>
  </si>
  <si>
    <t>['32&amp;rsquor;|1:0|Dario Šimić', '38&amp;rsquor;|1:1|Igor Tudor', '61&amp;rsquor;|2:1|Josip Šimunić', '70&amp;rsquor;|2:1|Stipe Pletikosa']</t>
  </si>
  <si>
    <t>['81&amp;rsquor;|2:2|Brett Emerton']</t>
  </si>
  <si>
    <t>['65&amp;rsquor;|2:1|Jerko Leko|for Niko Kranjčar', '74&amp;rsquor;|2:1|Luka Modrić|for Ivica Olić', '83&amp;rsquor;|2:2|Ivan Klasnić|for Stjepan Tomas']</t>
  </si>
  <si>
    <t>['63&amp;rsquor;|2:1|John Aloisi|for Vince Grella', '71&amp;rsquor;|2:1|Mark Bresciano|for Mile Sterjovski', '75&amp;rsquor;|2:1|Joshua Kennedy|for Scott Chipperfield']</t>
  </si>
  <si>
    <t>Maniche · 6</t>
  </si>
  <si>
    <t>Francisco Fonseca · 29</t>
  </si>
  <si>
    <t>['6&amp;rsquor;|1:0|Maniche']</t>
  </si>
  <si>
    <t>['29&amp;rsquor;|2:1|Francisco Fonseca']</t>
  </si>
  <si>
    <t>Simão Sabrosa (P) · 24</t>
  </si>
  <si>
    <t>Luis Ernesto Pérez · 61</t>
  </si>
  <si>
    <t>['26&amp;rsquor;|2:0|Miguel Monteiro', '69&amp;rsquor;|2:1|Maniche', '88&amp;rsquor;|2:1|Luís Boa Morte', '90+1&amp;rsquor;|2:1|Nuno Gomes']</t>
  </si>
  <si>
    <t>['22&amp;rsquor;|1:0|Francisco Javier Rodríguez', '27&amp;rsquor;|2:0|Luis Ernesto Pérez', '65&amp;rsquor;|2:1|Rafael Márquez', '87&amp;rsquor;|2:1|Sinha']</t>
  </si>
  <si>
    <t>['61&amp;rsquor;|2:1|Paulo Ferreira|for Miguel Monteiro', '69&amp;rsquor;|2:1|Nuno Gomes|for Hélder Postiga', '80&amp;rsquor;|2:1|Luís Boa Morte|for Luís Figo']</t>
  </si>
  <si>
    <t>['46&amp;rsquor;|2:1|Sinha|for Francisco Javier Rodríguez', '69&amp;rsquor;|2:1|José Antonio Castro|for Gonzalo Pineda', '80&amp;rsquor;|2:1|Guillermo Franco|for Mario Méndez']</t>
  </si>
  <si>
    <t>Branko Ivanković</t>
  </si>
  <si>
    <t>Oliveira Gonçalves</t>
  </si>
  <si>
    <t>Sohrab Bakhtiarizadeh · 75</t>
  </si>
  <si>
    <t>Flávio Amado · 60</t>
  </si>
  <si>
    <t>['75&amp;rsquor;|1:1|Sohrab Bakhtiarizadeh']</t>
  </si>
  <si>
    <t>['60&amp;rsquor;|0:1|Flávio Amado']</t>
  </si>
  <si>
    <t>['37&amp;rsquor;|0:0|Mehrzad Madanchi', '55&amp;rsquor;|0:0|Andranik Teymourian', '90+1&amp;rsquor;|1:1|Ferydoon Zandi']</t>
  </si>
  <si>
    <t>['22&amp;rsquor;|0:0|Locó', '45+1&amp;rsquor;|0:0|António Mendonça', '67&amp;rsquor;|0:1|Zé Kalanga']</t>
  </si>
  <si>
    <t>['13&amp;rsquor;|0:0|Masoud Shojaei|for Mohammad Nosrati', '39&amp;rsquor;|0:0|Rasoul Khatibi|for Vahid Hashemian', '67&amp;rsquor;|0:1|Arash Borhani|for Hossein Kaebi']</t>
  </si>
  <si>
    <t>['23&amp;rsquor;|0:0|Love|for Mateus Galiano da Costa', '51&amp;rsquor;|0:0|Flávio Amado|for Akwá', '73&amp;rsquor;|0:1|Rui Marques|for Paulo Figueiredo']</t>
  </si>
  <si>
    <t>Serbia and Montenegro</t>
  </si>
  <si>
    <t>Henri Michel</t>
  </si>
  <si>
    <t>Ilija Petković</t>
  </si>
  <si>
    <t>Aruna Dindane · 67</t>
  </si>
  <si>
    <t>Nikola Žigić · 10|Nikola Žigić · 20|Saša Ilić · 20</t>
  </si>
  <si>
    <t>['67&amp;rsquor;|2:3|Aruna Dindane']</t>
  </si>
  <si>
    <t>['10&amp;rsquor;|0:1|Nikola Žigić', '20&amp;rsquor;|0:2|Nikola Žigić', '20&amp;rsquor;|0:3|Saša Ilić']</t>
  </si>
  <si>
    <t>Aruna Dindane (P) · 37|Bonaventure Kalou (P) · 86</t>
  </si>
  <si>
    <t>Cyril Domoraud · 90+2</t>
  </si>
  <si>
    <t>Albert Nađ · 45+1</t>
  </si>
  <si>
    <t>['33&amp;rsquor;|0:3|Abdul Kader Keïta', '41&amp;rsquor;|1:3|Cyril Domoraud', '43&amp;rsquor;|1:3|Aruna Dindane']</t>
  </si>
  <si>
    <t>['17&amp;rsquor;|0:1|Albert Nađ', '35&amp;rsquor;|0:3|Milan Dudić', '37&amp;rsquor;|0:3|Igor Duljaj', '57&amp;rsquor;|1:3|Goran Gavrančić']</t>
  </si>
  <si>
    <t>['60&amp;rsquor;|1:3|Bakari Koné|for Kanga Akalé', '73&amp;rsquor;|2:3|Bonaventure Kalou|for Abdul Kader Keïta']</t>
  </si>
  <si>
    <t>['16&amp;rsquor;|0:1|Albert Nađ|for Mladen Krstajić', '67&amp;rsquor;|2:3|Savo Milošević|for Nikola Žigić']</t>
  </si>
  <si>
    <t>['28&amp;rsquor;|0:0|Dirk Kuyt', '42&amp;rsquor;|0:0|André Ooijer', '48&amp;rsquor;|0:0|Tim de Cler']</t>
  </si>
  <si>
    <t>['57&amp;rsquor;|0:0|Esteban Cambiasso', '90&amp;rsquor;|0:0|Javier Mascherano']</t>
  </si>
  <si>
    <t>['56&amp;rsquor;|0:0|Ryan Babel|for Ruud van Nistelrooy', '67&amp;rsquor;|0:0|Denny Landzaat|for Robin van Persie', '86&amp;rsquor;|0:0|Hedwiges Maduro|for Wesley Sneijder']</t>
  </si>
  <si>
    <t>['24&amp;rsquor;|0:0|Fabricio Coloccini|for Nicolás Burdisso', '70&amp;rsquor;|0:0|Julio Ricardo Cruz|for Lionel Messi', '80&amp;rsquor;|0:0|Pablo Aimar|for Juan Román Riquelme']</t>
  </si>
  <si>
    <t>Alexandre Guimarães</t>
  </si>
  <si>
    <t>Paweł Janas</t>
  </si>
  <si>
    <t>Rónald Gómez · 25</t>
  </si>
  <si>
    <t>Bartosz Bosacki · 33|Bartosz Bosacki · 66</t>
  </si>
  <si>
    <t>['25&amp;rsquor;|1:0|Rónald Gómez']</t>
  </si>
  <si>
    <t>['33&amp;rsquor;|1:1|Bartosz Bosacki', '66&amp;rsquor;|1:2|Bartosz Bosacki']</t>
  </si>
  <si>
    <t>['17&amp;rsquor;|0:0|Michael Umaña', '45+2&amp;rsquor;|1:1|Luis Marín', '45+2&amp;rsquor;|1:1|Rónald Gómez', '56&amp;rsquor;|1:1|Gabriel Badilla', '76&amp;rsquor;|1:2|Leonardo González']</t>
  </si>
  <si>
    <t>['18&amp;rsquor;|0:0|Arkadiusz Radomski', '24&amp;rsquor;|0:0|Jacek Bąk', '29&amp;rsquor;|1:0|Michał Żewłakow', '60&amp;rsquor;|1:1|Marcin Baszczyński', '90+1&amp;rsquor;|1:2|Artur Boruc']</t>
  </si>
  <si>
    <t>['70&amp;rsquor;|1:2|Harold Wallace|for Jervis Drummond', '78&amp;rsquor;|1:2|Álvaro Saborío|for Christian Bolaños', '82&amp;rsquor;|1:2|Carlos Hernández|for Rónald Gómez']</t>
  </si>
  <si>
    <t>['46&amp;rsquor;|1:1|Paweł Brożek|for Maciej Żurawski', '64&amp;rsquor;|1:1|Mariusz Lewandowski|for Arkadiusz Radomski', '85&amp;rsquor;|1:2|Grzegorz Rasiak|for Euzebiusz Smolarek']</t>
  </si>
  <si>
    <t>Miroslav Klose · 4|Miroslav Klose · 44|Lukas Podolski · 57</t>
  </si>
  <si>
    <t>['4&amp;rsquor;|0:1|Miroslav Klose', '44&amp;rsquor;|0:2|Miroslav Klose', '57&amp;rsquor;|0:3|Lukas Podolski']</t>
  </si>
  <si>
    <t>['52&amp;rsquor;|0:2|Antonio Valencia']</t>
  </si>
  <si>
    <t>['75&amp;rsquor;|0:3|Tim Borowski']</t>
  </si>
  <si>
    <t>['46&amp;rsquor;|0:2|Christian Benítez|for Félix Borja', '63&amp;rsquor;|0:3|Christian Lara|for Antonio Valencia', '68&amp;rsquor;|0:3|Patricio Urrutia|for Marlon Ayoví']</t>
  </si>
  <si>
    <t>['66&amp;rsquor;|0:3|Tim Borowski|for Torsten Frings', '66&amp;rsquor;|0:3|Oliver Neuville|for Miroslav Klose', '73&amp;rsquor;|0:3|Gerald Asamoah|for Bernd Schneider']</t>
  </si>
  <si>
    <t>Aníbal Ruiz</t>
  </si>
  <si>
    <t>Leo Beenhakker</t>
  </si>
  <si>
    <t>Nelson Cuevas · 86</t>
  </si>
  <si>
    <t>['86&amp;rsquor;|2:0|Nelson Cuevas']</t>
  </si>
  <si>
    <t>Brent Sancho (OG) · 25</t>
  </si>
  <si>
    <t>['30&amp;rsquor;|1:0|Carlos Paredes', '54&amp;rsquor;|1:0|Julio dos Santos']</t>
  </si>
  <si>
    <t>['45&amp;rsquor;|1:0|Brent Sancho', '48&amp;rsquor;|1:0|Aurtis Whitley']</t>
  </si>
  <si>
    <t>['66&amp;rsquor;|1:0|Nelson Cuevas|for Nelson Valdez', '77&amp;rsquor;|1:0|Julio César Manzur|for Julio César Cáceres', '89&amp;rsquor;|2:0|Paulo da Silva|for Denis Caniza']</t>
  </si>
  <si>
    <t>['31&amp;rsquor;|1:0|Kenwyne Jones|for Avery John', '41&amp;rsquor;|1:0|Evans Wise|for Cornell Glen', '67&amp;rsquor;|1:0|Russell Latapy|for Aurtis Whitley']</t>
  </si>
  <si>
    <t>Marcus Allbäck · 51|Henrik Larsson · 90</t>
  </si>
  <si>
    <t>Joe Cole · 34|Steven Gerrard · 85</t>
  </si>
  <si>
    <t>['51&amp;rsquor;|1:1|Marcus Allbäck', '90&amp;rsquor;|2:2|Henrik Larsson']</t>
  </si>
  <si>
    <t>['34&amp;rsquor;|0:1|Joe Cole', '85&amp;rsquor;|1:2|Steven Gerrard']</t>
  </si>
  <si>
    <t>['83&amp;rsquor;|1:1|Niclas Alexandersson', '87&amp;rsquor;|1:2|Freddie Ljungberg']</t>
  </si>
  <si>
    <t>['76&amp;rsquor;|1:1|Owen Hargreaves']</t>
  </si>
  <si>
    <t>['75&amp;rsquor;|1:1|Johan Elmander|for Marcus Allbäck', '90&amp;rsquor;|1:2|Daniel Andersson|for Tobias Linderoth', '90&amp;rsquor;|1:2|Christian Wilhelmsson|for Mattias Jonson']</t>
  </si>
  <si>
    <t>['4&amp;rsquor;|0:0|Peter Crouch|for Michael Owen', '56&amp;rsquor;|1:1|Sol Campbell|for Rio Ferdinand', '69&amp;rsquor;|1:1|Steven Gerrard|for Wayne Rooney']</t>
  </si>
  <si>
    <t>Alexander Frei · 16|Tranquillo Barnetta · 88</t>
  </si>
  <si>
    <t>['16&amp;rsquor;|0:1|Alexander Frei', '88&amp;rsquor;|0:2|Tranquillo Barnetta']</t>
  </si>
  <si>
    <t>['45&amp;rsquor;|0:1|Moustapha Salifou', '47&amp;rsquor;|0:1|Emmanuel Adebayor', '53&amp;rsquor;|0:1|Alaixys Romao', '90+2&amp;rsquor;|0:2|Jean-Paul Abalo']</t>
  </si>
  <si>
    <t>['25&amp;rsquor;|0:1|Moustapha Salifou|for Kuami Agboh', '69&amp;rsquor;|0:1|Yao Junior Sènaya|for Thomas Dossevi', '87&amp;rsquor;|0:1|Robert Malm|for Chérif-Touré Mamam']</t>
  </si>
  <si>
    <t>['46&amp;rsquor;|0:1|Hakan Yakin|for Daniel Gygax', '77&amp;rsquor;|0:1|Marco Streller|for Ricardo Cabanas', '87&amp;rsquor;|0:1|Mauro Lustrinelli|for Alexander Frei']</t>
  </si>
  <si>
    <t>Andriy Rusol · 4|Serhiy Rebrov · 36|Andriy Shevchenko · 46|Maksym Kalynychenko · 84</t>
  </si>
  <si>
    <t>['4&amp;rsquor;|0:1|Andriy Rusol', '36&amp;rsquor;|0:2|Serhiy Rebrov', '46&amp;rsquor;|0:3|Andriy Shevchenko', '84&amp;rsquor;|0:4|Maksym Kalynychenko']</t>
  </si>
  <si>
    <t>['41&amp;rsquor;|0:2|Ahmed Dokhi', '57&amp;rsquor;|0:3|Omar Al-Ghamdi', '73&amp;rsquor;|0:3|Saud Kariri']</t>
  </si>
  <si>
    <t>['22&amp;rsquor;|0:1|Andriy Nesmachniy', '77&amp;rsquor;|0:3|Maksym Kalynychenko', '89&amp;rsquor;|0:4|Vyacheslav Sviderskyi']</t>
  </si>
  <si>
    <t>['55&amp;rsquor;|0:3|Abdulaziz Khathran|for Ahmed Dokhi', '55&amp;rsquor;|0:3|Malek Mouath|for Mohammed Ameen', '77&amp;rsquor;|0:3|Sami Al-Jaber|for Mohammed Noor']</t>
  </si>
  <si>
    <t>['71&amp;rsquor;|0:3|Ruslan Rotan|for Serhiy Rebrov', '79&amp;rsquor;|0:3|Andriy Husin|for Andriy Voronin', '86&amp;rsquor;|0:4|Artem Milevskiy|for Andriy Shevchenko']</t>
  </si>
  <si>
    <t>Raúl · 71|Fernando Torres · 76</t>
  </si>
  <si>
    <t>Jawhar Mnari · 8</t>
  </si>
  <si>
    <t>['71&amp;rsquor;|1:1|Raúl', '76&amp;rsquor;|2:1|Fernando Torres']</t>
  </si>
  <si>
    <t>['8&amp;rsquor;|0:1|Jawhar Mnari']</t>
  </si>
  <si>
    <t>Fernando Torres (P) · 90+1</t>
  </si>
  <si>
    <t>['30&amp;rsquor;|0:1|Carles Puyol', '89&amp;rsquor;|2:1|Cesc Fàbregas']</t>
  </si>
  <si>
    <t>['32&amp;rsquor;|0:1|Anis Ayari', '40&amp;rsquor;|0:1|Hatem Trabelsi', '70&amp;rsquor;|0:1|Radhi Jaïdi', '81&amp;rsquor;|2:1|Haykel Guemamdia', '85&amp;rsquor;|2:1|Ziad Jaziri', '90+3&amp;rsquor;|3:1|Jawhar Mnari']</t>
  </si>
  <si>
    <t>['46&amp;rsquor;|0:1|Cesc Fàbregas|for Marcos Senna', '46&amp;rsquor;|0:1|Raúl|for Luis García', '57&amp;rsquor;|0:1|Joaquín|for David Villa']</t>
  </si>
  <si>
    <t>['57&amp;rsquor;|0:1|Kaies Ghodhbane|for Riadh Bouazizi', '57&amp;rsquor;|0:1|Alaeddine Yahia|for Anis Ayari', '80&amp;rsquor;|2:1|Haykel Guemamdia|for Adel Chedli']</t>
  </si>
  <si>
    <t>['21&amp;rsquor;|0:0|Tsuneyasu Miyamoto', '42&amp;rsquor;|0:0|Yoshikatsu Kawaguchi', '72&amp;rsquor;|0:0|Alessandro Santos']</t>
  </si>
  <si>
    <t>['32&amp;rsquor;|0:0|Robert Kovač', '69&amp;rsquor;|0:0|Darijo Srna']</t>
  </si>
  <si>
    <t>['46&amp;rsquor;|0:0|Junichi Inamoto|for Takashi Fukunishi', '61&amp;rsquor;|0:0|Keiji Tamada|for Atsushi Yanagisawa', '85&amp;rsquor;|0:0|Masashi Oguro|for Naohiro Takahara']</t>
  </si>
  <si>
    <t>['70&amp;rsquor;|0:0|Ivica Olić|for Igor Tudor', '78&amp;rsquor;|0:0|Luka Modrić|for Niko Kranjčar', '87&amp;rsquor;|0:0|Ivan Bošnjak|for Darijo Srna']</t>
  </si>
  <si>
    <t>Adriano · 49|Fred · 90</t>
  </si>
  <si>
    <t>['49&amp;rsquor;|1:0|Adriano', '90&amp;rsquor;|2:0|Fred']</t>
  </si>
  <si>
    <t>['29&amp;rsquor;|0:0|Cafú', '31&amp;rsquor;|0:0|Ronaldo', '83&amp;rsquor;|1:0|Robinho']</t>
  </si>
  <si>
    <t>['13&amp;rsquor;|0:0|Brett Emerton', '39&amp;rsquor;|0:0|Jason Culina']</t>
  </si>
  <si>
    <t>['72&amp;rsquor;|1:0|Gilberto Silva|for Emerson', '72&amp;rsquor;|1:0|Robinho|for Ronaldo', '88&amp;rsquor;|1:0|Fred|for Adriano']</t>
  </si>
  <si>
    <t>['41&amp;rsquor;|0:0|Mark Bresciano|for Tony Popovic', '56&amp;rsquor;|1:0|Harry Kewell|for Tim Cahill', '69&amp;rsquor;|1:0|John Aloisi|for Craig Moore']</t>
  </si>
  <si>
    <t>Thierry Henry · 9</t>
  </si>
  <si>
    <t>Park Ji-sung · 81</t>
  </si>
  <si>
    <t>['9&amp;rsquor;|1:0|Thierry Henry']</t>
  </si>
  <si>
    <t>['81&amp;rsquor;|1:1|Park Ji-sung']</t>
  </si>
  <si>
    <t>['79&amp;rsquor;|1:0|Éric Abidal', '85&amp;rsquor;|1:1|Zinédine Zidane']</t>
  </si>
  <si>
    <t>['11&amp;rsquor;|1:0|Lee Ho', '29&amp;rsquor;|1:0|Kim Dong-jin']</t>
  </si>
  <si>
    <t>['60&amp;rsquor;|1:0|Franck Ribéry|for Sylvain Wiltord', '88&amp;rsquor;|1:1|Vikash Dhorasoo|for Florent Malouda', '90+1&amp;rsquor;|1:1|David Trezeguet|for Zinédine Zidane']</t>
  </si>
  <si>
    <t>['46&amp;rsquor;|1:0|Seol Ki-hyeon|for Lee Eul-yong', '69&amp;rsquor;|1:0|Kim Sang-sik|for Lee Ho', '72&amp;rsquor;|1:0|Ahn Jung-hwan|for Lee Chun-soo']</t>
  </si>
  <si>
    <t>Deco · 63</t>
  </si>
  <si>
    <t>['63&amp;rsquor;|1:0|Deco']</t>
  </si>
  <si>
    <t>Cristiano Ronaldo (P) · 80</t>
  </si>
  <si>
    <t>['45+1&amp;rsquor;|0:0|Pauleta', '48&amp;rsquor;|0:0|Deco', '61&amp;rsquor;|0:0|Costinha']</t>
  </si>
  <si>
    <t>['20&amp;rsquor;|0:0|Javad Nekounam', '32&amp;rsquor;|0:0|Mehrzad Madanchi', '73&amp;rsquor;|1:0|Hossein Kaebi', '88&amp;rsquor;|2:0|Yahya Golmohammadi']</t>
  </si>
  <si>
    <t>['67&amp;rsquor;|1:0|Petit|for Maniche', '80&amp;rsquor;|1:0|Tiago Mendes|for Deco', '88&amp;rsquor;|2:0|Simão Sabrosa|for Luís Figo']</t>
  </si>
  <si>
    <t>['65&amp;rsquor;|1:0|Ferydoon Zandi|for Ali Karimi', '66&amp;rsquor;|1:0|Rasoul Khatibi|for Mehrzad Madanchi', '88&amp;rsquor;|2:0|Sohrab Bakhtiarizadeh|for Yahya Golmohammadi']</t>
  </si>
  <si>
    <t>Asamoah Gyan · 2|Sulley Muntari · 82</t>
  </si>
  <si>
    <t>['2&amp;rsquor;|0:1|Asamoah Gyan', '82&amp;rsquor;|0:2|Sulley Muntari']</t>
  </si>
  <si>
    <t>Tomáš Ujfaluši · 65</t>
  </si>
  <si>
    <t>['49&amp;rsquor;|0:1|Vratislav Lokvenc']</t>
  </si>
  <si>
    <t>['18&amp;rsquor;|0:1|Otto Addo', '37&amp;rsquor;|0:1|Michael Essien', '66&amp;rsquor;|0:1|Asamoah Gyan', '75&amp;rsquor;|0:1|Derek Boateng', '84&amp;rsquor;|0:2|Sulley Muntari', '90+3&amp;rsquor;|0:2|Habib Mohamed']</t>
  </si>
  <si>
    <t>['46&amp;rsquor;|0:1|Jan Polák|for Tomáš Galásek', '56&amp;rsquor;|0:1|Jiří Štajner|for Karel Poborský', '68&amp;rsquor;|0:1|Libor Sionko|for Jaroslav Plašil']</t>
  </si>
  <si>
    <t>['46&amp;rsquor;|0:1|Derek Boateng|for Otto Addo', '80&amp;rsquor;|0:1|Eric Addo|for Matthew Amoah', '85&amp;rsquor;|0:2|Razak Pimpong|for Asamoah Gyan']</t>
  </si>
  <si>
    <t>Alberto Gilardino · 22</t>
  </si>
  <si>
    <t>['22&amp;rsquor;|1:0|Alberto Gilardino']</t>
  </si>
  <si>
    <t>Cristian Zaccardo (OG) · 27</t>
  </si>
  <si>
    <t>Daniele De Rossi · 28</t>
  </si>
  <si>
    <t>Pablo Mastroeni · 45</t>
  </si>
  <si>
    <t>Eddie Pope · 47</t>
  </si>
  <si>
    <t>['5&amp;rsquor;|0:0|Francesco Totti', '70&amp;rsquor;|1:1|Gianluca Zambrotta']</t>
  </si>
  <si>
    <t>['21&amp;rsquor;|0:0|Eddie Pope']</t>
  </si>
  <si>
    <t>['35&amp;rsquor;|1:1|Gennaro Gattuso|for Francesco Totti', '54&amp;rsquor;|1:1|Alessandro Del Piero|for Cristian Zaccardo', '61&amp;rsquor;|1:1|Vincenzo Iaquinta|for Luca Toni']</t>
  </si>
  <si>
    <t>['52&amp;rsquor;|1:1|Jimmy Conrad|for Bobby Convey', '62&amp;rsquor;|1:1|DaMarcus Beasley|for Clint Dempsey']</t>
  </si>
  <si>
    <t>6–0</t>
  </si>
  <si>
    <t>Maxi Rodríguez · 6|Esteban Cambiasso · 31|Maxi Rodríguez · 41|Hernán Crespo · 78|Carlos Tevez · 84|Lionel Messi · 88</t>
  </si>
  <si>
    <t>['6&amp;rsquor;|1:0|Maxi Rodríguez', '31&amp;rsquor;|2:0|Esteban Cambiasso', '41&amp;rsquor;|3:0|Maxi Rodríguez', '78&amp;rsquor;|4:0|Hernán Crespo', '84&amp;rsquor;|5:0|Carlos Tevez', '88&amp;rsquor;|6:0|Lionel Messi']</t>
  </si>
  <si>
    <t>Mateja Kežman · 65</t>
  </si>
  <si>
    <t>['36&amp;rsquor;|2:0|Hernán Crespo']</t>
  </si>
  <si>
    <t>['7&amp;rsquor;|1:0|Ognjen Koroman', '27&amp;rsquor;|1:0|Albert Nađ', '42&amp;rsquor;|3:0|Mladen Krstajić']</t>
  </si>
  <si>
    <t>['17&amp;rsquor;|1:0|Esteban Cambiasso|for Lucho González', '59&amp;rsquor;|3:0|Carlos Tevez|for Javier Saviola', '75&amp;rsquor;|3:0|Lionel Messi|for Maxi Rodríguez']</t>
  </si>
  <si>
    <t>['46&amp;rsquor;|3:0|Ivan Ergić|for Albert Nađ', '50&amp;rsquor;|3:0|Danijel Ljuboja|for Ognjen Koroman', '70&amp;rsquor;|3:0|Zvonimir Vukić|for Savo Milošević']</t>
  </si>
  <si>
    <t>Robin van Persie · 23|Ruud van Nistelrooy · 27</t>
  </si>
  <si>
    <t>Bakari Koné · 38</t>
  </si>
  <si>
    <t>['23&amp;rsquor;|1:0|Robin van Persie', '27&amp;rsquor;|2:0|Ruud van Nistelrooy']</t>
  </si>
  <si>
    <t>['38&amp;rsquor;|2:1|Bakari Koné']</t>
  </si>
  <si>
    <t>['34&amp;rsquor;|2:0|Arjen Robben', '35&amp;rsquor;|2:0|Joris Mathijsen', '58&amp;rsquor;|2:1|Mark van Bommel', '90+4&amp;rsquor;|2:1|Khalid Boulahrouz']</t>
  </si>
  <si>
    <t>['25&amp;rsquor;|1:0|Didier Zokora', '41&amp;rsquor;|2:1|Didier Drogba', '66&amp;rsquor;|2:1|Arthur Boka']</t>
  </si>
  <si>
    <t>['46&amp;rsquor;|2:1|Khalid Boulahrouz|for John Heitinga', '50&amp;rsquor;|2:1|Rafael van der Vaart|for Wesley Sneijder', '73&amp;rsquor;|2:1|Denny Landzaat|for Ruud van Nistelrooy']</t>
  </si>
  <si>
    <t>['62&amp;rsquor;|2:1|Gilles Yapi Yapo|for Romaric', '62&amp;rsquor;|2:1|Aruna Dindane|for Bakari Koné', '73&amp;rsquor;|2:1|Kanga Akalé|for Arouna Koné']</t>
  </si>
  <si>
    <t>André Macanga · 79</t>
  </si>
  <si>
    <t>['59&amp;rsquor;|0:0|Gonzalo Pineda']</t>
  </si>
  <si>
    <t>['13&amp;rsquor;|0:0|Luís Manuel Ferreira Delgado', '44&amp;rsquor;|0:0|André Macanga', '50&amp;rsquor;|0:0|Zé Kalanga', '86&amp;rsquor;|0:0|João Ricardo']</t>
  </si>
  <si>
    <t>['52&amp;rsquor;|0:0|Jesús Arellano|for Sinha', '74&amp;rsquor;|0:0|Francisco Fonseca|for Guillermo Franco', '78&amp;rsquor;|0:0|Ramón Morales|for Gonzalo Pineda']</t>
  </si>
  <si>
    <t>['68&amp;rsquor;|0:0|Mantorras|for Mateus Galiano da Costa', '73&amp;rsquor;|0:0|Rui Marques|for Paulo Figueiredo', '83&amp;rsquor;|0:0|Miloy|for Zé Kalanga']</t>
  </si>
  <si>
    <t>Carlos Tenorio · 8|Agustín Delgado · 54|Iván Kaviedes · 90+2</t>
  </si>
  <si>
    <t>['8&amp;rsquor;|1:0|Carlos Tenorio', '54&amp;rsquor;|2:0|Agustín Delgado', '90+2&amp;rsquor;|3:0|Iván Kaviedes']</t>
  </si>
  <si>
    <t>['44&amp;rsquor;|1:0|Segundo Castillo', '54&amp;rsquor;|1:0|Ulises de la Cruz', '60&amp;rsquor;|2:0|Cristian Mora']</t>
  </si>
  <si>
    <t>['10&amp;rsquor;|1:0|Luis Marín', '28&amp;rsquor;|1:0|Mauricio Solís']</t>
  </si>
  <si>
    <t>['46&amp;rsquor;|1:0|Iván Kaviedes|for Carlos Tenorio', '69&amp;rsquor;|2:0|Jorge Guagua|for Giovanny Espinoza', '73&amp;rsquor;|2:0|Patricio Urrutia|for Antonio Valencia']</t>
  </si>
  <si>
    <t>['29&amp;rsquor;|1:0|Álvaro Saborío|for Danny Fonseca', '56&amp;rsquor;|2:0|Carlos Hernández|for Leonardo González', '84&amp;rsquor;|2:0|Kurt Bernard|for Walter Centeno']</t>
  </si>
  <si>
    <t>Peter Crouch · 83|Steven Gerrard · 90+1</t>
  </si>
  <si>
    <t>['83&amp;rsquor;|1:0|Peter Crouch', '90+1&amp;rsquor;|2:0|Steven Gerrard']</t>
  </si>
  <si>
    <t>['64&amp;rsquor;|0:0|Frank Lampard']</t>
  </si>
  <si>
    <t>['18&amp;rsquor;|0:0|Densill Theobald', '19&amp;rsquor;|0:0|Aurtis Whitley', '45+1&amp;rsquor;|0:0|Kenwyne Jones', '47&amp;rsquor;|0:0|Shaka Hislop', '56&amp;rsquor;|0:0|Cyd Gray']</t>
  </si>
  <si>
    <t>['58&amp;rsquor;|0:0|Wayne Rooney|for Michael Owen', '58&amp;rsquor;|0:0|Aaron Lennon|for Jamie Carragher', '75&amp;rsquor;|0:0|Stewart Downing|for Joe Cole']</t>
  </si>
  <si>
    <t>['70&amp;rsquor;|0:0|Cornell Glen|for Kenwyne Jones', '85&amp;rsquor;|1:0|Evans Wise|for Densill Theobald']</t>
  </si>
  <si>
    <t>Freddie Ljungberg · 89</t>
  </si>
  <si>
    <t>['89&amp;rsquor;|1:0|Freddie Ljungberg']</t>
  </si>
  <si>
    <t>['14&amp;rsquor;|0:0|Tobias Linderoth', '48&amp;rsquor;|0:0|Teddy Lučić', '60&amp;rsquor;|0:0|Marcus Allbäck']</t>
  </si>
  <si>
    <t>['3&amp;rsquor;|0:0|Denis Caniza', '51&amp;rsquor;|0:0|Roberto Acuña', '54&amp;rsquor;|0:0|Jorge Martín Núñez', '74&amp;rsquor;|0:0|Carlos Paredes', '85&amp;rsquor;|0:0|Édgar Barreto']</t>
  </si>
  <si>
    <t>['46&amp;rsquor;|0:0|Marcus Allbäck|for Zlatan Ibrahimović', '68&amp;rsquor;|0:0|Mattias Jonson|for Christian Wilhelmsson', '86&amp;rsquor;|0:0|Johan Elmander|for Kim Källström']</t>
  </si>
  <si>
    <t>['62&amp;rsquor;|0:0|Julio dos Santos|for Cristian Riveros', '63&amp;rsquor;|0:0|Dante López|for Roque Santa Cruz', '81&amp;rsquor;|0:0|Édgar Barreto|for Carlos Bonet']</t>
  </si>
  <si>
    <t>Xabi Alonso · 13|David Villa · 17|Fernando Torres · 81</t>
  </si>
  <si>
    <t>['13&amp;rsquor;|1:0|Xabi Alonso', '17&amp;rsquor;|2:0|David Villa', '81&amp;rsquor;|4:0|Fernando Torres']</t>
  </si>
  <si>
    <t>David Villa (P) · 48</t>
  </si>
  <si>
    <t>Vladyslav Vashchuk · 47</t>
  </si>
  <si>
    <t>['17&amp;rsquor;|2:0|Andriy Rusol', '53&amp;rsquor;|3:0|Volodymyr Yezerskiy']</t>
  </si>
  <si>
    <t>['55&amp;rsquor;|3:0|David Albelda|for Xabi Alonso', '55&amp;rsquor;|3:0|Raúl|for David Villa', '77&amp;rsquor;|3:0|Cesc Fàbregas|for Luis García']</t>
  </si>
  <si>
    <t>['46&amp;rsquor;|2:0|Oleh Shelayev|for Oleh Husyev', '46&amp;rsquor;|2:0|Andriy Vorobey|for Andriy Husin', '64&amp;rsquor;|3:0|Serhiy Rebrov|for Ruslan Rotan']</t>
  </si>
  <si>
    <t>Ziad Jaziri · 23|Radhi Jaïdi · 90+2</t>
  </si>
  <si>
    <t>Yasser Al-Qahtani · 57|Sami Al-Jaber · 84</t>
  </si>
  <si>
    <t>['23&amp;rsquor;|1:0|Ziad Jaziri', '90+2&amp;rsquor;|2:2|Radhi Jaïdi']</t>
  </si>
  <si>
    <t>['57&amp;rsquor;|1:1|Yasser Al-Qahtani', '84&amp;rsquor;|1:2|Sami Al-Jaber']</t>
  </si>
  <si>
    <t>['35&amp;rsquor;|1:0|Karim Haggui', '36&amp;rsquor;|1:0|Riadh Bouazizi', '65&amp;rsquor;|1:1|Adel Chedli', '79&amp;rsquor;|1:1|Yassine Chikhaoui']</t>
  </si>
  <si>
    <t>['55&amp;rsquor;|1:0|Mehdi Nafti|for Riadh Bouazizi', '69&amp;rsquor;|1:1|Kaies Ghodhbane|for Adel Chedli', '82&amp;rsquor;|1:1|Karim Essediri|for Yassine Chikhaoui']</t>
  </si>
  <si>
    <t>['67&amp;rsquor;|1:1|Malek Mouath|for Nawaf Al-Temyat', '75&amp;rsquor;|1:1|Mohammed Ameen|for Mohammed Noor', '82&amp;rsquor;|1:1|Saad Al-Harthi|for Yasser Al-Qahtani']</t>
  </si>
  <si>
    <t>Oliver Neuville · 90+1</t>
  </si>
  <si>
    <t>['90+1&amp;rsquor;|1:0|Oliver Neuville']</t>
  </si>
  <si>
    <t>Radosław Sobolewski · 75</t>
  </si>
  <si>
    <t>['58&amp;rsquor;|0:0|Michael Ballack', '68&amp;rsquor;|0:0|David Odonkor', '70&amp;rsquor;|0:0|Christoph Metzelder']</t>
  </si>
  <si>
    <t>['3&amp;rsquor;|0:0|Jacek Krzynówek', '28&amp;rsquor;|0:0|Radosław Sobolewski', '89&amp;rsquor;|0:0|Artur Boruc']</t>
  </si>
  <si>
    <t>['64&amp;rsquor;|0:0|David Odonkor|for Arne Friedrich', '71&amp;rsquor;|0:0|Oliver Neuville|for Lukas Podolski', '77&amp;rsquor;|0:0|Tim Borowski|for Bastian Schweinsteiger']</t>
  </si>
  <si>
    <t>['77&amp;rsquor;|0:0|Mariusz Lewandowski|for Jacek Krzynówek', '83&amp;rsquor;|0:0|Dariusz Dudka|for Michał Żewłakow', '90&amp;rsquor;|0:0|Paweł Brożek|for Ireneusz Jeleń']</t>
  </si>
  <si>
    <t>Lee Chun-soo · 54|Ahn Jung-hwan · 72</t>
  </si>
  <si>
    <t>Mohamed Kader · 31</t>
  </si>
  <si>
    <t>['54&amp;rsquor;|1:1|Lee Chun-soo', '72&amp;rsquor;|2:1|Ahn Jung-hwan']</t>
  </si>
  <si>
    <t>['31&amp;rsquor;|0:1|Mohamed Kader']</t>
  </si>
  <si>
    <t>Jean-Paul Abalo · 53</t>
  </si>
  <si>
    <t>['41&amp;rsquor;|0:1|Kim Young-chul', '51&amp;rsquor;|0:1|Lee Chun-soo']</t>
  </si>
  <si>
    <t>['23&amp;rsquor;|0:0|Jean-Paul Abalo', '24&amp;rsquor;|0:0|Alaixys Romao', '90+2&amp;rsquor;|2:1|Massamasso Tchangai']</t>
  </si>
  <si>
    <t>['46&amp;rsquor;|0:1|Ahn Jung-hwan|for Kim Jin-kyu', '68&amp;rsquor;|1:1|Kim Nam-il|for Lee Eul-yong', '83&amp;rsquor;|2:1|Kim Sang-sik|for Cho Jae-jin']</t>
  </si>
  <si>
    <t>['55&amp;rsquor;|1:1|Assimiou Touré|for Yao Junior Sènaya', '62&amp;rsquor;|1:1|Richmond Forson|for Ludovic Assemoassa', '86&amp;rsquor;|2:1|Yao Aziawonou|for Moustapha Salifou']</t>
  </si>
  <si>
    <t>['64&amp;rsquor;|0:0|Éric Abidal', '72&amp;rsquor;|0:0|Zinédine Zidane', '90+3&amp;rsquor;|0:0|Willy Sagnol']</t>
  </si>
  <si>
    <t>['42&amp;rsquor;|0:0|Ludovic Magnin', '45&amp;rsquor;|0:0|Marco Streller', '56&amp;rsquor;|0:0|Philipp Degen', '72&amp;rsquor;|0:0|Ricardo Cabanas', '90+3&amp;rsquor;|0:0|Alexander Frei']</t>
  </si>
  <si>
    <t>['70&amp;rsquor;|0:0|Louis Saha|for Franck Ribéry', '84&amp;rsquor;|0:0|Vikash Dhorasoo|for Sylvain Wiltord']</t>
  </si>
  <si>
    <t>['56&amp;rsquor;|0:0|Daniel Gygax|for Marco Streller', '75&amp;rsquor;|0:0|Johan Djourou|for Patrick Müller', '82&amp;rsquor;|0:0|Xavier Margairaz|for Raphaël Wicky']</t>
  </si>
  <si>
    <t>Kaká · 44</t>
  </si>
  <si>
    <t>['44&amp;rsquor;|1:0|Kaká']</t>
  </si>
  <si>
    <t>['42&amp;rsquor;|0:0|Emerson']</t>
  </si>
  <si>
    <t>['32&amp;rsquor;|0:0|Niko Kovač', '67&amp;rsquor;|1:0|Robert Kovač', '90&amp;rsquor;|1:0|Igor Tudor']</t>
  </si>
  <si>
    <t>['69&amp;rsquor;|1:0|Robinho|for Ronaldo']</t>
  </si>
  <si>
    <t>['41&amp;rsquor;|0:0|Jerko Leko|for Niko Kovač', '56&amp;rsquor;|1:0|Ivica Olić|for Ivan Klasnić']</t>
  </si>
  <si>
    <t>Tim Cahill · 84|Tim Cahill · 89|John Aloisi · 90+2</t>
  </si>
  <si>
    <t>Shunsuke Nakamura · 26</t>
  </si>
  <si>
    <t>['84&amp;rsquor;|1:1|Tim Cahill', '89&amp;rsquor;|2:1|Tim Cahill', '90+2&amp;rsquor;|3:1|John Aloisi']</t>
  </si>
  <si>
    <t>['26&amp;rsquor;|0:1|Shunsuke Nakamura']</t>
  </si>
  <si>
    <t>['33&amp;rsquor;|0:1|Vince Grella', '58&amp;rsquor;|0:1|Craig Moore', '69&amp;rsquor;|0:1|Tim Cahill', '78&amp;rsquor;|0:1|John Aloisi']</t>
  </si>
  <si>
    <t>['31&amp;rsquor;|0:1|Tsuneyasu Miyamoto', '40&amp;rsquor;|0:1|Naohiro Takahara', '68&amp;rsquor;|0:1|Teruyuki Moniwa']</t>
  </si>
  <si>
    <t>['53&amp;rsquor;|0:1|Tim Cahill|for Mark Bresciano', '61&amp;rsquor;|0:1|Joshua Kennedy|for Craig Moore', '75&amp;rsquor;|0:1|John Aloisi|for Luke Wilkshire']</t>
  </si>
  <si>
    <t>['56&amp;rsquor;|0:1|Teruyuki Moniwa|for Keisuke Tsuboi', '79&amp;rsquor;|0:1|Shinji Ono|for Atsushi Yanagisawa', '90&amp;rsquor;|2:1|Masashi Oguro|for Teruyuki Moniwa']</t>
  </si>
  <si>
    <t>Jan Koller · 5|Tomáš Rosický · 36|Tomáš Rosický · 76</t>
  </si>
  <si>
    <t>['5&amp;rsquor;|0:1|Jan Koller', '36&amp;rsquor;|0:2|Tomáš Rosický', '76&amp;rsquor;|0:3|Tomáš Rosický']</t>
  </si>
  <si>
    <t>['5&amp;rsquor;|0:1|Oguchi Onyewu', '60&amp;rsquor;|0:2|Claudio Reyna']</t>
  </si>
  <si>
    <t>['16&amp;rsquor;|0:1|David Rozehnal', '59&amp;rsquor;|0:2|Vratislav Lokvenc', '81&amp;rsquor;|0:3|Tomáš Rosický', '88&amp;rsquor;|0:3|Zdeněk Grygera']</t>
  </si>
  <si>
    <t>["46&amp;rsquor;|0:2|John O'Brien|for Steve Cherundolo", '46&amp;rsquor;|0:2|Eddie Johnson|for Pablo Mastroeni', '77&amp;rsquor;|0:3|Josh Wolff|for Brian McBride']</t>
  </si>
  <si>
    <t>['45&amp;rsquor;|0:2|Vratislav Lokvenc|for Jan Koller', '82&amp;rsquor;|0:3|Jan Polák|for Karel Poborský', '86&amp;rsquor;|0:3|Jiří Štajner|for Tomáš Rosický']</t>
  </si>
  <si>
    <t>Andrea Pirlo · 40|Vincenzo Iaquinta · 83</t>
  </si>
  <si>
    <t>['40&amp;rsquor;|1:0|Andrea Pirlo', '83&amp;rsquor;|2:0|Vincenzo Iaquinta']</t>
  </si>
  <si>
    <t>['10&amp;rsquor;|0:0|Daniele De Rossi', '62&amp;rsquor;|1:0|Mauro Camoranesi', '88&amp;rsquor;|2:0|Vincenzo Iaquinta']</t>
  </si>
  <si>
    <t>['41&amp;rsquor;|1:0|Sulley Muntari', '65&amp;rsquor;|1:0|Asamoah Gyan']</t>
  </si>
  <si>
    <t>['56&amp;rsquor;|1:0|Mauro Camoranesi|for Francesco Totti', '64&amp;rsquor;|1:0|Vincenzo Iaquinta|for Alberto Gilardino', '82&amp;rsquor;|1:0|Alessandro Del Piero|for Luca Toni']</t>
  </si>
  <si>
    <t>['46&amp;rsquor;|1:0|Illiasu Shilla|for Emmanuel Pappoe', '68&amp;rsquor;|1:0|Razak Pimpong|for Matthew Amoah', '89&amp;rsquor;|2:0|Alex Tachie-Mensah|for Asamoah Gyan']</t>
  </si>
  <si>
    <t>Arjen Robben · 18</t>
  </si>
  <si>
    <t>['18&amp;rsquor;|0:1|Arjen Robben']</t>
  </si>
  <si>
    <t>['34&amp;rsquor;|0:1|Dejan Stanković', '64&amp;rsquor;|0:1|Ognjen Koroman', '81&amp;rsquor;|0:1|Ivica Dragutinović', '90&amp;rsquor;|0:1|Goran Gavrančić']</t>
  </si>
  <si>
    <t>['56&amp;rsquor;|0:1|Giovanni van Bronckhorst', '85&amp;rsquor;|0:1|Joris Mathijsen']</t>
  </si>
  <si>
    <t>['43&amp;rsquor;|0:1|Ognjen Koroman|for Nenad Đorđević', '46&amp;rsquor;|0:1|Nikola Žigić|for Savo Milošević', '67&amp;rsquor;|0:1|Danijel Ljuboja|for Mateja Kežman']</t>
  </si>
  <si>
    <t>['60&amp;rsquor;|0:1|Denny Landzaat|for Mark van Bommel', '69&amp;rsquor;|0:1|Dirk Kuyt|for Ruud van Nistelrooy', '86&amp;rsquor;|0:1|Khalid Boulahrouz|for Joris Mathijsen']</t>
  </si>
  <si>
    <t>Omar Bravo · 28|Omar Bravo · 76|Sinha · 79</t>
  </si>
  <si>
    <t>Yahya Golmohammadi · 36</t>
  </si>
  <si>
    <t>['28&amp;rsquor;|1:0|Omar Bravo', '76&amp;rsquor;|2:1|Omar Bravo', '79&amp;rsquor;|3:1|Sinha']</t>
  </si>
  <si>
    <t>['36&amp;rsquor;|1:1|Yahya Golmohammadi']</t>
  </si>
  <si>
    <t>['18&amp;rsquor;|0:0|Gerardo Torrado', '90+1&amp;rsquor;|3:1|Carlos Salcido']</t>
  </si>
  <si>
    <t>['55&amp;rsquor;|1:1|Javad Nekounam']</t>
  </si>
  <si>
    <t>['46&amp;rsquor;|1:1|Luis Ernesto Pérez|for Gerardo Torrado', '46&amp;rsquor;|1:1|Sinha|for Guillermo Franco', '52&amp;rsquor;|1:1|Francisco Fonseca|for Jared Borgetti']</t>
  </si>
  <si>
    <t>['63&amp;rsquor;|1:1|Mehrzad Madanchi|for Ali Karimi', '81&amp;rsquor;|3:1|Arash Borhani|for Mohammad Nosrati']</t>
  </si>
  <si>
    <t>Pauleta · 4</t>
  </si>
  <si>
    <t>['4&amp;rsquor;|0:1|Pauleta']</t>
  </si>
  <si>
    <t>['28&amp;rsquor;|0:1|Jamba', '45+3&amp;rsquor;|0:1|Locó', '52&amp;rsquor;|0:1|André Macanga']</t>
  </si>
  <si>
    <t>['26&amp;rsquor;|0:1|Cristiano Ronaldo', '79&amp;rsquor;|0:1|Nuno Valente']</t>
  </si>
  <si>
    <t>['60&amp;rsquor;|0:1|Mantorras|for Akwá', '70&amp;rsquor;|0:1|Édson Nobre|for Zé Kalanga', '80&amp;rsquor;|0:1|Miloy|for Paulo Figueiredo']</t>
  </si>
  <si>
    <t>['60&amp;rsquor;|0:1|Costinha|for Cristiano Ronaldo', '72&amp;rsquor;|0:1|Maniche|for Petit', '83&amp;rsquor;|0:1|Hugo Viana|for Tiago Mendes']</t>
  </si>
  <si>
    <t>Carlos Gamarra (OG) · 3</t>
  </si>
  <si>
    <t>['19&amp;rsquor;|1:0|Steven Gerrard', '63&amp;rsquor;|1:0|Peter Crouch']</t>
  </si>
  <si>
    <t>['22&amp;rsquor;|1:0|Nelson Valdez']</t>
  </si>
  <si>
    <t>['56&amp;rsquor;|1:0|Stewart Downing|for Michael Owen', '83&amp;rsquor;|1:0|Owen Hargreaves|for Joe Cole']</t>
  </si>
  <si>
    <t>['8&amp;rsquor;|1:0|Aldo Bobadilla|for Justo Villar', '68&amp;rsquor;|1:0|Nelson Cuevas|for Carlos Bonet', '82&amp;rsquor;|1:0|Jorge Martín Núñez|for Delio Toledo']</t>
  </si>
  <si>
    <t>Avery John · 46</t>
  </si>
  <si>
    <t>['15&amp;rsquor;|0:0|Avery John', '74&amp;rsquor;|0:0|Dwight Yorke']</t>
  </si>
  <si>
    <t>['90&amp;rsquor;|0:0|Henrik Larsson']</t>
  </si>
  <si>
    <t>['52&amp;rsquor;|0:0|Cornell Glen|for Collin Samuel', '66&amp;rsquor;|0:0|Aurtis Whitley|for Densill Theobald']</t>
  </si>
  <si>
    <t>['62&amp;rsquor;|0:0|Marcus Allbäck|for Anders Svensson', '78&amp;rsquor;|0:0|Kim Källström|for Tobias Linderoth', '78&amp;rsquor;|0:0|Mattias Jonson|for Christian Wilhelmsson']</t>
  </si>
  <si>
    <t>Hernán Crespo · 24|Javier Saviola · 38</t>
  </si>
  <si>
    <t>Didier Drogba · 82</t>
  </si>
  <si>
    <t>['24&amp;rsquor;|1:0|Hernán Crespo', '38&amp;rsquor;|2:0|Javier Saviola']</t>
  </si>
  <si>
    <t>['82&amp;rsquor;|2:1|Didier Drogba']</t>
  </si>
  <si>
    <t>['41&amp;rsquor;|2:0|Javier Saviola', '48&amp;rsquor;|2:0|Gabriel Heinze', '81&amp;rsquor;|2:0|Lucho González']</t>
  </si>
  <si>
    <t>['62&amp;rsquor;|2:0|Emmanuel Eboué', '90+1&amp;rsquor;|2:1|Didier Drogba']</t>
  </si>
  <si>
    <t>['64&amp;rsquor;|2:0|Rodrigo Palacio|for Hernán Crespo', '75&amp;rsquor;|2:0|Lucho González|for Javier Saviola', '90&amp;rsquor;|2:1|Pablo Aimar|for Juan Román Riquelme']</t>
  </si>
  <si>
    <t>['55&amp;rsquor;|2:0|Aruna Dindane|for Bonaventure Kalou', '62&amp;rsquor;|2:0|Bakari Koné|for Kanga Akalé', '77&amp;rsquor;|2:0|Arouna Koné|for Abdul Kader Keïta']</t>
  </si>
  <si>
    <t>Philipp Lahm · 6|Miroslav Klose · 17|Miroslav Klose · 61|Torsten Frings · 87</t>
  </si>
  <si>
    <t>Paulo Wanchope · 12|Paulo Wanchope · 73</t>
  </si>
  <si>
    <t>['6&amp;rsquor;|1:0|Philipp Lahm', '17&amp;rsquor;|2:1|Miroslav Klose', '61&amp;rsquor;|3:1|Miroslav Klose', '87&amp;rsquor;|4:2|Torsten Frings']</t>
  </si>
  <si>
    <t>['12&amp;rsquor;|1:1|Paulo Wanchope', '73&amp;rsquor;|3:2|Paulo Wanchope']</t>
  </si>
  <si>
    <t>['30&amp;rsquor;|2:1|Danny Fonseca']</t>
  </si>
  <si>
    <t>['72&amp;rsquor;|3:1|Sebastian Kehl|for Tim Borowski', '79&amp;rsquor;|3:2|Oliver Neuville|for Miroslav Klose', '90&amp;rsquor;|4:2|David Odonkor|for Bernd Schneider']</t>
  </si>
  <si>
    <t>['66&amp;rsquor;|3:1|Jervis Drummond|for Gilberto Martínez', '78&amp;rsquor;|3:2|Christian Bolaños|for Mauricio Solís', '90&amp;rsquor;|4:2|Randall Azofeifa|for Rónald Gómez']</t>
  </si>
  <si>
    <t>Carlos Tenorio · 24|Agustín Delgado · 80</t>
  </si>
  <si>
    <t>['24&amp;rsquor;|0:1|Carlos Tenorio', '80&amp;rsquor;|0:2|Agustín Delgado']</t>
  </si>
  <si>
    <t>['37&amp;rsquor;|0:1|Euzebiusz Smolarek']</t>
  </si>
  <si>
    <t>['31&amp;rsquor;|0:1|Iván Hurtado', '70&amp;rsquor;|0:1|Édison Méndez']</t>
  </si>
  <si>
    <t>['67&amp;rsquor;|0:1|Ireneusz Jeleń|for Radosław Sobolewski', '78&amp;rsquor;|0:1|Kamil Kosowski|for Jacek Krzynówek', '83&amp;rsquor;|0:2|Paweł Brożek|for Maciej Żurawski']</t>
  </si>
  <si>
    <t>['65&amp;rsquor;|0:1|Iván Kaviedes|for Carlos Tenorio', '69&amp;rsquor;|0:1|Jorge Guagua|for Iván Hurtado', '83&amp;rsquor;|0:2|Patricio Urrutia|for Agustín Delgado']</t>
  </si>
  <si>
    <t>Rudi Völler</t>
  </si>
  <si>
    <t>Nissan Stadium, Yokohama</t>
  </si>
  <si>
    <t>Ronaldo · 67|Ronaldo · 79</t>
  </si>
  <si>
    <t>['67&amp;rsquor;|0:1|Ronaldo', '79&amp;rsquor;|0:2|Ronaldo']</t>
  </si>
  <si>
    <t>['9&amp;rsquor;|0:0|Miroslav Klose']</t>
  </si>
  <si>
    <t>['6&amp;rsquor;|0:0|Roque Júnior']</t>
  </si>
  <si>
    <t>['74&amp;rsquor;|0:1|Oliver Bierhoff|for Miroslav Klose', '77&amp;rsquor;|0:1|Gerald Asamoah|for Jens Jeremies', '84&amp;rsquor;|0:2|Christian Ziege|for Marco Bode']</t>
  </si>
  <si>
    <t>['85&amp;rsquor;|0:2|Juninho Paulista|for Ronaldinho', '90&amp;rsquor;|0:2|Denílson|for Ronaldo']</t>
  </si>
  <si>
    <t>Şenol Güneş</t>
  </si>
  <si>
    <t>Daegu Main Stadium, Daegu</t>
  </si>
  <si>
    <t>Lee Eul-yong · 9|Song Chong-gug · 90+3</t>
  </si>
  <si>
    <t>Hakan Şükür · 1|İlhan Mansız · 13|İlhan Mansız · 32</t>
  </si>
  <si>
    <t>['9&amp;rsquor;|1:1|Lee Eul-yong', '90+3&amp;rsquor;|2:3|Song Chong-gug']</t>
  </si>
  <si>
    <t>['1&amp;rsquor;|0:1|Hakan Şükür', '13&amp;rsquor;|1:2|İlhan Mansız', '32&amp;rsquor;|1:3|İlhan Mansız']</t>
  </si>
  <si>
    <t>['23&amp;rsquor;|1:2|Lee Eul-yong']</t>
  </si>
  <si>
    <t>['50&amp;rsquor;|1:3|Tugay Kerimoğlu', '83&amp;rsquor;|1:3|Rüştü Reçber']</t>
  </si>
  <si>
    <t>['46&amp;rsquor;|1:3|Kim Tae-young|for Hong Myung-bo', '65&amp;rsquor;|1:3|Cha Du-ri|for Lee Eul-yong', '79&amp;rsquor;|1:3|Choi Tae-uk|for Seol Ki-hyeon']</t>
  </si>
  <si>
    <t>['41&amp;rsquor;|1:3|Hakan Ünsal|for Emre Belözoğlu', '76&amp;rsquor;|1:3|Okan Buruk|for Ümit Davala', '86&amp;rsquor;|1:3|Tayfur Havutçu|for Yıldıray Baştürk']</t>
  </si>
  <si>
    <t>Saitama Stadium 2002, Saitama</t>
  </si>
  <si>
    <t>Ronaldo · 49</t>
  </si>
  <si>
    <t>['49&amp;rsquor;|1:0|Ronaldo']</t>
  </si>
  <si>
    <t>['41&amp;rsquor;|0:0|Gilberto Silva']</t>
  </si>
  <si>
    <t>['59&amp;rsquor;|1:0|Tugay Kerimoğlu', '90&amp;rsquor;|1:0|Hasan Şaş']</t>
  </si>
  <si>
    <t>['68&amp;rsquor;|1:0|Luizão|for Ronaldo', '75&amp;rsquor;|1:0|Denílson|for Edílson', '85&amp;rsquor;|1:0|Juliano Belletti|for José Kléberson']</t>
  </si>
  <si>
    <t>['62&amp;rsquor;|1:0|İlhan Mansız|for Emre Belözoğlu', '74&amp;rsquor;|1:0|Muzzy Izzet|for Ümit Davala', '88&amp;rsquor;|1:0|Arif Erdem|for Yıldıray Baştürk']</t>
  </si>
  <si>
    <t>Seoul World Cup Stadium, Seoul</t>
  </si>
  <si>
    <t>Michael Ballack · 75</t>
  </si>
  <si>
    <t>['75&amp;rsquor;|1:0|Michael Ballack']</t>
  </si>
  <si>
    <t>['71&amp;rsquor;|0:0|Michael Ballack', '85&amp;rsquor;|1:0|Oliver Neuville']</t>
  </si>
  <si>
    <t>['90+4&amp;rsquor;|1:0|Lee Min-sung']</t>
  </si>
  <si>
    <t>['70&amp;rsquor;|0:0|Oliver Bierhoff|for Miroslav Klose', '85&amp;rsquor;|1:0|Jens Jeremies|for Bernd Schneider', '88&amp;rsquor;|1:0|Gerald Asamoah|for Oliver Neuville']</t>
  </si>
  <si>
    <t>['54&amp;rsquor;|0:0|Ahn Jung-hwan|for Hwang Sun-hong', '56&amp;rsquor;|0:0|Lee Min-sung|for Choi Jin-cheul', '80&amp;rsquor;|1:0|Seol Ki-hyeon|for Hong Myung-bo']</t>
  </si>
  <si>
    <t>José Antonio Camacho</t>
  </si>
  <si>
    <t>Guus Hiddink Stadium, Gwangju</t>
  </si>
  <si>
    <t>(3) 0–0 (5)</t>
  </si>
  <si>
    <t>Korea Republic won on penalty kicks following extra time</t>
  </si>
  <si>
    <t>['2|1:1|Fernando Hierro', '4|2:2|Rubén Baraja', '6|3:3|Xavi']</t>
  </si>
  <si>
    <t>['1|0:1|Hwang Sun-hong', '3|1:2|Park Ji-sung', '5|2:3|Seol Ki-hyeon', '7|3:4|Ahn Jung-hwan', '9|3:5|Hong Myung-bo']</t>
  </si>
  <si>
    <t>['8|3:4|Joaquín']</t>
  </si>
  <si>
    <t>['53&amp;rsquor;|0:0|Javier de Pedro', '111&amp;rsquor;|0:0|Fernando Morientes']</t>
  </si>
  <si>
    <t>['52&amp;rsquor;|0:0|Yoo Sang-chul']</t>
  </si>
  <si>
    <t>['70&amp;rsquor;|0:0|Gaizka Mendieta|for Javier de Pedro', '80&amp;rsquor;|0:0|Luis Enrique|for Juan Carlos Valerón', '93&amp;rsquor;|0:0|Xavi|for Iván Helguera']</t>
  </si>
  <si>
    <t>['32&amp;rsquor;|0:0|Lee Eul-yong|for Kim Nam-il', '60&amp;rsquor;|0:0|Lee Chun-soo|for Yoo Sang-chul', '90&amp;rsquor;|0:0|Hwang Sun-hong|for Kim Tae-young']</t>
  </si>
  <si>
    <t>Bruno Metsu</t>
  </si>
  <si>
    <t>Yanmar Stadium Nagai, Osaka</t>
  </si>
  <si>
    <t>İlhan Mansız · 94</t>
  </si>
  <si>
    <t>['94&amp;rsquor;|0:1|İlhan Mansız']</t>
  </si>
  <si>
    <t>['12&amp;rsquor;|0:0|Omar Daf', '63&amp;rsquor;|0:0|Aliou Cissé']</t>
  </si>
  <si>
    <t>['22&amp;rsquor;|0:0|Emre Belözoğlu', '87&amp;rsquor;|0:0|İlhan Mansız']</t>
  </si>
  <si>
    <t>['67&amp;rsquor;|0:0|İlhan Mansız|for Hakan Şükür', '91&amp;rsquor;|0:0|Arif Erdem|for Emre Belözoğlu']</t>
  </si>
  <si>
    <t>Daejeon World Cup Stadium, Daejeon</t>
  </si>
  <si>
    <t>Michael Owen · 23</t>
  </si>
  <si>
    <t>Rivaldo · 45+2|Ronaldinho · 50</t>
  </si>
  <si>
    <t>['23&amp;rsquor;|1:0|Michael Owen']</t>
  </si>
  <si>
    <t>['45+2&amp;rsquor;|1:1|Rivaldo', '50&amp;rsquor;|1:2|Ronaldinho']</t>
  </si>
  <si>
    <t>Ronaldinho · 57</t>
  </si>
  <si>
    <t>['75&amp;rsquor;|1:2|Paul Scholes', '85&amp;rsquor;|1:2|Rio Ferdinand']</t>
  </si>
  <si>
    <t>['56&amp;rsquor;|1:2|Kieron Dyer|for Trevor Sinclair', '79&amp;rsquor;|1:2|Darius Vassell|for Michael Owen', '80&amp;rsquor;|1:2|Teddy Sheringham|for Andy Cole']</t>
  </si>
  <si>
    <t>['70&amp;rsquor;|1:2|Edílson|for Ronaldo']</t>
  </si>
  <si>
    <t>Munsu Cup Stadium, Ulsan</t>
  </si>
  <si>
    <t>Michael Ballack · 39</t>
  </si>
  <si>
    <t>['39&amp;rsquor;|1:0|Michael Ballack']</t>
  </si>
  <si>
    <t>['66&amp;rsquor;|1:0|Sebastian Kehl', '68&amp;rsquor;|1:0|Jens Jeremies']</t>
  </si>
  <si>
    <t>['40&amp;rsquor;|1:0|Eddie Lewis', '41&amp;rsquor;|1:0|Eddie Pope', '68&amp;rsquor;|1:0|Claudio Reyna', '69&amp;rsquor;|1:0|Pablo Mastroeni', '70&amp;rsquor;|1:0|Gregg Berhalter']</t>
  </si>
  <si>
    <t>['60&amp;rsquor;|1:0|Jens Jeremies|for Bernd Schneider', '80&amp;rsquor;|1:0|Marco Bode|for Oliver Neuville', '88&amp;rsquor;|1:0|Oliver Bierhoff|for Miroslav Klose']</t>
  </si>
  <si>
    <t>['8&amp;rsquor;|0:0|Earnie Stewart|for Pablo Mastroeni', '58&amp;rsquor;|1:0|Clint Mathis|for Brian McBride', '65&amp;rsquor;|1:0|Cobi Jones|for Frankie Hejduk']</t>
  </si>
  <si>
    <t>Philippe Troussier</t>
  </si>
  <si>
    <t>Miyagi Stadium, Rifu</t>
  </si>
  <si>
    <t>Ümit Davala · 12</t>
  </si>
  <si>
    <t>['12&amp;rsquor;|0:1|Ümit Davala']</t>
  </si>
  <si>
    <t>['45&amp;rsquor;|0:1|Kazuyuki Toda']</t>
  </si>
  <si>
    <t>['21&amp;rsquor;|0:1|Alpay Özalan', '44&amp;rsquor;|0:1|Ergün Penbe', '90+1&amp;rsquor;|0:1|Hakan Şükür']</t>
  </si>
  <si>
    <t>['46&amp;rsquor;|0:1|Daisuke Ichikawa|for Junichi Inamoto', '46&amp;rsquor;|0:1|Takayuki Suzuki|for Alessandro Santos', '86&amp;rsquor;|0:1|Hiroaki Morishima|for Daisuke Ichikawa']</t>
  </si>
  <si>
    <t>['74&amp;rsquor;|0:1|Nihat Kahveci|for Ümit Davala', '85&amp;rsquor;|0:1|Tayfur Havutçu|for Hasan Şaş', '90&amp;rsquor;|0:1|İlhan Mansız|for Yıldıray Baştürk']</t>
  </si>
  <si>
    <t>Giovanni Trapattoni</t>
  </si>
  <si>
    <t>Seol Ki-hyeon · 88|Ahn Jung-hwan · 117</t>
  </si>
  <si>
    <t>Christian Vieri · 18</t>
  </si>
  <si>
    <t>['88&amp;rsquor;|1:1|Seol Ki-hyeon', '117&amp;rsquor;|2:1|Ahn Jung-hwan']</t>
  </si>
  <si>
    <t>['18&amp;rsquor;|0:1|Christian Vieri']</t>
  </si>
  <si>
    <t>Francesco Totti · 103</t>
  </si>
  <si>
    <t>['17&amp;rsquor;|0:0|Kim Tae-young', '80&amp;rsquor;|0:1|Song Chong-gug', '99&amp;rsquor;|1:1|Lee Chun-soo', '117&amp;rsquor;|1:1|Choi Jin-cheul']</t>
  </si>
  <si>
    <t>['4&amp;rsquor;|0:0|Francesco Coco', '22&amp;rsquor;|0:1|Francesco Totti', '55&amp;rsquor;|0:1|Damiano Tommasi', '59&amp;rsquor;|0:1|Cristiano Zanetti']</t>
  </si>
  <si>
    <t>['63&amp;rsquor;|0:1|Hwang Sun-hong|for Kim Tae-young', '68&amp;rsquor;|0:1|Lee Chun-soo|for Kim Nam-il', '83&amp;rsquor;|0:1|Cha Du-ri|for Hong Myung-bo']</t>
  </si>
  <si>
    <t>['61&amp;rsquor;|0:1|Gennaro Gattuso|for Alessandro Del Piero', '72&amp;rsquor;|0:1|Angelo Di Livio|for Gianluca Zambrotta']</t>
  </si>
  <si>
    <t>Jeonju World Cup Stadium, Jeonju</t>
  </si>
  <si>
    <t>Brian McBride · 8|Landon Donovan · 65</t>
  </si>
  <si>
    <t>['8&amp;rsquor;|0:1|Brian McBride', '65&amp;rsquor;|0:2|Landon Donovan']</t>
  </si>
  <si>
    <t>Rafael Márquez · 88</t>
  </si>
  <si>
    <t>['37&amp;rsquor;|0:1|Manuel Vidrio', '67&amp;rsquor;|0:2|Luis Hernández', '70&amp;rsquor;|0:2|Cuauhtémoc Blanco', '81&amp;rsquor;|0:2|Alberto García Aspe', '84&amp;rsquor;|0:2|Salvador Carmona']</t>
  </si>
  <si>
    <t>['26&amp;rsquor;|0:1|Eddie Pope', '47&amp;rsquor;|0:1|Pablo Mastroeni', '50&amp;rsquor;|0:1|Josh Wolff', '53&amp;rsquor;|0:1|Gregg Berhalter', '83&amp;rsquor;|0:2|Brad Friedel']</t>
  </si>
  <si>
    <t>['28&amp;rsquor;|0:1|Luis Hernández|for Ramón Morales', '46&amp;rsquor;|0:1|Sigifredo Mercado|for Manuel Vidrio', '78&amp;rsquor;|0:2|Alberto García Aspe|for Gerardo Torrado']</t>
  </si>
  <si>
    <t>['59&amp;rsquor;|0:1|Earnie Stewart|for Josh Wolff', '79&amp;rsquor;|0:2|Cobi Jones|for Brian McBride', '90&amp;rsquor;|0:2|Carlos Llamosa|for Pablo Mastroeni']</t>
  </si>
  <si>
    <t>Robert Waseige</t>
  </si>
  <si>
    <t>NOEVIR Stadium Kobe, Kobe</t>
  </si>
  <si>
    <t>Rivaldo · 67|Ronaldo · 87</t>
  </si>
  <si>
    <t>['67&amp;rsquor;|1:0|Rivaldo', '87&amp;rsquor;|2:0|Ronaldo']</t>
  </si>
  <si>
    <t>['28&amp;rsquor;|0:0|Roberto Carlos']</t>
  </si>
  <si>
    <t>['24&amp;rsquor;|0:0|Yves Vanderhaeghe']</t>
  </si>
  <si>
    <t>['57&amp;rsquor;|0:0|Denílson|for Juninho Paulista', '81&amp;rsquor;|1:0|José Kléberson|for Ronaldinho', '90&amp;rsquor;|2:0|Ricardinho|for Rivaldo']</t>
  </si>
  <si>
    <t>['72&amp;rsquor;|1:0|Wesley Sonck|for Jacky Peeters']</t>
  </si>
  <si>
    <t>Ōita Bank Dome, Ōita</t>
  </si>
  <si>
    <t>Henrik Larsson · 11</t>
  </si>
  <si>
    <t>Henri Camara · 37|Henri Camara · 104</t>
  </si>
  <si>
    <t>['11&amp;rsquor;|1:0|Henrik Larsson']</t>
  </si>
  <si>
    <t>['37&amp;rsquor;|1:1|Henri Camara', '104&amp;rsquor;|1:2|Henri Camara']</t>
  </si>
  <si>
    <t>['73&amp;rsquor;|1:1|Ferdinand Coly', '94&amp;rsquor;|1:1|Pape Thiaw']</t>
  </si>
  <si>
    <t>['65&amp;rsquor;|1:1|Andreas Andersson|for Marcus Allbäck', '76&amp;rsquor;|1:1|Zlatan Ibrahimović|for Niclas Alexandersson', '99&amp;rsquor;|1:1|Mattias Jonson|for Magnus Svensson']</t>
  </si>
  <si>
    <t>['66&amp;rsquor;|1:1|Habib Beye|for Pape Malick Diop']</t>
  </si>
  <si>
    <t>Mick McCarthy</t>
  </si>
  <si>
    <t>Suwon World Cup Stadium, Suwon</t>
  </si>
  <si>
    <t>Spain won on penalty kicks following extra time</t>
  </si>
  <si>
    <t>Fernando Morientes · 8</t>
  </si>
  <si>
    <t>['8&amp;rsquor;|1:0|Fernando Morientes']</t>
  </si>
  <si>
    <t>Robbie Keane (P) · 90</t>
  </si>
  <si>
    <t>['2|1:1|Fernando Hierro', '4|2:1|Rubén Baraja', '10|3:2|Gaizka Mendieta']</t>
  </si>
  <si>
    <t>['1|0:1|Robbie Keane', '9|2:2|Steve Finnan']</t>
  </si>
  <si>
    <t>['6|2:1|Juanfran', '8|2:1|Juan Carlos Valerón']</t>
  </si>
  <si>
    <t>['3|1:1|Matt Holland', '5|2:1|David Connolly', '7|2:1|Kevin Kilbane']</t>
  </si>
  <si>
    <t>['62&amp;rsquor;|1:0|Juanfran', '87&amp;rsquor;|1:0|Rubén Baraja', '89&amp;rsquor;|1:0|Fernando Hierro']</t>
  </si>
  <si>
    <t>['66&amp;rsquor;|1:0|Gaizka Mendieta|for Javier de Pedro', '72&amp;rsquor;|1:0|David Albelda|for Fernando Morientes', '80&amp;rsquor;|1:0|Albert Luque|for Raúl']</t>
  </si>
  <si>
    <t>['50&amp;rsquor;|1:0|Kenny Cunningham|for Steve Staunton', '55&amp;rsquor;|1:0|Niall Quinn|for Gary Kelly', '82&amp;rsquor;|1:0|David Connolly|for Ian Harte']</t>
  </si>
  <si>
    <t>Cesare Maldini</t>
  </si>
  <si>
    <t>Jeju World Cup Stadium, Jeju</t>
  </si>
  <si>
    <t>Oliver Neuville · 88</t>
  </si>
  <si>
    <t>['88&amp;rsquor;|1:0|Oliver Neuville']</t>
  </si>
  <si>
    <t>Roberto Acuña · 90+2</t>
  </si>
  <si>
    <t>['35&amp;rsquor;|0:0|Bernd Schneider', '71&amp;rsquor;|0:0|Frank Baumann', '90+2&amp;rsquor;|1:0|Michael Ballack']</t>
  </si>
  <si>
    <t>['26&amp;rsquor;|0:0|Roberto Acuña', '50&amp;rsquor;|0:0|José Cardozo']</t>
  </si>
  <si>
    <t>['46&amp;rsquor;|0:0|Frank Baumann|for Christoph Metzelder', '46&amp;rsquor;|0:0|Sebastian Kehl|for Marko Rehmer', '90&amp;rsquor;|1:0|Gerald Asamoah|for Oliver Neuville']</t>
  </si>
  <si>
    <t>['29&amp;rsquor;|0:0|Jorge Luis Campos|for Roque Santa Cruz', '84&amp;rsquor;|0:0|Diego Gavilán|for Carlos Bonet', '90&amp;rsquor;|1:0|Nelson Cuevas|for Estanislao Struway']</t>
  </si>
  <si>
    <t>Denka Big Swan Stadium, Niigata</t>
  </si>
  <si>
    <t>Rio Ferdinand · 5|Michael Owen · 22|Emile Heskey · 44</t>
  </si>
  <si>
    <t>['5&amp;rsquor;|0:1|Rio Ferdinand', '22&amp;rsquor;|0:2|Michael Owen', '44&amp;rsquor;|0:3|Emile Heskey']</t>
  </si>
  <si>
    <t>['24&amp;rsquor;|0:2|Stig Tøfting']</t>
  </si>
  <si>
    <t>['50&amp;rsquor;|0:3|Danny Mills']</t>
  </si>
  <si>
    <t>['7&amp;rsquor;|0:1|Kasper Bøgelund|for Thomas Helveg', '58&amp;rsquor;|0:3|Claus Jensen|for Stig Tøfting']</t>
  </si>
  <si>
    <t>['46&amp;rsquor;|0:3|Robbie Fowler|for Michael Owen', '49&amp;rsquor;|0:3|Kieron Dyer|for Paul Scholes', '69&amp;rsquor;|0:3|Teddy Sheringham|for Emile Heskey']</t>
  </si>
  <si>
    <t>Ammar Souayah</t>
  </si>
  <si>
    <t>Hiroaki Morishima · 48|Hidetoshi Nakata · 75</t>
  </si>
  <si>
    <t>['48&amp;rsquor;|0:1|Hiroaki Morishima', '75&amp;rsquor;|0:2|Hidetoshi Nakata']</t>
  </si>
  <si>
    <t>['21&amp;rsquor;|0:0|Riadh Bouazizi', '81&amp;rsquor;|0:2|Khaled Badra']</t>
  </si>
  <si>
    <t>['46&amp;rsquor;|0:0|Zoubeir Baya|for Mourad Melki', '61&amp;rsquor;|0:1|Imed Mhedhebi|for José Clayton', '78&amp;rsquor;|0:2|Ali Zitouni|for Raouf Bouzaiene']</t>
  </si>
  <si>
    <t>['46&amp;rsquor;|0:0|Daisuke Ichikawa|for Junichi Inamoto', '46&amp;rsquor;|0:0|Hiroaki Morishima|for Atsushi Yanagisawa', '84&amp;rsquor;|0:2|Mitsuo Ogasawara|for Hidetoshi Nakata']</t>
  </si>
  <si>
    <t>Oleg Romantsev</t>
  </si>
  <si>
    <t>Shizuoka Stadium Ecopa, Fukuroi</t>
  </si>
  <si>
    <t>Johan Walem · 7|Wesley Sonck · 78|Marc Wilmots · 82</t>
  </si>
  <si>
    <t>Vladimir Beschastnykh · 52|Dmitri Sychev · 88</t>
  </si>
  <si>
    <t>['7&amp;rsquor;|1:0|Johan Walem', '78&amp;rsquor;|2:1|Wesley Sonck', '82&amp;rsquor;|3:1|Marc Wilmots']</t>
  </si>
  <si>
    <t>['52&amp;rsquor;|1:1|Vladimir Beschastnykh', '88&amp;rsquor;|3:2|Dmitri Sychev']</t>
  </si>
  <si>
    <t>['39&amp;rsquor;|1:0|Yves Vanderhaeghe']</t>
  </si>
  <si>
    <t>['12&amp;rsquor;|1:0|Andrei Solomatin', '14&amp;rsquor;|1:0|Alexey Smertin', '64&amp;rsquor;|1:1|Dmitri Alenichev', '84&amp;rsquor;|3:1|Dmitri Sennikov']</t>
  </si>
  <si>
    <t>['70&amp;rsquor;|1:1|Wesley Sonck|for Mbo Mpenza', '78&amp;rsquor;|1:1|Timmy Simons|for Gert Verheyen', '90&amp;rsquor;|3:2|Eric Van Meir|for Glen De Boeck']</t>
  </si>
  <si>
    <t>['34&amp;rsquor;|1:0|Dmitri Sychev|for Alexey Smertin', '43&amp;rsquor;|1:0|Dmitri Sennikov|for Yuriy Nikiforov', '82&amp;rsquor;|2:1|Aleksandr Kerzhakov|for Valeri Karpin']</t>
  </si>
  <si>
    <t>António Luís Alves Ribeiro Oliveira</t>
  </si>
  <si>
    <t>Incheon Munhak Stadium, Incheon</t>
  </si>
  <si>
    <t>Park Ji-sung · 70</t>
  </si>
  <si>
    <t>['70&amp;rsquor;|0:1|Park Ji-sung']</t>
  </si>
  <si>
    <t>João Pinto · 27</t>
  </si>
  <si>
    <t>Beto · 66</t>
  </si>
  <si>
    <t>['22&amp;rsquor;|0:0|Beto', '83&amp;rsquor;|0:1|Jorge Costa']</t>
  </si>
  <si>
    <t>['24&amp;rsquor;|0:0|Lee Young-pyo', '57&amp;rsquor;|0:0|Seol Ki-hyeon', '74&amp;rsquor;|0:1|Kim Nam-il', '90+3&amp;rsquor;|0:1|Ahn Jung-hwan']</t>
  </si>
  <si>
    <t>['69&amp;rsquor;|0:0|Jorge Andrade|for Pauleta', '73&amp;rsquor;|0:1|Abel Xavier|for Rui Jorge', '77&amp;rsquor;|0:1|Nuno Gomes|for Petit']</t>
  </si>
  <si>
    <t>['90&amp;rsquor;|0:1|Lee Chun-soo|for Ahn Jung-hwan']</t>
  </si>
  <si>
    <t>Jerzy Engel</t>
  </si>
  <si>
    <t>Emmanuel Olisadebe · 3|Paweł Kryszałowicz · 5|Marcin Żewłakow · 66</t>
  </si>
  <si>
    <t>Landon Donovan · 83</t>
  </si>
  <si>
    <t>['3&amp;rsquor;|1:0|Emmanuel Olisadebe', '5&amp;rsquor;|2:0|Paweł Kryszałowicz', '66&amp;rsquor;|3:0|Marcin Żewłakow']</t>
  </si>
  <si>
    <t>['83&amp;rsquor;|3:1|Landon Donovan']</t>
  </si>
  <si>
    <t>['44&amp;rsquor;|2:0|Radosław Majdan', '46&amp;rsquor;|2:0|Marek Koźmiński', '63&amp;rsquor;|2:0|Cezary Kucharski', '86&amp;rsquor;|3:1|Emmanuel Olisadebe']</t>
  </si>
  <si>
    <t>['72&amp;rsquor;|3:0|Frankie Hejduk']</t>
  </si>
  <si>
    <t>['65&amp;rsquor;|2:0|Marcin Żewłakow|for Cezary Kucharski', '86&amp;rsquor;|3:1|Paweł Sibik|for Emmanuel Olisadebe', '89&amp;rsquor;|3:1|Tomasz Wałdoch|for Tomasz Kłos']</t>
  </si>
  <si>
    <t>['36&amp;rsquor;|2:0|DaMarcus Beasley|for Jeff Agoos', '58&amp;rsquor;|2:0|Joe-Max Moore|for Brian McBride', '68&amp;rsquor;|3:0|Cobi Jones|for Earnie Stewart']</t>
  </si>
  <si>
    <t>Paulo Wanchope · 39|Rónald Gómez · 56</t>
  </si>
  <si>
    <t>Ronaldo · 10|Ronaldo · 13|Edmílson · 38|Rivaldo · 62|Júnior · 64</t>
  </si>
  <si>
    <t>['39&amp;rsquor;|1:3|Paulo Wanchope', '56&amp;rsquor;|2:3|Rónald Gómez']</t>
  </si>
  <si>
    <t>['10&amp;rsquor;|0:1|Ronaldo', '13&amp;rsquor;|0:2|Ronaldo', '38&amp;rsquor;|0:3|Edmílson', '62&amp;rsquor;|2:4|Rivaldo', '64&amp;rsquor;|2:5|Júnior']</t>
  </si>
  <si>
    <t>['90+3&amp;rsquor;|2:5|Cafú']</t>
  </si>
  <si>
    <t>['46&amp;rsquor;|1:3|Steven Bryce|for Harold Wallace', '65&amp;rsquor;|2:5|Rolando Fonseca|for Mauricio Solís', '74&amp;rsquor;|2:5|Winston Parks|for Gilberto Martínez']</t>
  </si>
  <si>
    <t>['57&amp;rsquor;|2:3|José Kléberson|for Edílson', '61&amp;rsquor;|2:3|Ricardinho|for Juninho Paulista', '72&amp;rsquor;|2:5|Kaká|for Rivaldo']</t>
  </si>
  <si>
    <t>Bora Milutinović</t>
  </si>
  <si>
    <t>Hasan Şaş · 6|Bülent Korkmaz · 9|Ümit Davala · 85</t>
  </si>
  <si>
    <t>['6&amp;rsquor;|1:0|Hasan Şaş', '9&amp;rsquor;|2:0|Bülent Korkmaz', '85&amp;rsquor;|3:0|Ümit Davala']</t>
  </si>
  <si>
    <t>Shao Jiayi · 58</t>
  </si>
  <si>
    <t>['19&amp;rsquor;|2:0|Emre Aşık', '30&amp;rsquor;|2:0|Emre Belözoğlu', '81&amp;rsquor;|2:0|Hasan Şaş']</t>
  </si>
  <si>
    <t>['45+1&amp;rsquor;|2:0|Yang Pu', '62&amp;rsquor;|2:0|Li Weifeng']</t>
  </si>
  <si>
    <t>['35&amp;rsquor;|2:0|Ömer Çatkıç|for Rüştü Reçber', '70&amp;rsquor;|2:0|İlhan Mansız|for Yıldıray Baştürk', '84&amp;rsquor;|2:0|Tayfur Havutçu|for Tugay Kerimoğlu']</t>
  </si>
  <si>
    <t>['46&amp;rsquor;|2:0|Shao Jiayi|for Wu Chengying', '73&amp;rsquor;|2:0|Qu Bo|for Hao Haidong', '73&amp;rsquor;|2:0|Yu Genwei|for Yang Chen']</t>
  </si>
  <si>
    <t>Jared Borgetti · 34</t>
  </si>
  <si>
    <t>Alessandro Del Piero · 85</t>
  </si>
  <si>
    <t>['34&amp;rsquor;|1:0|Jared Borgetti']</t>
  </si>
  <si>
    <t>['85&amp;rsquor;|1:1|Alessandro Del Piero']</t>
  </si>
  <si>
    <t>['2&amp;rsquor;|0:0|Jesús Arellano', '84&amp;rsquor;|1:0|Óscar Pérez Rojas']</t>
  </si>
  <si>
    <t>['5&amp;rsquor;|0:0|Fabio Cannavaro', '10&amp;rsquor;|0:0|Christian Panucci', '43&amp;rsquor;|1:0|Francesco Totti', '55&amp;rsquor;|1:0|Gianluca Zambrotta', '57&amp;rsquor;|1:0|Vincenzo Montella']</t>
  </si>
  <si>
    <t>['76&amp;rsquor;|1:0|Gabriel Caballero|for Johan Rodríguez', '76&amp;rsquor;|1:0|Rafael García Torres|for Ramón Morales', '80&amp;rsquor;|1:0|Francisco Palencia|for Jared Borgetti']</t>
  </si>
  <si>
    <t>['55&amp;rsquor;|1:0|Vincenzo Montella|for Filippo Inzaghi', '63&amp;rsquor;|1:0|Francesco Coco|for Christian Panucci', '78&amp;rsquor;|1:0|Alessandro Del Piero|for Francesco Totti']</t>
  </si>
  <si>
    <t>Mirko Jozić</t>
  </si>
  <si>
    <t>Édison Méndez · 48</t>
  </si>
  <si>
    <t>['48&amp;rsquor;|1:0|Édison Méndez']</t>
  </si>
  <si>
    <t>['86&amp;rsquor;|1:0|Cléber Chalá']</t>
  </si>
  <si>
    <t>['72&amp;rsquor;|1:0|Stjepan Tomas', '90+2&amp;rsquor;|1:0|Josip Šimunić']</t>
  </si>
  <si>
    <t>['40&amp;rsquor;|0:0|Álex Aguinaga|for Alfonso Obregón', '76&amp;rsquor;|1:0|Iván Kaviedes|for Carlos Tenorio']</t>
  </si>
  <si>
    <t>['52&amp;rsquor;|1:0|Davor Vugrinec|for Dario Šimić', '59&amp;rsquor;|1:0|Jurica Vranješ|for Niko Kovač', '68&amp;rsquor;|1:0|Mario Stanić|for Daniel Šarić']</t>
  </si>
  <si>
    <t>Anders Svensson · 59</t>
  </si>
  <si>
    <t>Hernán Crespo · 88</t>
  </si>
  <si>
    <t>['59&amp;rsquor;|1:0|Anders Svensson']</t>
  </si>
  <si>
    <t>['88&amp;rsquor;|1:1|Hernán Crespo']</t>
  </si>
  <si>
    <t>['65&amp;rsquor;|1:0|Magnus Svensson', '78&amp;rsquor;|1:0|Henrik Larsson']</t>
  </si>
  <si>
    <t>['55&amp;rsquor;|0:0|José Chamot', '58&amp;rsquor;|0:0|Matías Almeyda', '75&amp;rsquor;|1:0|Kily González']</t>
  </si>
  <si>
    <t>['46&amp;rsquor;|0:0|Andreas Andersson|for Marcus Allbäck', '68&amp;rsquor;|1:0|Mattias Jonson|for Anders Svensson', '88&amp;rsquor;|1:0|Zlatan Ibrahimović|for Henrik Larsson']</t>
  </si>
  <si>
    <t>['58&amp;rsquor;|0:0|Hernán Crespo|for Gabriel Batistuta', '63&amp;rsquor;|1:0|Juan Sebastián Verón|for Matías Almeyda', '63&amp;rsquor;|1:0|Kily González|for Juan Pablo Sorín']</t>
  </si>
  <si>
    <t>Festus Onigbinde</t>
  </si>
  <si>
    <t>['86&amp;rsquor;|0:0|Pius Ikedia|for Femi Opabunmi']</t>
  </si>
  <si>
    <t>['69&amp;rsquor;|0:0|Teddy Sheringham|for Emile Heskey', '77&amp;rsquor;|0:0|Darius Vassell|for Michael Owen', '85&amp;rsquor;|0:0|Wayne Bridge|for Andy Cole']</t>
  </si>
  <si>
    <t>Jomo Sono</t>
  </si>
  <si>
    <t>Benni McCarthy · 31|Lucas Radebe · 53</t>
  </si>
  <si>
    <t>Raúl · 4|Gaizka Mendieta · 45+1|Raúl · 56</t>
  </si>
  <si>
    <t>['31&amp;rsquor;|1:1|Benni McCarthy', '53&amp;rsquor;|2:2|Lucas Radebe']</t>
  </si>
  <si>
    <t>['4&amp;rsquor;|0:1|Raúl', '45+1&amp;rsquor;|1:2|Gaizka Mendieta', '56&amp;rsquor;|2:3|Raúl']</t>
  </si>
  <si>
    <t>['16&amp;rsquor;|0:1|Cyril Nzama', '67&amp;rsquor;|2:3|Bradley Carnell', '69&amp;rsquor;|2:3|Siyabonga Nomvethe', '81&amp;rsquor;|2:3|Aaron Mokoena']</t>
  </si>
  <si>
    <t>['74&amp;rsquor;|2:3|George Koumantarakis|for Siyabonga Nomvethe', '80&amp;rsquor;|2:3|Thabang Molefe|for Lucas Radebe', '83&amp;rsquor;|2:3|Jacob Lekgetho|for Quinton Fortune']</t>
  </si>
  <si>
    <t>['53&amp;rsquor;|1:2|Sergio|for David Albelda', '77&amp;rsquor;|2:3|Albert Luque|for Fernando Morientes', '82&amp;rsquor;|2:3|Luis Enrique|for Raúl']</t>
  </si>
  <si>
    <t>Srečko Katanec</t>
  </si>
  <si>
    <t>Milenko Ačimovič · 45+1</t>
  </si>
  <si>
    <t>Nelson Cuevas · 65|Jorge Luis Campos · 73|Nelson Cuevas · 84</t>
  </si>
  <si>
    <t>['45+1&amp;rsquor;|1:0|Milenko Ačimovič']</t>
  </si>
  <si>
    <t>['65&amp;rsquor;|1:1|Nelson Cuevas', '73&amp;rsquor;|1:2|Jorge Luis Campos', '84&amp;rsquor;|1:3|Nelson Cuevas']</t>
  </si>
  <si>
    <t>Nastja Čeh · 81</t>
  </si>
  <si>
    <t>Carlos Paredes · 22</t>
  </si>
  <si>
    <t>['16&amp;rsquor;|0:0|Miran Pavlin', '68&amp;rsquor;|1:1|Amir Karić', '69&amp;rsquor;|1:1|Mladen Rudonja', '79&amp;rsquor;|1:2|Željko Milinovič']</t>
  </si>
  <si>
    <t>['4&amp;rsquor;|0:0|Carlos Paredes']</t>
  </si>
  <si>
    <t>['40&amp;rsquor;|0:0|Mladen Rudonja|for Miran Pavlin', '62&amp;rsquor;|1:0|Nastja Čeh|for Milenko Ačimovič', '77&amp;rsquor;|1:2|Senad Tiganj|for Milan Osterc']</t>
  </si>
  <si>
    <t>['53&amp;rsquor;|1:0|Jorge Luis Campos|for Guido Alvarenga', '61&amp;rsquor;|1:0|Nelson Cuevas|for José Cardozo', '90&amp;rsquor;|1:3|Juan Carlos Franco|for Nelson Cuevas']</t>
  </si>
  <si>
    <t>Dennis Rommedahl · 22|Jon Dahl Tomasson · 67</t>
  </si>
  <si>
    <t>['22&amp;rsquor;|1:0|Dennis Rommedahl', '67&amp;rsquor;|2:0|Jon Dahl Tomasson']</t>
  </si>
  <si>
    <t>['27&amp;rsquor;|1:0|Christian Poulsen', '71&amp;rsquor;|2:0|Niclas Jensen']</t>
  </si>
  <si>
    <t>['8&amp;rsquor;|0:0|Christophe Dugarry']</t>
  </si>
  <si>
    <t>['46&amp;rsquor;|1:0|Jesper Grønkjær|for Martin Jørgensen', '76&amp;rsquor;|2:0|Kasper Bøgelund|for Christian Poulsen', '79&amp;rsquor;|2:0|Brian Steen Nielsen|for Stig Tøfting']</t>
  </si>
  <si>
    <t>['54&amp;rsquor;|1:0|Djibril Cissé|for Christophe Dugarry', '71&amp;rsquor;|2:0|Johan Micoud|for Patrick Vieira', '83&amp;rsquor;|2:0|Youri Djorkaeff|for Sylvain Wiltord']</t>
  </si>
  <si>
    <t>Víctor Púa</t>
  </si>
  <si>
    <t>Khalilou Fadiga · 20|Papa Bouba Diop · 26|Papa Bouba Diop · 38</t>
  </si>
  <si>
    <t>Richard Morales · 46|Diego Forlán · 69</t>
  </si>
  <si>
    <t>['20&amp;rsquor;|1:0|Khalilou Fadiga', '26&amp;rsquor;|2:0|Papa Bouba Diop', '38&amp;rsquor;|3:0|Papa Bouba Diop']</t>
  </si>
  <si>
    <t>['46&amp;rsquor;|3:1|Richard Morales', '69&amp;rsquor;|3:2|Diego Forlán']</t>
  </si>
  <si>
    <t>Álvaro Recoba (P) · 88</t>
  </si>
  <si>
    <t>['2&amp;rsquor;|0:0|Henri Camara', '4&amp;rsquor;|0:0|Omar Daf', '39&amp;rsquor;|3:0|Ferdinand Coly', '69&amp;rsquor;|3:1|Papa Bouba Diop', '82&amp;rsquor;|3:2|El Hadji Diouf', '87&amp;rsquor;|3:2|Khalilou Fadiga', '87&amp;rsquor;|3:2|Habib Beye']</t>
  </si>
  <si>
    <t>['8&amp;rsquor;|0:0|Marcelo Romero', '19&amp;rsquor;|0:0|Fabián Carini', '35&amp;rsquor;|2:0|Pablo García', '40&amp;rsquor;|3:0|Darío Rodríguez', '82&amp;rsquor;|3:2|Paolo Montero']</t>
  </si>
  <si>
    <t>['63&amp;rsquor;|3:1|Habib Beye|for Ferdinand Coly', "67&amp;rsquor;|3:1|Moussa N'Diaye|for Henri Camara", "76&amp;rsquor;|3:2|Amdy Faye|for Alassane N'Dour"]</t>
  </si>
  <si>
    <t>['32&amp;rsquor;|2:0|Mario Regueiro|for Gonzalo Sorondo', '46&amp;rsquor;|3:1|Richard Morales|for Sebastián Abreu', '46&amp;rsquor;|3:1|Diego Forlán|for Marcelo Romero']</t>
  </si>
  <si>
    <t>Nasser Al-Johar</t>
  </si>
  <si>
    <t>Robbie Keane · 7|Gary Breen · 61|Damien Duff · 87</t>
  </si>
  <si>
    <t>['7&amp;rsquor;|0:1|Robbie Keane', '61&amp;rsquor;|0:2|Gary Breen', '87&amp;rsquor;|0:3|Damien Duff']</t>
  </si>
  <si>
    <t>['61&amp;rsquor;|0:1|Nawaf Al-Temyat']</t>
  </si>
  <si>
    <t>['70&amp;rsquor;|0:2|Steve Staunton']</t>
  </si>
  <si>
    <t>['67&amp;rsquor;|0:2|Mohammad Al-Shalhoub|for Abdulaziz Khathran', '68&amp;rsquor;|0:2|Abdullah Jumaan Al-Dosari|for Abdullah Zubromawi', '79&amp;rsquor;|0:2|Ahmed Dokhi|for Mohammed Al-Jahani']</t>
  </si>
  <si>
    <t>['46&amp;rsquor;|0:1|Niall Quinn|for Ian Harte', '80&amp;rsquor;|0:2|Jason McAteer|for Gary Kelly', '89&amp;rsquor;|0:3|Lee Carsley|for Mark Kinsella']</t>
  </si>
  <si>
    <t>Winfried Schäfer</t>
  </si>
  <si>
    <t>Marco Bode · 50|Miroslav Klose · 79</t>
  </si>
  <si>
    <t>['50&amp;rsquor;|0:1|Marco Bode', '79&amp;rsquor;|0:2|Miroslav Klose']</t>
  </si>
  <si>
    <t>Patrick Suffo · 77</t>
  </si>
  <si>
    <t>Carsten Ramelow · 40</t>
  </si>
  <si>
    <t>['8&amp;rsquor;|0:0|Marc-Vivien Foé', '42&amp;rsquor;|0:0|Rigobert Song', '44&amp;rsquor;|0:0|Bill Tchato', '56&amp;rsquor;|0:1|Geremi', '58&amp;rsquor;|0:1|Salomon Olembé', '60&amp;rsquor;|0:1|Patrick Suffo', '81&amp;rsquor;|0:2|Lauren']</t>
  </si>
  <si>
    <t>['9&amp;rsquor;|0:0|Carsten Jancker', '29&amp;rsquor;|0:0|Dietmar Hamann', '31&amp;rsquor;|0:0|Michael Ballack', '37&amp;rsquor;|0:0|Carsten Ramelow', '42&amp;rsquor;|0:0|Oliver Kahn', '72&amp;rsquor;|0:1|Christian Ziege', '74&amp;rsquor;|0:1|Torsten Frings']</t>
  </si>
  <si>
    <t>['53&amp;rsquor;|0:1|Patrick Suffo|for Bill Tchato', "64&amp;rsquor;|0:1|Daniel N'Gom Kome|for Salomon Olembé", "80&amp;rsquor;|0:2|Joseph-Désiré Job|for Patrick M'Boma"]</t>
  </si>
  <si>
    <t>['46&amp;rsquor;|0:0|Marco Bode|for Carsten Jancker', '80&amp;rsquor;|0:2|Jens Jeremies|for Bernd Schneider', '84&amp;rsquor;|0:2|Oliver Neuville|for Miroslav Klose']</t>
  </si>
  <si>
    <t>Ahn Jung-hwan · 78</t>
  </si>
  <si>
    <t>Clint Mathis · 24</t>
  </si>
  <si>
    <t>['78&amp;rsquor;|1:1|Ahn Jung-hwan']</t>
  </si>
  <si>
    <t>['24&amp;rsquor;|0:1|Clint Mathis']</t>
  </si>
  <si>
    <t>['80&amp;rsquor;|1:1|Hong Myung-bo']</t>
  </si>
  <si>
    <t>['30&amp;rsquor;|0:1|Frankie Hejduk', '39&amp;rsquor;|0:1|Jeff Agoos']</t>
  </si>
  <si>
    <t>['38&amp;rsquor;|0:1|Lee Chun-soo|for Park Ji-sung', '56&amp;rsquor;|0:1|Ahn Jung-hwan|for Hwang Sun-hong', '69&amp;rsquor;|0:1|Choi Yong-soo|for Yoo Sang-chul']</t>
  </si>
  <si>
    <t>['75&amp;rsquor;|0:1|Eddie Lewis|for DaMarcus Beasley', '82&amp;rsquor;|1:1|Josh Wolff|for Clint Mathis']</t>
  </si>
  <si>
    <t>Raouf Bouzaiene · 17</t>
  </si>
  <si>
    <t>Marc Wilmots · 13</t>
  </si>
  <si>
    <t>['17&amp;rsquor;|1:1|Raouf Bouzaiene']</t>
  </si>
  <si>
    <t>['13&amp;rsquor;|0:1|Marc Wilmots']</t>
  </si>
  <si>
    <t>['22&amp;rsquor;|1:1|Hassen Gabsi', '43&amp;rsquor;|1:1|Kaies Ghodhbane', '68&amp;rsquor;|1:1|Hatem Trabelsi', '69&amp;rsquor;|1:1|Mourad Melki']</t>
  </si>
  <si>
    <t>['40&amp;rsquor;|1:1|Daniel Van Buyten']</t>
  </si>
  <si>
    <t>['67&amp;rsquor;|1:1|Adel Sellimi|for Hassen Gabsi', '77&amp;rsquor;|1:1|Ali Zitouni|for Ziad Jaziri', '88&amp;rsquor;|1:1|Zoubeir Baya|for Mourad Melki']</t>
  </si>
  <si>
    <t>['46&amp;rsquor;|1:1|Wesley Sonck|for Gert Verheyen', '46&amp;rsquor;|1:1|Sven Vermant|for Branko Strupar', '74&amp;rsquor;|1:1|Mbo Mpenza|for Timmy Simons']</t>
  </si>
  <si>
    <t>Pauleta · 14|Pauleta · 65|Pauleta · 77|Rui Costa · 88</t>
  </si>
  <si>
    <t>['14&amp;rsquor;|1:0|Pauleta', '65&amp;rsquor;|2:0|Pauleta', '77&amp;rsquor;|3:0|Pauleta', '88&amp;rsquor;|4:0|Rui Costa']</t>
  </si>
  <si>
    <t>['25&amp;rsquor;|1:0|Nuno Frechaut', '27&amp;rsquor;|1:0|Jorge Costa', '31&amp;rsquor;|1:0|Rui Costa']</t>
  </si>
  <si>
    <t>['21&amp;rsquor;|1:0|Piotr Świerczewski', '39&amp;rsquor;|1:0|Arkadiusz Bąk']</t>
  </si>
  <si>
    <t>['60&amp;rsquor;|1:0|Rui Costa|for João Pinto', '63&amp;rsquor;|1:0|Beto|for Nuno Frechaut', '69&amp;rsquor;|2:0|Capucho|for Sérgio Conceição']</t>
  </si>
  <si>
    <t>['17&amp;rsquor;|1:0|Arkadiusz Bąk|for Radosław Kałużny', '56&amp;rsquor;|1:0|Marcin Żewłakow|for Maciej Żurawski', '71&amp;rsquor;|2:0|Tomasz Rząsa|for Michał Żewłakow']</t>
  </si>
  <si>
    <t>Sapporo Dome, Sapporo</t>
  </si>
  <si>
    <t>Jared Borgetti · 28|Gerardo Torrado · 57</t>
  </si>
  <si>
    <t>Agustín Delgado · 5</t>
  </si>
  <si>
    <t>['28&amp;rsquor;|1:1|Jared Borgetti', '57&amp;rsquor;|2:1|Gerardo Torrado']</t>
  </si>
  <si>
    <t>['5&amp;rsquor;|0:1|Agustín Delgado']</t>
  </si>
  <si>
    <t>['65&amp;rsquor;|2:1|Gerardo Torrado']</t>
  </si>
  <si>
    <t>['15&amp;rsquor;|0:1|Iván Kaviedes', '27&amp;rsquor;|0:1|José Francisco Cevallos', '49&amp;rsquor;|1:1|Raúl Guerrón', '61&amp;rsquor;|2:1|Carlos Tenorio', '87&amp;rsquor;|2:1|Agustín Delgado']</t>
  </si>
  <si>
    <t>['77&amp;rsquor;|2:1|Luis Hernández|for Jared Borgetti', '87&amp;rsquor;|2:1|Gabriel Caballero|for Johan Rodríguez', '90&amp;rsquor;|2:1|Sigifredo Mercado|for Cuauhtémoc Blanco']</t>
  </si>
  <si>
    <t>['35&amp;rsquor;|1:1|Marlon Ayoví|for Edwin Tenorio', '53&amp;rsquor;|1:1|Carlos Tenorio|for Iván Kaviedes', '58&amp;rsquor;|2:1|Álex Aguinaga|for Alfonso Obregón']</t>
  </si>
  <si>
    <t>Winston Parks · 86</t>
  </si>
  <si>
    <t>Emre Belözoğlu · 56</t>
  </si>
  <si>
    <t>['86&amp;rsquor;|1:1|Winston Parks']</t>
  </si>
  <si>
    <t>['56&amp;rsquor;|0:1|Emre Belözoğlu']</t>
  </si>
  <si>
    <t>['24&amp;rsquor;|0:0|Gilberto Martínez', '43&amp;rsquor;|0:0|Carlos Castro Mora']</t>
  </si>
  <si>
    <t>['20&amp;rsquor;|0:0|Emre Aşık', '45&amp;rsquor;|0:0|Tugay Kerimoğlu', '89&amp;rsquor;|1:1|Emre Belözoğlu']</t>
  </si>
  <si>
    <t>['66&amp;rsquor;|0:1|Hernán Medford|for Walter Centeno', '77&amp;rsquor;|0:1|Steven Bryce|for Harold Wallace', '77&amp;rsquor;|0:1|Winston Parks|for Wilmer López']</t>
  </si>
  <si>
    <t>['75&amp;rsquor;|0:1|İlhan Mansız|for Hakan Şükür', '79&amp;rsquor;|0:1|Nihat Kahveci|for Yıldıray Baştürk', '88&amp;rsquor;|1:1|Arif Erdem|for Tugay Kerimoğlu']</t>
  </si>
  <si>
    <t>Junichi Inamoto · 51</t>
  </si>
  <si>
    <t>['51&amp;rsquor;|1:0|Junichi Inamoto']</t>
  </si>
  <si>
    <t>['15&amp;rsquor;|0:0|Tsuneyasu Miyamoto', '42&amp;rsquor;|0:0|Kōji Nakata', '90+1&amp;rsquor;|1:0|Masashi Nakayama']</t>
  </si>
  <si>
    <t>['13&amp;rsquor;|0:0|Ruslan Pimenov', '38&amp;rsquor;|0:0|Andrei Solomatin', '60&amp;rsquor;|1:0|Dmitri Khokhlov']</t>
  </si>
  <si>
    <t>['72&amp;rsquor;|1:0|Masashi Nakayama|for Takayuki Suzuki', '75&amp;rsquor;|1:0|Toshihiro Hattori|for Shinji Ono', '85&amp;rsquor;|1:0|Takashi Fukunishi|for Junichi Inamoto']</t>
  </si>
  <si>
    <t>['46&amp;rsquor;|0:0|Dmitri Sychev|for Ruslan Pimenov', '52&amp;rsquor;|1:0|Dmitri Khokhlov|for Marat Izmailov', '57&amp;rsquor;|1:0|Vladimir Beschastnykh|for Alexey Smertin']</t>
  </si>
  <si>
    <t>Siyabonga Nomvethe · 4</t>
  </si>
  <si>
    <t>['4&amp;rsquor;|1:0|Siyabonga Nomvethe']</t>
  </si>
  <si>
    <t>['12&amp;rsquor;|1:0|Lucas Radebe', '59&amp;rsquor;|1:0|Teboho Mokoena']</t>
  </si>
  <si>
    <t>['35&amp;rsquor;|1:0|Muamer Vugdalić', '52&amp;rsquor;|1:0|Željko Milinovič', '62&amp;rsquor;|1:0|Aleš Čeh', '75&amp;rsquor;|1:0|Miran Pavlin']</t>
  </si>
  <si>
    <t>['71&amp;rsquor;|1:0|Delron Buckley|for Siyabonga Nomvethe', '80&amp;rsquor;|1:0|George Koumantarakis|for Benni McCarthy', '84&amp;rsquor;|1:0|Jabu Mahlangu|for Quinton Fortune']</t>
  </si>
  <si>
    <t>['41&amp;rsquor;|1:0|Milan Osterc|for Sebastjan Cimirotič', '60&amp;rsquor;|1:0|Nastja Čeh|for Milenko Ačimovič', '60&amp;rsquor;|1:0|Spasoje Bulajič|for Aleksander Knavs']</t>
  </si>
  <si>
    <t>Kashima Soccer Stadium, Kashima</t>
  </si>
  <si>
    <t>Christian Vieri · 55</t>
  </si>
  <si>
    <t>Ivica Olić · 73|Milan Rapaić · 76</t>
  </si>
  <si>
    <t>['55&amp;rsquor;|1:0|Christian Vieri']</t>
  </si>
  <si>
    <t>['73&amp;rsquor;|1:1|Ivica Olić', '76&amp;rsquor;|1:2|Milan Rapaić']</t>
  </si>
  <si>
    <t>['51&amp;rsquor;|0:0|Christian Vieri']</t>
  </si>
  <si>
    <t>['39&amp;rsquor;|0:0|Robert Kovač']</t>
  </si>
  <si>
    <t>['23&amp;rsquor;|0:0|Marco Materazzi|for Alessandro Nesta', '79&amp;rsquor;|1:2|Filippo Inzaghi|for Cristiano Doni']</t>
  </si>
  <si>
    <t>['57&amp;rsquor;|1:0|Ivica Olić|for Davor Vugrinec', '62&amp;rsquor;|1:0|Jurica Vranješ|for Zvonimir Soldo', '79&amp;rsquor;|1:2|Dario Šimić|for Milan Rapaić']</t>
  </si>
  <si>
    <t>Roberto Carlos · 15|Rivaldo · 32|Ronaldo · 55</t>
  </si>
  <si>
    <t>['15&amp;rsquor;|1:0|Roberto Carlos', '32&amp;rsquor;|2:0|Rivaldo', '55&amp;rsquor;|4:0|Ronaldo']</t>
  </si>
  <si>
    <t>Ronaldinho (P) · 45</t>
  </si>
  <si>
    <t>['25&amp;rsquor;|1:0|Ronaldinho', '69&amp;rsquor;|4:0|Roque Júnior']</t>
  </si>
  <si>
    <t>['46&amp;rsquor;|3:0|Denílson|for Ronaldinho', '70&amp;rsquor;|4:0|Ricardinho|for Juninho Paulista', '72&amp;rsquor;|4:0|Edílson|for Ronaldo']</t>
  </si>
  <si>
    <t>['62&amp;rsquor;|4:0|Yang Pu|for Ma Mingyu', '66&amp;rsquor;|4:0|Shao Jiayi|for Qi Hong', '75&amp;rsquor;|4:0|Qu Bo|for Hao Haidong']</t>
  </si>
  <si>
    <t>Tommy Söderberg</t>
  </si>
  <si>
    <t>Henrik Larsson · 35</t>
  </si>
  <si>
    <t>Julius Aghahowa · 27</t>
  </si>
  <si>
    <t>['35&amp;rsquor;|1:1|Henrik Larsson']</t>
  </si>
  <si>
    <t>['27&amp;rsquor;|0:1|Julius Aghahowa']</t>
  </si>
  <si>
    <t>Henrik Larsson (P) · 63</t>
  </si>
  <si>
    <t>['31&amp;rsquor;|0:1|Johan Mjällby', '69&amp;rsquor;|2:1|Niclas Alexandersson']</t>
  </si>
  <si>
    <t>['80&amp;rsquor;|2:1|Taribo West']</t>
  </si>
  <si>
    <t>['64&amp;rsquor;|2:1|Andreas Andersson|for Marcus Allbäck', '83&amp;rsquor;|2:1|Magnus Svensson|for Anders Svensson']</t>
  </si>
  <si>
    <t>['65&amp;rsquor;|2:1|Nwankwo Kanu|for Celestine Babayaro', '70&amp;rsquor;|2:1|Pius Ikedia|for Bartholomew Ogbeche']</t>
  </si>
  <si>
    <t>Fernando Morientes · 53|Fernando Morientes · 69</t>
  </si>
  <si>
    <t>['53&amp;rsquor;|1:1|Fernando Morientes', '69&amp;rsquor;|2:1|Fernando Morientes']</t>
  </si>
  <si>
    <t>Carles Puyol (OG) · 10</t>
  </si>
  <si>
    <t>Fernando Hierro (P) · 83</t>
  </si>
  <si>
    <t>['9&amp;rsquor;|0:0|Rubén Baraja']</t>
  </si>
  <si>
    <t>['44&amp;rsquor;|0:1|Francisco Arce', '60&amp;rsquor;|1:1|Diego Gavilán', '80&amp;rsquor;|2:1|Roque Santa Cruz']</t>
  </si>
  <si>
    <t>['46&amp;rsquor;|0:1|Iván Helguera|for Luis Enrique', '46&amp;rsquor;|0:1|Fernando Morientes|for Diego Tristán', '85&amp;rsquor;|3:1|Xavi|for Juan Carlos Valerón']</t>
  </si>
  <si>
    <t>['63&amp;rsquor;|1:1|Jorge Luis Campos|for José Cardozo', '78&amp;rsquor;|2:1|Estanislao Struway|for Denis Caniza']</t>
  </si>
  <si>
    <t>David Beckham (P) · 44</t>
  </si>
  <si>
    <t>['13&amp;rsquor;|0:0|Gabriel Batistuta']</t>
  </si>
  <si>
    <t>['29&amp;rsquor;|0:0|Ashley Cole', '50&amp;rsquor;|0:1|Emile Heskey']</t>
  </si>
  <si>
    <t>['46&amp;rsquor;|0:1|Pablo Aimar|for Juan Sebastián Verón', '60&amp;rsquor;|0:1|Hernán Crespo|for Gabriel Batistuta', '64&amp;rsquor;|0:1|Claudio López|for Kily González']</t>
  </si>
  <si>
    <t>['19&amp;rsquor;|0:0|Trevor Sinclair|for Owen Hargreaves', '54&amp;rsquor;|0:1|Teddy Sheringham|for Emile Heskey', '80&amp;rsquor;|0:1|Wayne Bridge|for Michael Owen']</t>
  </si>
  <si>
    <t>Salif Diao · 52</t>
  </si>
  <si>
    <t>['52&amp;rsquor;|1:1|Salif Diao']</t>
  </si>
  <si>
    <t>Jon Dahl Tomasson (P) · 16</t>
  </si>
  <si>
    <t>Salif Diao · 80</t>
  </si>
  <si>
    <t>['7&amp;rsquor;|0:0|Ebbe Sand', '20&amp;rsquor;|1:0|Jon Dahl Tomasson', '82&amp;rsquor;|1:1|Thomas Helveg', '84&amp;rsquor;|1:1|Christian Poulsen']</t>
  </si>
  <si>
    <t>['10&amp;rsquor;|0:0|Khalilou Fadiga', '62&amp;rsquor;|1:1|Salif Diao']</t>
  </si>
  <si>
    <t>['50&amp;rsquor;|1:0|Martin Jørgensen|for Jesper Grønkjær', '62&amp;rsquor;|1:1|Christian Poulsen|for Thomas Gravesen', '89&amp;rsquor;|1:1|Peter Løvenkrands|for Dennis Rommedahl']</t>
  </si>
  <si>
    <t>['46&amp;rsquor;|1:0|Henri Camara|for Pape Sarr', "46&amp;rsquor;|1:0|Souleymane Camara|for Moussa N'Diaye", '83&amp;rsquor;|1:1|Habib Beye|for Souleymane Camara']</t>
  </si>
  <si>
    <t>Samuel Eto'o · 66</t>
  </si>
  <si>
    <t>["66&amp;rsquor;|1:0|Samuel Eto'o"]</t>
  </si>
  <si>
    <t>['10&amp;rsquor;|0:0|Pierre Womé']</t>
  </si>
  <si>
    <t>['59&amp;rsquor;|0:0|Al Hasan Al-Yami']</t>
  </si>
  <si>
    <t>["46&amp;rsquor;|0:0|Salomon Olembé|for Daniel N'Gom Kome", "74&amp;rsquor;|1:0|Pius Ndiefi|for Patrick M'Boma", '84&amp;rsquor;|1:0|Pierre Njanka|for Pierre Womé']</t>
  </si>
  <si>
    <t>['35&amp;rsquor;|0:0|Al Hasan Al-Yami|for Obeid Al-Dosari', '72&amp;rsquor;|1:0|Abdullah Jumaan Al-Dosari|for Abdullah Zubromawi', '86&amp;rsquor;|1:0|Mohammed Noor|for Abdulaziz Khathran']</t>
  </si>
  <si>
    <t>Busan Sport Complex Asiad Stadium, Busan</t>
  </si>
  <si>
    <t>Thierry Henry · 25</t>
  </si>
  <si>
    <t>['45+2&amp;rsquor;|0:0|Emmanuel Petit']</t>
  </si>
  <si>
    <t>['11&amp;rsquor;|0:0|Pablo García', '45+2&amp;rsquor;|0:0|Sebastián Abreu', '45+3&amp;rsquor;|0:0|Marcelo Romero', '47&amp;rsquor;|0:0|Darío Silva']</t>
  </si>
  <si>
    <t>['16&amp;rsquor;|0:0|Vincent Candela|for Frank Leboeuf', '81&amp;rsquor;|0:0|Djibril Cissé|for David Trezeguet', '90&amp;rsquor;|0:0|Christophe Dugarry|for Sylvain Wiltord']</t>
  </si>
  <si>
    <t>['60&amp;rsquor;|0:0|Federico Magallanes|for Darío Silva', '71&amp;rsquor;|0:0|Gonzalo de los Santos|for Marcelo Romero', '72&amp;rsquor;|0:0|Gianni Guigou|for Darío Rodríguez']</t>
  </si>
  <si>
    <t>Yegor Titov · 59</t>
  </si>
  <si>
    <t>['59&amp;rsquor;|1:0|Yegor Titov']</t>
  </si>
  <si>
    <t>Valeri Karpin (P) · 64</t>
  </si>
  <si>
    <t>['27&amp;rsquor;|0:0|Igor Semshov', '88&amp;rsquor;|2:0|Dmitri Alenichev']</t>
  </si>
  <si>
    <t>['50&amp;rsquor;|0:0|Hassen Gabsi', '75&amp;rsquor;|2:0|Ziad Jaziri']</t>
  </si>
  <si>
    <t>['46&amp;rsquor;|0:0|Dmitri Khokhlov|for Igor Semshov', '55&amp;rsquor;|0:0|Dmitri Sychev|for Vladimir Beschastnykh', '78&amp;rsquor;|2:0|Dmitri Alenichev|for Marat Izmailov']</t>
  </si>
  <si>
    <t>['67&amp;rsquor;|2:0|Imed Mhedhebi|for Adel Sellimi', '67&amp;rsquor;|2:0|Zoubeir Baya|for Hassen Gabsi', '84&amp;rsquor;|2:0|Ali Zitouni|for Khaled Badra']</t>
  </si>
  <si>
    <t>John O'Brien · 4|Brian McBride · 36</t>
  </si>
  <si>
    <t>Beto · 39</t>
  </si>
  <si>
    <t>["4&amp;rsquor;|1:0|John O'Brien", '36&amp;rsquor;|3:0|Brian McBride']</t>
  </si>
  <si>
    <t>['39&amp;rsquor;|3:1|Beto']</t>
  </si>
  <si>
    <t>Jorge Costa (OG) · 29</t>
  </si>
  <si>
    <t>Jeff Agoos (OG) · 71</t>
  </si>
  <si>
    <t>['90+2&amp;rsquor;|3:2|DaMarcus Beasley']</t>
  </si>
  <si>
    <t>['34&amp;rsquor;|2:0|Beto', '52&amp;rsquor;|3:1|Petit']</t>
  </si>
  <si>
    <t>['46&amp;rsquor;|3:1|Cobi Jones|for Earnie Stewart', '75&amp;rsquor;|3:2|Joe-Max Moore|for Landon Donovan', '80&amp;rsquor;|3:2|Carlos Llamosa|for Eddie Pope']</t>
  </si>
  <si>
    <t>['69&amp;rsquor;|3:1|Paulo Bento|for Rui Jorge', '73&amp;rsquor;|3:2|Jorge Andrade|for Jorge Costa', '80&amp;rsquor;|3:2|Nuno Gomes|for Rui Costa']</t>
  </si>
  <si>
    <t>Miroslav Klose · 19</t>
  </si>
  <si>
    <t>Robbie Keane · 90+2</t>
  </si>
  <si>
    <t>['19&amp;rsquor;|1:0|Miroslav Klose']</t>
  </si>
  <si>
    <t>['90+2&amp;rsquor;|1:1|Robbie Keane']</t>
  </si>
  <si>
    <t>['75&amp;rsquor;|1:0|Oliver Bierhoff|for Carsten Jancker', '85&amp;rsquor;|1:0|Marco Bode|for Miroslav Klose', '89&amp;rsquor;|1:0|Jens Jeremies|for Bernd Schneider']</t>
  </si>
  <si>
    <t>['73&amp;rsquor;|1:0|Steven Reid|for Gary Kelly', '73&amp;rsquor;|1:0|Niall Quinn|for Ian Harte', '87&amp;rsquor;|1:0|Kenny Cunningham|for Steve Staunton']</t>
  </si>
  <si>
    <t>Rónald Gómez · 61|Mauricio Wright · 65</t>
  </si>
  <si>
    <t>['61&amp;rsquor;|0:1|Rónald Gómez', '65&amp;rsquor;|0:2|Mauricio Wright']</t>
  </si>
  <si>
    <t>['60&amp;rsquor;|0:0|Li Tie', '72&amp;rsquor;|0:2|Xu Yunlong', '77&amp;rsquor;|0:2|Li Xiaopeng']</t>
  </si>
  <si>
    <t>['15&amp;rsquor;|0:0|Luis Marín', '17&amp;rsquor;|0:0|Hernán Medford', '79&amp;rsquor;|0:2|Rónald Gómez', '85&amp;rsquor;|0:2|Walter Centeno']</t>
  </si>
  <si>
    <t>['26&amp;rsquor;|0:0|Qu Bo|for Sun Jihai', '66&amp;rsquor;|0:2|Su Maozhen|for Yang Chen', '74&amp;rsquor;|0:2|Yu Genwei|for Fan Zhiyi']</t>
  </si>
  <si>
    <t>['57&amp;rsquor;|0:0|Hernán Medford|for Rolando Fonseca', '70&amp;rsquor;|0:2|Steven Bryce|for Harold Wallace', '80&amp;rsquor;|0:2|Wilmer López|for Paulo Wanchope']</t>
  </si>
  <si>
    <t>Takayuki Suzuki · 59|Junichi Inamoto · 67</t>
  </si>
  <si>
    <t>Marc Wilmots · 57|Peter Van der Heyden · 75</t>
  </si>
  <si>
    <t>['59&amp;rsquor;|1:1|Takayuki Suzuki', '67&amp;rsquor;|2:1|Junichi Inamoto']</t>
  </si>
  <si>
    <t>['57&amp;rsquor;|0:1|Marc Wilmots', '75&amp;rsquor;|2:2|Peter Van der Heyden']</t>
  </si>
  <si>
    <t>['31&amp;rsquor;|0:0|Kazuyuki Toda', '54&amp;rsquor;|0:0|Junichi Inamoto']</t>
  </si>
  <si>
    <t>['21&amp;rsquor;|0:0|Peter Van der Heyden', '62&amp;rsquor;|1:1|Gert Verheyen', '82&amp;rsquor;|2:2|Eric Van Meir']</t>
  </si>
  <si>
    <t>['64&amp;rsquor;|1:1|Alessandro Santos|for Shinji Ono', '68&amp;rsquor;|2:1|Hiroaki Morishima|for Takayuki Suzuki', '71&amp;rsquor;|2:1|Tsuneyasu Miyamoto|for Ryuzo Morioka']</t>
  </si>
  <si>
    <t>['68&amp;rsquor;|2:1|Wesley Sonck|for Johan Walem', '83&amp;rsquor;|2:2|Branko Strupar|for Gert Verheyen']</t>
  </si>
  <si>
    <t>Hwang Sun-hong · 26|Yoo Sang-chul · 53</t>
  </si>
  <si>
    <t>['26&amp;rsquor;|1:0|Hwang Sun-hong', '53&amp;rsquor;|2:0|Yoo Sang-chul']</t>
  </si>
  <si>
    <t>['70&amp;rsquor;|2:0|Park Ji-sung', '90&amp;rsquor;|2:0|Cha Du-ri']</t>
  </si>
  <si>
    <t>['31&amp;rsquor;|1:0|Jacek Krzynówek', '79&amp;rsquor;|2:0|Tomasz Hajto', '84&amp;rsquor;|2:0|Piotr Świerczewski']</t>
  </si>
  <si>
    <t>['50&amp;rsquor;|1:0|Ahn Jung-hwan|for Hwang Sun-hong', '61&amp;rsquor;|2:0|Lee Chun-soo|for Yoo Sang-chul', '89&amp;rsquor;|2:0|Cha Du-ri|for Seol Ki-hyeon']</t>
  </si>
  <si>
    <t>['46&amp;rsquor;|1:0|Paweł Kryszałowicz|for Maciej Żurawski', '50&amp;rsquor;|1:0|Tomasz Kłos|for Jacek Bąk', '64&amp;rsquor;|2:0|Marcin Żewłakow|for Radosław Kałużny']</t>
  </si>
  <si>
    <t>Cuauhtémoc Blanco (P) · 60</t>
  </si>
  <si>
    <t>Boris Živković · 59</t>
  </si>
  <si>
    <t>['46&amp;rsquor;|0:0|Milan Rapaić|for Robert Prosinečki', '64&amp;rsquor;|0:1|Daniel Šarić|for Davor Šuker', '67&amp;rsquor;|0:1|Mario Stanić|for Alen Bokšić']</t>
  </si>
  <si>
    <t>['68&amp;rsquor;|0:1|Luis Hernández|for Jared Borgetti', '79&amp;rsquor;|0:1|Francisco Palencia|for Cuauhtémoc Blanco']</t>
  </si>
  <si>
    <t>Ronaldo · 50</t>
  </si>
  <si>
    <t>Hasan Şaş · 45+2</t>
  </si>
  <si>
    <t>['50&amp;rsquor;|1:1|Ronaldo']</t>
  </si>
  <si>
    <t>['45+2&amp;rsquor;|0:1|Hasan Şaş']</t>
  </si>
  <si>
    <t>Rivaldo (P) · 87</t>
  </si>
  <si>
    <t>Alpay Özalan · 86|Hakan Ünsal · 90+4</t>
  </si>
  <si>
    <t>['73&amp;rsquor;|1:1|Denílson']</t>
  </si>
  <si>
    <t>['21&amp;rsquor;|0:0|Fatih Akyel', '24&amp;rsquor;|0:0|Hakan Ünsal', '44&amp;rsquor;|0:0|Alpay Özalan']</t>
  </si>
  <si>
    <t>['67&amp;rsquor;|1:1|Denílson|for Ronaldinho', '72&amp;rsquor;|1:1|Vampeta|for Juninho Paulista', '73&amp;rsquor;|1:1|Luizão|for Ronaldo']</t>
  </si>
  <si>
    <t>['66&amp;rsquor;|1:1|İlhan Mansız|for Bülent Korkmaz', '66&amp;rsquor;|1:1|Ümit Davala|for Yıldıray Baştürk', '88&amp;rsquor;|2:1|Arif Erdem|for Tugay Kerimoğlu']</t>
  </si>
  <si>
    <t>Christian Vieri · 7|Christian Vieri · 27</t>
  </si>
  <si>
    <t>['7&amp;rsquor;|1:0|Christian Vieri', '27&amp;rsquor;|2:0|Christian Vieri']</t>
  </si>
  <si>
    <t>['81&amp;rsquor;|2:0|Fabio Cannavaro']</t>
  </si>
  <si>
    <t>['14&amp;rsquor;|1:0|Augusto Porozo', '49&amp;rsquor;|2:0|Ulises de la Cruz', '54&amp;rsquor;|2:0|Cléber Chalá']</t>
  </si>
  <si>
    <t>['64&amp;rsquor;|2:0|Angelo Di Livio|for Cristiano Doni', '69&amp;rsquor;|2:0|Gennaro Gattuso|for Luigi Di Biagio', '74&amp;rsquor;|2:0|Alessandro Del Piero|for Francesco Totti']</t>
  </si>
  <si>
    <t>['46&amp;rsquor;|2:0|Carlos Tenorio|for Álex Aguinaga', '59&amp;rsquor;|2:0|Marlon Ayoví|for Edwin Tenorio', '85&amp;rsquor;|2:0|Nicolás Asencio|for Cléber Chalá']</t>
  </si>
  <si>
    <t>Gabriel Batistuta · 63</t>
  </si>
  <si>
    <t>['63&amp;rsquor;|1:0|Gabriel Batistuta']</t>
  </si>
  <si>
    <t>['51&amp;rsquor;|0:0|Walter Samuel', '90&amp;rsquor;|1:0|Diego Simeone']</t>
  </si>
  <si>
    <t>['73&amp;rsquor;|1:0|Efe Sodje']</t>
  </si>
  <si>
    <t>['46&amp;rsquor;|0:0|Kily González|for Claudio López', '78&amp;rsquor;|1:0|Pablo Aimar|for Juan Sebastián Verón', '81&amp;rsquor;|1:0|Hernán Crespo|for Gabriel Batistuta']</t>
  </si>
  <si>
    <t>['48&amp;rsquor;|0:0|Pius Ikedia|for Nwankwo Kanu', '73&amp;rsquor;|1:0|Justice Christopher|for Efe Sodje']</t>
  </si>
  <si>
    <t>Roque Santa Cruz · 39|Francisco Arce · 55</t>
  </si>
  <si>
    <t>Teboho Mokoena · 63</t>
  </si>
  <si>
    <t>['39&amp;rsquor;|1:0|Roque Santa Cruz', '55&amp;rsquor;|2:0|Francisco Arce']</t>
  </si>
  <si>
    <t>['63&amp;rsquor;|2:1|Teboho Mokoena']</t>
  </si>
  <si>
    <t>Quinton Fortune (P) · 90+1</t>
  </si>
  <si>
    <t>['35&amp;rsquor;|0:0|Julio César Cáceres', '65&amp;rsquor;|2:1|Denis Caniza', '90&amp;rsquor;|2:1|Ricardo Tavarelli', '90+3&amp;rsquor;|2:2|Juan Carlos Franco']</t>
  </si>
  <si>
    <t>['3&amp;rsquor;|0:0|Aaron Mokoena', '9&amp;rsquor;|0:0|Pierre Issa', '38&amp;rsquor;|0:0|Benni McCarthy', '45+2&amp;rsquor;|1:0|Sibusiso Zuma']</t>
  </si>
  <si>
    <t>['66&amp;rsquor;|2:1|Diego Gavilán|for Guido Alvarenga', '72&amp;rsquor;|2:1|Gustavo Morínigo|for Jorge Luis Campos', '86&amp;rsquor;|2:1|Juan Carlos Franco|for Estanislao Struway']</t>
  </si>
  <si>
    <t>['27&amp;rsquor;|0:0|MacDonald Mukansi|for Pierre Issa', '78&amp;rsquor;|2:1|George Koumantarakis|for Benni McCarthy']</t>
  </si>
  <si>
    <t>Sol Campbell · 24</t>
  </si>
  <si>
    <t>Niclas Alexandersson · 59</t>
  </si>
  <si>
    <t>['24&amp;rsquor;|1:0|Sol Campbell']</t>
  </si>
  <si>
    <t>['59&amp;rsquor;|1:1|Niclas Alexandersson']</t>
  </si>
  <si>
    <t>['12&amp;rsquor;|0:0|Sol Campbell']</t>
  </si>
  <si>
    <t>['45+2&amp;rsquor;|1:0|Marcus Allbäck', '73&amp;rsquor;|1:1|Andreas Jakobsson']</t>
  </si>
  <si>
    <t>['63&amp;rsquor;|1:1|Kieron Dyer|for David Beckham', '74&amp;rsquor;|1:1|Joe Cole|for Darius Vassell']</t>
  </si>
  <si>
    <t>['56&amp;rsquor;|1:0|Anders Svensson|for Magnus Svensson', '80&amp;rsquor;|1:1|Andreas Andersson|for Marcus Allbäck']</t>
  </si>
  <si>
    <t>Raúl · 44|Juan Carlos Valerón · 74</t>
  </si>
  <si>
    <t>Sebastjan Cimirotič · 82</t>
  </si>
  <si>
    <t>['44&amp;rsquor;|1:0|Raúl', '74&amp;rsquor;|2:0|Juan Carlos Valerón']</t>
  </si>
  <si>
    <t>['82&amp;rsquor;|2:1|Sebastjan Cimirotič']</t>
  </si>
  <si>
    <t>Fernando Hierro (P) · 87</t>
  </si>
  <si>
    <t>['36&amp;rsquor;|0:0|Juan Carlos Valerón']</t>
  </si>
  <si>
    <t>['45+1&amp;rsquor;|1:0|Amir Karić', '65&amp;rsquor;|1:0|Sebastjan Cimirotič']</t>
  </si>
  <si>
    <t>['67&amp;rsquor;|1:0|Fernando Morientes|for Diego Tristán', '74&amp;rsquor;|1:0|Iván Helguera|for Luis Enrique', '82&amp;rsquor;|2:0|Enrique Romero|for Juanfran']</t>
  </si>
  <si>
    <t>['57&amp;rsquor;|1:0|Sebastjan Cimirotič|for Milan Osterc', '63&amp;rsquor;|1:0|Milenko Ačimovič|for Zlatko Zahovič', '77&amp;rsquor;|2:0|Saša Gajser|for Džoni Novak']</t>
  </si>
  <si>
    <t>Matt Holland · 52</t>
  </si>
  <si>
    <t>Patrick M'Boma · 39</t>
  </si>
  <si>
    <t>['52&amp;rsquor;|1:1|Matt Holland']</t>
  </si>
  <si>
    <t>["39&amp;rsquor;|0:1|Patrick M'Boma"]</t>
  </si>
  <si>
    <t>['30&amp;rsquor;|0:0|Jason McAteer', '51&amp;rsquor;|0:1|Steve Finnan', '82&amp;rsquor;|1:1|Steven Reid']</t>
  </si>
  <si>
    <t>['89&amp;rsquor;|1:1|Raymond Kalla']</t>
  </si>
  <si>
    <t>['46&amp;rsquor;|0:1|Steve Finnan|for Jason McAteer', '77&amp;rsquor;|1:1|Steven Reid|for Ian Harte']</t>
  </si>
  <si>
    <t>["69&amp;rsquor;|1:1|Patrick Suffo|for Patrick M'Boma"]</t>
  </si>
  <si>
    <t>Darío Rodríguez · 47</t>
  </si>
  <si>
    <t>Jon Dahl Tomasson · 45|Jon Dahl Tomasson · 83</t>
  </si>
  <si>
    <t>['47&amp;rsquor;|1:1|Darío Rodríguez']</t>
  </si>
  <si>
    <t>['45&amp;rsquor;|0:1|Jon Dahl Tomasson', '83&amp;rsquor;|1:2|Jon Dahl Tomasson']</t>
  </si>
  <si>
    <t>['25&amp;rsquor;|0:0|Gustavo Méndez']</t>
  </si>
  <si>
    <t>['34&amp;rsquor;|0:0|Jan Heintze', '51&amp;rsquor;|1:1|Martin Laursen']</t>
  </si>
  <si>
    <t>['80&amp;rsquor;|1:1|Mario Regueiro|for Álvaro Recoba', '87&amp;rsquor;|1:2|Federico Magallanes|for Darío Rodríguez', '88&amp;rsquor;|1:2|Richard Morales|for Sebastián Abreu']</t>
  </si>
  <si>
    <t>['58&amp;rsquor;|1:1|Niclas Jensen|for Jan Heintze', '70&amp;rsquor;|1:1|Martin Jørgensen|for Jesper Grønkjær', '89&amp;rsquor;|1:2|Christian Poulsen|for Ebbe Sand']</t>
  </si>
  <si>
    <t>8–0</t>
  </si>
  <si>
    <t>Miroslav Klose · 20|Miroslav Klose · 25|Michael Ballack · 40|Carsten Jancker · 45+1|Miroslav Klose · 70|Thomas Linke · 72|Oliver Bierhoff · 84|Bernd Schneider · 90+2</t>
  </si>
  <si>
    <t>['20&amp;rsquor;|1:0|Miroslav Klose', '25&amp;rsquor;|2:0|Miroslav Klose', '40&amp;rsquor;|3:0|Michael Ballack', '45+1&amp;rsquor;|4:0|Carsten Jancker', '70&amp;rsquor;|5:0|Miroslav Klose', '72&amp;rsquor;|6:0|Thomas Linke', '84&amp;rsquor;|7:0|Oliver Bierhoff', '90+2&amp;rsquor;|8:0|Bernd Schneider']</t>
  </si>
  <si>
    <t>['43&amp;rsquor;|3:0|Christian Ziege', '83&amp;rsquor;|6:0|Dietmar Hamann']</t>
  </si>
  <si>
    <t>['90+1&amp;rsquor;|7:0|Mohammed Noor']</t>
  </si>
  <si>
    <t>['46&amp;rsquor;|4:0|Jens Jeremies|for Carsten Ramelow', '67&amp;rsquor;|4:0|Oliver Bierhoff|for Carsten Jancker', '76&amp;rsquor;|6:0|Oliver Neuville|for Miroslav Klose']</t>
  </si>
  <si>
    <t>['46&amp;rsquor;|4:0|Abdulaziz Khathran|for Nawaf Al-Temyat', '46&amp;rsquor;|4:0|Ibrahim Al-Shahrani|for Khamis Al-Dosari', '77&amp;rsquor;|6:0|Abdullah Jumaan Al-Dosari|for Al Hasan Al-Yami']</t>
  </si>
  <si>
    <t>Pape Malick Diop · 30</t>
  </si>
  <si>
    <t>['30&amp;rsquor;|0:1|Pape Malick Diop']</t>
  </si>
  <si>
    <t>['45+2&amp;rsquor;|0:1|Emmanuel Petit']</t>
  </si>
  <si>
    <t>['51&amp;rsquor;|0:1|Aliou Cissé']</t>
  </si>
  <si>
    <t>['60&amp;rsquor;|0:1|Christophe Dugarry|for Youri Djorkaeff', '81&amp;rsquor;|0:1|Djibril Cissé|for Sylvain Wiltord']</t>
  </si>
  <si>
    <t>Mário Zagallo</t>
  </si>
  <si>
    <t>Aimé Jacquet</t>
  </si>
  <si>
    <t>Stade de France, Paris</t>
  </si>
  <si>
    <t>Zinédine Zidane · 27|Zinédine Zidane · 45|Emmanuel Petit · 90</t>
  </si>
  <si>
    <t>['27&amp;rsquor;|0:1|Zinédine Zidane|Assist:|Emmanuel Petit', '45&amp;rsquor;|0:2|Zinédine Zidane|Assist:|Youri Djorkaeff', '90&amp;rsquor;|0:3|Emmanuel Petit|Assist:|Patrick Vieira']</t>
  </si>
  <si>
    <t>Marcel Desailly · 68</t>
  </si>
  <si>
    <t>['33&amp;rsquor;|0:1|Júnior Baiano']</t>
  </si>
  <si>
    <t>['39&amp;rsquor;|0:1|Didier Deschamps', '48&amp;rsquor;|0:2|Marcel Desailly', '56&amp;rsquor;|0:2|Christian Karembeu']</t>
  </si>
  <si>
    <t>['46&amp;rsquor;|0:2|Denílson Custódio Machado|for Leonardo Araújo', '73&amp;rsquor;|0:2|Edmundo|for César Sampaio']</t>
  </si>
  <si>
    <t>['57&amp;rsquor;|0:2|Alain Boghossian|for Christian Karembeu', "66&amp;rsquor;|0:2|Christophe Dugarry|for Stéphane Guivarc'h", '74&amp;rsquor;|0:2|Patrick Vieira|for Youri Djorkaeff']</t>
  </si>
  <si>
    <t>Miroslav Blažević</t>
  </si>
  <si>
    <t>Parc des Princes, Paris</t>
  </si>
  <si>
    <t>Boudewijn Zenden · 21</t>
  </si>
  <si>
    <t>Robert Prosinečki · 13|Davor Šuker · 35</t>
  </si>
  <si>
    <t>['21&amp;rsquor;|1:1|Boudewijn Zenden']</t>
  </si>
  <si>
    <t>['13&amp;rsquor;|0:1|Robert Prosinečki|Assist:|Robert Jarni', '35&amp;rsquor;|1:2|Davor Šuker|Assist:|Zvonimir Boban']</t>
  </si>
  <si>
    <t>['89&amp;rsquor;|1:2|Wim Jonk', '89&amp;rsquor;|1:2|Edgar Davids']</t>
  </si>
  <si>
    <t>['34&amp;rsquor;|1:1|Krunoslav Jurčić', '52&amp;rsquor;|1:2|Igor Štimac', '69&amp;rsquor;|1:2|Aljoša Asanović', '74&amp;rsquor;|1:2|Mario Stanić']</t>
  </si>
  <si>
    <t>['46&amp;rsquor;|1:2|Marc Overmars|for Phillip Cocu', '58&amp;rsquor;|1:2|Pierre van Hooijdonk|for Dennis Bergkamp']</t>
  </si>
  <si>
    <t>['79&amp;rsquor;|1:2|Goran Vlaović|for Robert Prosinečki', '86&amp;rsquor;|1:2|Igor Tudor|for Zvonimir Boban']</t>
  </si>
  <si>
    <t>Lilian Thuram · 47|Lilian Thuram · 70</t>
  </si>
  <si>
    <t>Davor Šuker · 46</t>
  </si>
  <si>
    <t>['47&amp;rsquor;|1:1|Lilian Thuram|Assist:|Youri Djorkaeff', '70&amp;rsquor;|2:1|Lilian Thuram']</t>
  </si>
  <si>
    <t>['46&amp;rsquor;|0:1|Davor Šuker|Assist:|Aljoša Asanović']</t>
  </si>
  <si>
    <t>Laurent Blanc · 76</t>
  </si>
  <si>
    <t>['45&amp;rsquor;|0:0|Aljoša Asanović', '75&amp;rsquor;|2:1|Mario Stanić', '88&amp;rsquor;|2:1|Dario Šimić']</t>
  </si>
  <si>
    <t>['31&amp;rsquor;|0:0|Thierry Henry|for Christian Karembeu', "68&amp;rsquor;|1:1|David Trezeguet|for Stéphane Guivarc'h", '77&amp;rsquor;|2:1|Frank Leboeuf|for Youri Djorkaeff']</t>
  </si>
  <si>
    <t>['63&amp;rsquor;|1:1|Silvio Marić|for Zvonimir Boban', '89&amp;rsquor;|2:1|Robert Prosinečki|for Mario Stanić']</t>
  </si>
  <si>
    <t>Orange Vélodrome, Marseille</t>
  </si>
  <si>
    <t>Ronaldo · 46</t>
  </si>
  <si>
    <t>Patrick Kluivert · 87</t>
  </si>
  <si>
    <t>['46&amp;rsquor;|1:0|Ronaldo|Assist:|Rivaldo']</t>
  </si>
  <si>
    <t>['87&amp;rsquor;|1:1|Patrick Kluivert|Assist:|Ronald de Boer']</t>
  </si>
  <si>
    <t>['1|1:0|Ronaldo', '3|2:1|Rivaldo', '5|3:2|Emerson', '7|4:2|Dunga']</t>
  </si>
  <si>
    <t>['2|1:1|Frank de Boer', '4|2:2|Dennis Bergkamp']</t>
  </si>
  <si>
    <t>['6|3:2|Phillip Cocu', '8|4:2|Ronald de Boer']</t>
  </si>
  <si>
    <t>['31&amp;rsquor;|0:0|José Carlos da Costa Araújo', '45&amp;rsquor;|0:0|César Sampaio']</t>
  </si>
  <si>
    <t>['48&amp;rsquor;|1:0|Michael Reiziger', '60&amp;rsquor;|1:0|Edgar Davids', '90&amp;rsquor;|1:1|Pierre van Hooijdonk', '119&amp;rsquor;|1:1|Clarence Seedorf']</t>
  </si>
  <si>
    <t>['70&amp;rsquor;|1:0|Denílson Custódio Machado|for Bebeto', '85&amp;rsquor;|1:0|Emerson|for Leonardo Araújo']</t>
  </si>
  <si>
    <t>['56&amp;rsquor;|1:0|Aron Winter|for Michael Reiziger', '75&amp;rsquor;|1:0|Pierre van Hooijdonk|for Boudewijn Zenden', '111&amp;rsquor;|1:1|Clarence Seedorf|for Wim Jonk']</t>
  </si>
  <si>
    <t>Daniel Passarella</t>
  </si>
  <si>
    <t>Patrick Kluivert · 12|Dennis Bergkamp · 89</t>
  </si>
  <si>
    <t>Claudio López · 17</t>
  </si>
  <si>
    <t>['12&amp;rsquor;|1:0|Patrick Kluivert|Assist:|Dennis Bergkamp', '89&amp;rsquor;|2:1|Dennis Bergkamp|Assist:|Frank de Boer']</t>
  </si>
  <si>
    <t>['17&amp;rsquor;|1:1|Claudio López|Assist:|Juan Sebastián Verón']</t>
  </si>
  <si>
    <t>Arthur Numan · 76</t>
  </si>
  <si>
    <t>Ariel Ortega · 87</t>
  </si>
  <si>
    <t>['10&amp;rsquor;|0:0|Jaap Stam', '17&amp;rsquor;|1:0|Arthur Numan']</t>
  </si>
  <si>
    <t>['22&amp;rsquor;|1:1|José Chamot', '60&amp;rsquor;|1:1|Roberto Sensini', '86&amp;rsquor;|1:1|Ariel Ortega']</t>
  </si>
  <si>
    <t>['64&amp;rsquor;|1:1|Marc Overmars|for Ronald de Boer']</t>
  </si>
  <si>
    <t>['68&amp;rsquor;|1:1|Mauricio Pineda|for Matías Almeyda', '89&amp;rsquor;|2:1|Abel Balbo|for José Chamot']</t>
  </si>
  <si>
    <t>Berti Vogts</t>
  </si>
  <si>
    <t>Matmut Stadium de Gerland, Lyon</t>
  </si>
  <si>
    <t>Robert Jarni · 45|Goran Vlaović · 80|Davor Šuker · 85</t>
  </si>
  <si>
    <t>['45&amp;rsquor;|0:1|Robert Jarni|Assist:|Mario Stanić', '80&amp;rsquor;|0:2|Goran Vlaović|Assist:|Zvonimir Boban', '85&amp;rsquor;|0:3|Davor Šuker|Assist:|Igor Štimac']</t>
  </si>
  <si>
    <t>Christian Wörns · 40</t>
  </si>
  <si>
    <t>['18&amp;rsquor;|0:0|Jörg Heinrich', '37&amp;rsquor;|0:0|Michael Tarnat']</t>
  </si>
  <si>
    <t>['13&amp;rsquor;|0:0|Dario Šimić', '57&amp;rsquor;|0:1|Davor Šuker']</t>
  </si>
  <si>
    <t>['69&amp;rsquor;|0:1|Ulf Kirsten|for Thomas Häßler', '79&amp;rsquor;|0:1|Olaf Marschall|for Dietmar Hamann']</t>
  </si>
  <si>
    <t>['83&amp;rsquor;|0:2|Silvio Marić|for Goran Vlaović']</t>
  </si>
  <si>
    <t>(3) 0–0 (4)</t>
  </si>
  <si>
    <t>France won on penalty kicks following extra time</t>
  </si>
  <si>
    <t>['2|1:1|Roberto Baggio', '6|2:2|Alessandro Costacurta', '8|3:3|Christian Vieri']</t>
  </si>
  <si>
    <t>['1|0:1|Zinédine Zidane', '5|1:2|David Trezeguet', '7|2:3|Thierry Henry', '9|3:4|Laurent Blanc']</t>
  </si>
  <si>
    <t>['4|1:1|Demetrio Albertini', '10|3:4|Luigi Di Biagio']</t>
  </si>
  <si>
    <t>['3|1:1|Bixente Lizarazu']</t>
  </si>
  <si>
    <t>['26&amp;rsquor;|0:0|Alessandro Del Piero', '28&amp;rsquor;|0:0|Giuseppe Bergomi', '113&amp;rsquor;|0:0|Alessandro Costacurta']</t>
  </si>
  <si>
    <t>["53&amp;rsquor;|0:0|Stéphane Guivarc'h", '62&amp;rsquor;|0:0|Didier Deschamps']</t>
  </si>
  <si>
    <t>['52&amp;rsquor;|0:0|Demetrio Albertini|for Dino Baggio', '67&amp;rsquor;|0:0|Roberto Baggio|for Alessandro Del Piero', '89&amp;rsquor;|0:0|Angelo Di Livio|for Gianluca Pessotto']</t>
  </si>
  <si>
    <t>['65&amp;rsquor;|0:0|Thierry Henry|for Christian Karembeu', "65&amp;rsquor;|0:0|David Trezeguet|for Stéphane Guivarc'h"]</t>
  </si>
  <si>
    <t>Bo Johansson</t>
  </si>
  <si>
    <t>Stade de la Beaujoire - Louis Fonteneau, Nantes</t>
  </si>
  <si>
    <t>Bebeto · 10|Rivaldo · 27|Rivaldo · 60</t>
  </si>
  <si>
    <t>Martin Jørgensen · 2|Brian Laudrup · 50</t>
  </si>
  <si>
    <t>['10&amp;rsquor;|1:1|Bebeto|Assist:|Ronaldo', '27&amp;rsquor;|2:1|Rivaldo|Assist:|Ronaldo', '60&amp;rsquor;|3:2|Rivaldo|Assist:|Dunga']</t>
  </si>
  <si>
    <t>['2&amp;rsquor;|0:1|Martin Jørgensen|Assist:|Brian Laudrup', '50&amp;rsquor;|2:2|Brian Laudrup']</t>
  </si>
  <si>
    <t>['11&amp;rsquor;|1:1|Roberto Carlos', '37&amp;rsquor;|2:1|Aldair', '81&amp;rsquor;|3:2|Cafú']</t>
  </si>
  <si>
    <t>['19&amp;rsquor;|1:1|Thomas Helveg', '39&amp;rsquor;|2:1|Søren Colding', '72&amp;rsquor;|3:2|Stig Tøfting']</t>
  </si>
  <si>
    <t>['64&amp;rsquor;|3:2|Denílson Custódio Machado|for Bebeto', '71&amp;rsquor;|3:2|Emerson|for Leonardo Araújo', '87&amp;rsquor;|3:2|Zé Roberto|for Rivaldo']</t>
  </si>
  <si>
    <t>['46&amp;rsquor;|2:1|Stig Tøfting|for Allan Nielsen', '66&amp;rsquor;|3:2|Ebbe Sand|for Peter Møller', '87&amp;rsquor;|3:2|Michael Schjønberg|for Thomas Helveg']</t>
  </si>
  <si>
    <t>Anghel Iordănescu</t>
  </si>
  <si>
    <t>Stade Jacques Chaban-Delmas, Bordeaux</t>
  </si>
  <si>
    <t>Davor Šuker (P) · 45</t>
  </si>
  <si>
    <t>['43&amp;rsquor;|0:0|Gheorghe Popescu', '70&amp;rsquor;|0:1|Dan Petrescu', '81&amp;rsquor;|0:1|Adrian Ilie']</t>
  </si>
  <si>
    <t>['27&amp;rsquor;|0:0|Zvonimir Boban', '70&amp;rsquor;|0:1|Slaven Bilić']</t>
  </si>
  <si>
    <t>['56&amp;rsquor;|0:1|Gheorghe Craioveanu|for Gheorghe Hagi', '60&amp;rsquor;|0:1|Radu Niculescu|for Gabriel Popescu', '75&amp;rsquor;|0:1|Lucian Marinescu|for Dan Petrescu']</t>
  </si>
  <si>
    <t>['75&amp;rsquor;|0:1|Petar Krpan|for Goran Vlaović', '82&amp;rsquor;|0:1|Igor Tudor|for Mario Stanić']</t>
  </si>
  <si>
    <t>Glenn Hoddle</t>
  </si>
  <si>
    <t>Stade Geoffroy-Guichard, Saint-Étienne</t>
  </si>
  <si>
    <t>(4) 2–2 (3)</t>
  </si>
  <si>
    <t>Javier Zanetti · 45</t>
  </si>
  <si>
    <t>Michael Owen · 16</t>
  </si>
  <si>
    <t>['45&amp;rsquor;|2:2|Javier Zanetti|Assist:|Juan Sebastián Verón']</t>
  </si>
  <si>
    <t>['16&amp;rsquor;|1:2|Michael Owen|Assist:|David Beckham']</t>
  </si>
  <si>
    <t>Gabriel Batistuta (P) · 5</t>
  </si>
  <si>
    <t>Alan Shearer (P) · 9</t>
  </si>
  <si>
    <t>['1|1:0|Sergio Berti', '5|2:1|Juan Sebastián Verón', '7|3:2|Marcelo Gallardo', '9|4:3|Rubén Ayala']</t>
  </si>
  <si>
    <t>['2|1:1|Alan Shearer', '6|2:2|Paul Merson', '8|3:3|Michael Owen']</t>
  </si>
  <si>
    <t>['3|1:1|Hernán Crespo']</t>
  </si>
  <si>
    <t>['4|1:1|Paul Ince', '10|4:3|David Batty']</t>
  </si>
  <si>
    <t>David Beckham · 47</t>
  </si>
  <si>
    <t>['44&amp;rsquor;|1:2|Juan Sebastián Verón', '47&amp;rsquor;|2:2|Diego Simeone', '73&amp;rsquor;|2:2|Matías Almeyda', '110&amp;rsquor;|2:2|Carlos Roa']</t>
  </si>
  <si>
    <t>['5&amp;rsquor;|0:0|David Seaman', '10&amp;rsquor;|1:1|Paul Ince']</t>
  </si>
  <si>
    <t>['68&amp;rsquor;|2:2|Hernán Crespo|for Gabriel Batistuta', '68&amp;rsquor;|2:2|Marcelo Gallardo|for Claudio López', '91&amp;rsquor;|2:2|Sergio Berti|for Diego Simeone']</t>
  </si>
  <si>
    <t>['71&amp;rsquor;|2:2|Gareth Southgate|for Graeme Le Saux', '78&amp;rsquor;|2:2|Paul Merson|for Paul Scholes', '97&amp;rsquor;|2:2|David Batty|for Darren Anderton']</t>
  </si>
  <si>
    <t>Manuel Lapuente</t>
  </si>
  <si>
    <t>Stade de la Mosson, Montpellier</t>
  </si>
  <si>
    <t>Jürgen Klinsmann · 75|Oliver Bierhoff · 86</t>
  </si>
  <si>
    <t>Luis Hernández · 47</t>
  </si>
  <si>
    <t>['75&amp;rsquor;|1:1|Jürgen Klinsmann', '86&amp;rsquor;|2:1|Oliver Bierhoff|Assist:|Ulf Kirsten']</t>
  </si>
  <si>
    <t>['47&amp;rsquor;|0:1|Luis Hernández|Assist:|Carlos Blanco']</t>
  </si>
  <si>
    <t>['45&amp;rsquor;|0:0|Markus Babbel', '56&amp;rsquor;|0:1|Lothar Matthäus', '77&amp;rsquor;|1:1|Michael Tarnat', '88&amp;rsquor;|2:1|Dietmar Hamann']</t>
  </si>
  <si>
    <t>['57&amp;rsquor;|0:1|Duilio Davino', '87&amp;rsquor;|2:1|Carlos Blanco']</t>
  </si>
  <si>
    <t>['37&amp;rsquor;|0:0|Christian Ziege|for Thomas Helmer', '57&amp;rsquor;|0:1|Andreas Möller|for Jörg Heinrich', '73&amp;rsquor;|0:1|Ulf Kirsten|for Thomas Häßler']</t>
  </si>
  <si>
    <t>['46&amp;rsquor;|0:0|Salvador Carmona|for Marcelino Bernal', '53&amp;rsquor;|0:1|Jesús Arellano|for Francisco Palencia', '86&amp;rsquor;|2:1|Ricardo Peláez|for Alberto García Aspe']</t>
  </si>
  <si>
    <t>FR Yugoslavia</t>
  </si>
  <si>
    <t>Slobodan Santrač</t>
  </si>
  <si>
    <t>Stadium Municipal, Toulouse</t>
  </si>
  <si>
    <t>Dennis Bergkamp · 38|Edgar Davids · 90</t>
  </si>
  <si>
    <t>Slobodan Komljenović · 48</t>
  </si>
  <si>
    <t>['38&amp;rsquor;|1:0|Dennis Bergkamp|Assist:|Frank de Boer', '90&amp;rsquor;|2:1|Edgar Davids|Assist:|Ronald de Boer']</t>
  </si>
  <si>
    <t>['48&amp;rsquor;|1:1|Slobodan Komljenović']</t>
  </si>
  <si>
    <t>['38&amp;rsquor;|0:0|Dragan Stojković', '52&amp;rsquor;|1:1|Zoran Mirković', '73&amp;rsquor;|1:1|Goran Đorović']</t>
  </si>
  <si>
    <t>['56&amp;rsquor;|1:1|Dejan Savićević|for Dragan Stojković', '78&amp;rsquor;|1:1|Niša Saveljić|for Siniša Mihajlović']</t>
  </si>
  <si>
    <t>Paulo César Carpegiani</t>
  </si>
  <si>
    <t>Stade Bollaert-Delelis, Lens</t>
  </si>
  <si>
    <t>Laurent Blanc · 114</t>
  </si>
  <si>
    <t>['114&amp;rsquor;|1:0|Laurent Blanc|Assist:|David Trezeguet']</t>
  </si>
  <si>
    <t>['19&amp;rsquor;|0:0|José Luis Chilavert', '23&amp;rsquor;|0:0|Miguel Ángel Benítez', '32&amp;rsquor;|0:0|Julio César Enciso', '84&amp;rsquor;|0:0|Francisco Arce', '99&amp;rsquor;|0:0|José Cardozo']</t>
  </si>
  <si>
    <t>['65&amp;rsquor;|0:0|Robert Pirès|for Thierry Henry', '69&amp;rsquor;|0:0|Alain Boghossian|for Emmanuel Petit', "76&amp;rsquor;|0:0|Stéphane Guivarc'h|for Bernard Diomède"]</t>
  </si>
  <si>
    <t>['54&amp;rsquor;|0:0|Julio César Yegros|for Jorge Luis Campos', '75&amp;rsquor;|0:0|Denis Caniza|for Carlos Paredes', '91&amp;rsquor;|0:0|Arístides Rojas|for José Cardozo']</t>
  </si>
  <si>
    <t>Tijani Babangida · 77</t>
  </si>
  <si>
    <t>Peter Møller · 3|Brian Laudrup · 12|Ebbe Sand · 60|Thomas Helveg · 76</t>
  </si>
  <si>
    <t>['77&amp;rsquor;|1:4|Tijani Babangida|Assist:|Finidi George']</t>
  </si>
  <si>
    <t>['3&amp;rsquor;|0:1|Peter Møller|Assist:|Michael Laudrup', '12&amp;rsquor;|0:2|Brian Laudrup', '60&amp;rsquor;|0:3|Ebbe Sand|Assist:|Michael Laudrup', '76&amp;rsquor;|0:4|Thomas Helveg|Assist:|Martin Jørgensen']</t>
  </si>
  <si>
    <t>['49&amp;rsquor;|0:2|Jay-Jay Okocha']</t>
  </si>
  <si>
    <t>['24&amp;rsquor;|0:2|Marc Rieper']</t>
  </si>
  <si>
    <t>['65&amp;rsquor;|0:3|Rashidi Yekini|for Nwankwo Kanu', '73&amp;rsquor;|0:3|Tijani Babangida|for Garba Lawal']</t>
  </si>
  <si>
    <t>['59&amp;rsquor;|0:2|Ebbe Sand|for Peter Møller', '82&amp;rsquor;|1:4|Per Frandsen|for Michael Laudrup']</t>
  </si>
  <si>
    <t>Egil Olsen</t>
  </si>
  <si>
    <t>['18&amp;rsquor;|1:0|Christian Vieri|Assist:|Luigi Di Biagio']</t>
  </si>
  <si>
    <t>['38&amp;rsquor;|1:0|Francesco Moriero', '84&amp;rsquor;|1:0|Luigi Di Biagio', '89&amp;rsquor;|1:0|Paolo Maldini']</t>
  </si>
  <si>
    <t>['35&amp;rsquor;|1:0|Håvard Flo', '54&amp;rsquor;|1:0|Erik Mykland', '62&amp;rsquor;|1:0|Kjetil Rekdal']</t>
  </si>
  <si>
    <t>['63&amp;rsquor;|1:0|Angelo Di Livio|for Francesco Moriero', '72&amp;rsquor;|1:0|Gianluca Pessotto|for Demetrio Albertini', '77&amp;rsquor;|1:0|Enrico Chiesa|for Alessandro Del Piero']</t>
  </si>
  <si>
    <t>['13&amp;rsquor;|0:0|Roar Strand|for Øyvind Leonhardsen', '39&amp;rsquor;|1:0|Ståle Solbakken|for Roar Strand', '73&amp;rsquor;|1:0|Ole Gunnar Solskjær|for Håvard Flo']</t>
  </si>
  <si>
    <t>Nelson Acosta</t>
  </si>
  <si>
    <t>César Sampaio · 11|César Sampaio · 26|Ronaldo · 70</t>
  </si>
  <si>
    <t>Marcelo Salas · 68</t>
  </si>
  <si>
    <t>['11&amp;rsquor;|1:0|César Sampaio|Assist:|Dunga', '26&amp;rsquor;|2:0|César Sampaio|Assist:|Bebeto', '70&amp;rsquor;|4:1|Ronaldo|Assist:|Denílson Custódio Machado']</t>
  </si>
  <si>
    <t>['68&amp;rsquor;|3:1|Marcelo Salas']</t>
  </si>
  <si>
    <t>Ronaldo (P) · 45</t>
  </si>
  <si>
    <t>['45&amp;rsquor;|2:0|Leonardo Araújo', '90&amp;rsquor;|4:1|Cafú']</t>
  </si>
  <si>
    <t>['34&amp;rsquor;|2:0|Ronald Fuentes', '45&amp;rsquor;|2:0|Nelson Tapia']</t>
  </si>
  <si>
    <t>['65&amp;rsquor;|3:0|Denílson Custódio Machado|for Bebeto', '78&amp;rsquor;|4:1|Marcelo Gonçalves Costa Lopes|for Aldair']</t>
  </si>
  <si>
    <t>['46&amp;rsquor;|3:0|Fabián Estay|for José Luis Sierra', '46&amp;rsquor;|3:0|Marcelo Vega|for Miguel Ramírez', '80&amp;rsquor;|4:1|Luis Musrri|for Clarence Acuña']</t>
  </si>
  <si>
    <t>Mauricio Pineda · 36</t>
  </si>
  <si>
    <t>['36&amp;rsquor;|1:0|Mauricio Pineda|Assist:|Ariel Ortega']</t>
  </si>
  <si>
    <t>['23&amp;rsquor;|0:0|Ariel Ortega', '35&amp;rsquor;|0:0|Rubén Ayala', '68&amp;rsquor;|1:0|Nelson Vivas']</t>
  </si>
  <si>
    <t>['20&amp;rsquor;|0:0|Slaven Bilić', '43&amp;rsquor;|1:0|Zvonimir Soldo', '47&amp;rsquor;|1:0|Zvonimir Boban', '58&amp;rsquor;|1:0|Robert Jarni']</t>
  </si>
  <si>
    <t>['52&amp;rsquor;|1:0|Claudio López|for Ariel Ortega', '67&amp;rsquor;|1:0|Diego Simeone|for Javier Zanetti', '80&amp;rsquor;|1:0|Sergio Berti|for Marcelo Gallardo']</t>
  </si>
  <si>
    <t>['46&amp;rsquor;|1:0|Goran Vlaović|for Silvio Marić', '67&amp;rsquor;|1:0|Igor Štimac|for Robert Prosinečki']</t>
  </si>
  <si>
    <t>René Simões</t>
  </si>
  <si>
    <t>Masashi Nakayama · 74</t>
  </si>
  <si>
    <t>Theodore Whitmore · 39|Theodore Whitmore · 54</t>
  </si>
  <si>
    <t>['74&amp;rsquor;|1:2|Masashi Nakayama|Assist:|Wagner Lopes']</t>
  </si>
  <si>
    <t>['39&amp;rsquor;|0:1|Theodore Whitmore|Assist:|Marcus Gayle', '54&amp;rsquor;|0:2|Theodore Whitmore']</t>
  </si>
  <si>
    <t>['4&amp;rsquor;|0:0|Motohiro Yamaguchi']</t>
  </si>
  <si>
    <t>['78&amp;rsquor;|1:2|Stephen Malcolm', '88&amp;rsquor;|1:2|Chris Dawes']</t>
  </si>
  <si>
    <t>['58&amp;rsquor;|0:2|Wagner Lopes|for Shoji Jo', '58&amp;rsquor;|0:2|Takashi Hirano|for Norio Omura', '78&amp;rsquor;|1:2|Shinji Ono|for Hiroshi Nanami']</t>
  </si>
  <si>
    <t>['72&amp;rsquor;|0:2|Walter Boyd|for Paul Hall', '80&amp;rsquor;|1:2|Deon Burton|for Marcus Gayle', '89&amp;rsquor;|1:2|Robbie Earle|for Fitzroy Simpson']</t>
  </si>
  <si>
    <t>Ali Selmi</t>
  </si>
  <si>
    <t>Viorel Moldovan · 72</t>
  </si>
  <si>
    <t>['72&amp;rsquor;|1:1|Viorel Moldovan']</t>
  </si>
  <si>
    <t>Skander Souayah (P) · 10</t>
  </si>
  <si>
    <t>['28&amp;rsquor;|0:1|Zoubeir Baya', '57&amp;rsquor;|0:1|Skander Souayah']</t>
  </si>
  <si>
    <t>['32&amp;rsquor;|0:1|Gheorghe Popescu|for Cristian Dulca', '46&amp;rsquor;|0:1|Adrian Ilie|for Marius Lăcătuș', '68&amp;rsquor;|0:1|Viorel Moldovan|for Ilie Dumitrescu']</t>
  </si>
  <si>
    <t>['60&amp;rsquor;|0:1|Riadh Jelassi|for Mehdi Ben Slimane', '85&amp;rsquor;|1:1|Tarek Thabet|for Kaies Ghodhbane', '90&amp;rsquor;|1:1|Imed Ben Younes|for Skander Souayah']</t>
  </si>
  <si>
    <t>Darren Anderton · 20|David Beckham · 29</t>
  </si>
  <si>
    <t>['20&amp;rsquor;|0:1|Darren Anderton', '29&amp;rsquor;|0:2|David Beckham']</t>
  </si>
  <si>
    <t>['20&amp;rsquor;|0:0|Mauricio Serna', '86&amp;rsquor;|0:2|Víctor Aristizábal', '89&amp;rsquor;|0:2|Jesus Bermúdez']</t>
  </si>
  <si>
    <t>['22&amp;rsquor;|0:1|Paul Scholes', '89&amp;rsquor;|0:2|Alan Shearer']</t>
  </si>
  <si>
    <t>['46&amp;rsquor;|0:2|Hamilton Ricard|for Antony de Ávila', '46&amp;rsquor;|0:2|Adolfo Valencia|for Léider Preciado', '46&amp;rsquor;|0:2|Víctor Aristizábal|for Mauricio Serna']</t>
  </si>
  <si>
    <t>['73&amp;rsquor;|0:2|Steve McManaman|for Paul Scholes', '79&amp;rsquor;|0:2|Rob Lee|for Darren Anderton', '83&amp;rsquor;|0:2|David Batty|for Paul Ince']</t>
  </si>
  <si>
    <t>Phillip Cocu · 4|Ronald de Boer · 18</t>
  </si>
  <si>
    <t>Ricardo Peláez · 75|Claudio Suárez · 90</t>
  </si>
  <si>
    <t>['4&amp;rsquor;|1:0|Phillip Cocu|Assist:|Dennis Bergkamp', '18&amp;rsquor;|2:0|Ronald de Boer|Assist:|Phillip Cocu']</t>
  </si>
  <si>
    <t>['75&amp;rsquor;|2:1|Ricardo Peláez|Assist:|Germán Villa', '90&amp;rsquor;|2:2|Claudio Suárez']</t>
  </si>
  <si>
    <t>Ramón Ramírez · 89</t>
  </si>
  <si>
    <t>['21&amp;rsquor;|2:0|Jaap Stam', '46&amp;rsquor;|2:0|Arthur Numan']</t>
  </si>
  <si>
    <t>['18&amp;rsquor;|1:0|Germán Villa', '46&amp;rsquor;|2:0|Luis Hernández', '58&amp;rsquor;|2:0|Salvador Carmona', '68&amp;rsquor;|2:0|Ricardo Peláez']</t>
  </si>
  <si>
    <t>['70&amp;rsquor;|2:0|Aron Winter|for Wim Jonk', '71&amp;rsquor;|2:0|Winston Bogarde|for Arthur Numan', '78&amp;rsquor;|2:1|Jimmy Floyd Hasselbaink|for Dennis Bergkamp']</t>
  </si>
  <si>
    <t>['46&amp;rsquor;|2:0|Jesús Arellano|for Braulio Luna', '55&amp;rsquor;|2:0|Ricardo Peláez|for Joel Sánchez']</t>
  </si>
  <si>
    <t>Georges Leekens</t>
  </si>
  <si>
    <t>Kim Pyung-seok</t>
  </si>
  <si>
    <t>Luc Nilis · 7</t>
  </si>
  <si>
    <t>Yoo Sang-chul · 71</t>
  </si>
  <si>
    <t>['7&amp;rsquor;|1:0|Luc Nilis']</t>
  </si>
  <si>
    <t>['71&amp;rsquor;|1:1|Yoo Sang-chul|Assist:|Ha Seok-ju']</t>
  </si>
  <si>
    <t>['65&amp;rsquor;|1:0|Vital Borkelmans']</t>
  </si>
  <si>
    <t>['48&amp;rsquor;|1:0|Kim Tae-young', '67&amp;rsquor;|1:0|Lee Lim-saeng', '83&amp;rsquor;|1:1|Kim Byung-ji', '83&amp;rsquor;|1:1|Lee Min-sung']</t>
  </si>
  <si>
    <t>['46&amp;rsquor;|1:0|Mbo Mpenza|for Luís Oliveira', '65&amp;rsquor;|1:0|Franky Van der Elst|for Enzo Scifo', '74&amp;rsquor;|1:1|Émile Mpenza|for Philippe Clement']</t>
  </si>
  <si>
    <t>['46&amp;rsquor;|1:0|Ko Jong-soo|for Kim Do-keun', '46&amp;rsquor;|1:0|Lee Lim-saeng|for Choi Sung-yong', '66&amp;rsquor;|1:0|Jang Hyung-seok|for Lee Sang-hun']</t>
  </si>
  <si>
    <t>Steve Sampson</t>
  </si>
  <si>
    <t>Slobodan Komljenović · 4</t>
  </si>
  <si>
    <t>['4&amp;rsquor;|0:1|Slobodan Komljenović']</t>
  </si>
  <si>
    <t>['13&amp;rsquor;|0:1|Claudio Reyna']</t>
  </si>
  <si>
    <t>['41&amp;rsquor;|0:1|Dejan Stanković', '61&amp;rsquor;|0:1|Perica Ognjenović']</t>
  </si>
  <si>
    <t>['58&amp;rsquor;|0:1|Preki|for Joe-Max Moore', '64&amp;rsquor;|0:1|Eric Wynalda|for Frankie Hejduk', '81&amp;rsquor;|0:1|Marcelo Balboa|for Thomas Dooley']</t>
  </si>
  <si>
    <t>['30&amp;rsquor;|0:1|Perica Ognjenović|for Predrag Mijatović', '54&amp;rsquor;|0:1|Branko Brnović|for Dejan Stanković', '62&amp;rsquor;|0:1|Dejan Savićević|for Dragan Stojković']</t>
  </si>
  <si>
    <t>Jalal Talebi</t>
  </si>
  <si>
    <t>Oliver Bierhoff · 50|Jürgen Klinsmann · 58</t>
  </si>
  <si>
    <t>['50&amp;rsquor;|1:0|Oliver Bierhoff|Assist:|Thomas Häßler', '58&amp;rsquor;|2:0|Jürgen Klinsmann']</t>
  </si>
  <si>
    <t>['31&amp;rsquor;|0:0|Jürgen Klinsmann', '45&amp;rsquor;|0:0|Thomas Häßler']</t>
  </si>
  <si>
    <t>['47&amp;rsquor;|0:0|Ali Daei']</t>
  </si>
  <si>
    <t>['46&amp;rsquor;|0:0|Dietmar Hamann|for Olaf Thon', '69&amp;rsquor;|2:0|Ulf Kirsten|for Thomas Häßler', '76&amp;rsquor;|2:0|Christian Ziege|for Michael Tarnat']</t>
  </si>
  <si>
    <t>['70&amp;rsquor;|2:0|Sirous Dinmohammadi|for Javad Zarincheh']</t>
  </si>
  <si>
    <t>Mohammed Al-Kharashy</t>
  </si>
  <si>
    <t>Shaun Bartlett · 18</t>
  </si>
  <si>
    <t>['18&amp;rsquor;|1:0|Shaun Bartlett|Assist:|Pierre Issa']</t>
  </si>
  <si>
    <t>Shaun Bartlett (P) · 90</t>
  </si>
  <si>
    <t>Sami Al-Jaber (P) · 45|Yousuf Al-Thunayan (P) · 74</t>
  </si>
  <si>
    <t>['38&amp;rsquor;|1:0|Quinton Fortune', '65&amp;rsquor;|1:1|Lucas Radebe']</t>
  </si>
  <si>
    <t>['30&amp;rsquor;|1:0|Khamis Al-Dosari']</t>
  </si>
  <si>
    <t>['46&amp;rsquor;|1:1|Delron Buckley|for Willem Jackson', '46&amp;rsquor;|1:1|Jerry Sikhosana|for Benni McCarthy', '67&amp;rsquor;|1:1|Doctor Khumalo|for Quinton Fortune']</t>
  </si>
  <si>
    <t>['64&amp;rsquor;|1:1|Ibrahim Al-Shahrani|for Fahad Al-Mehallel', '81&amp;rsquor;|1:2|Ibrahim Al-Harbi|for Yousuf Al-Thunayan']</t>
  </si>
  <si>
    <t>Emmanuel Petit · 57</t>
  </si>
  <si>
    <t>['57&amp;rsquor;|2:1|Emmanuel Petit']</t>
  </si>
  <si>
    <t>Youri Djorkaeff (P) · 12</t>
  </si>
  <si>
    <t>Michael Laudrup (P) · 42</t>
  </si>
  <si>
    <t>['53&amp;rsquor;|1:1|Bernard Diomède', '62&amp;rsquor;|2:1|Patrick Vieira']</t>
  </si>
  <si>
    <t>['65&amp;rsquor;|2:1|Søren Colding', '78&amp;rsquor;|2:1|Stig Tøfting']</t>
  </si>
  <si>
    <t>['64&amp;rsquor;|2:1|Alain Boghossian|for Emmanuel Petit', '71&amp;rsquor;|2:1|Thierry Henry|for Robert Pirès', "85&amp;rsquor;|2:1|Stéphane Guivarc'h|for David Trezeguet"]</t>
  </si>
  <si>
    <t>['46&amp;rsquor;|1:1|Søren Colding|for Jacob Laursen', '54&amp;rsquor;|1:1|Ebbe Sand|for Martin Jørgensen', '75&amp;rsquor;|2:1|Stig Tøfting|for Brian Laudrup']</t>
  </si>
  <si>
    <t>Javier Clemente</t>
  </si>
  <si>
    <t>Hristo Bonev</t>
  </si>
  <si>
    <t>Luis Enrique · 18|Fernando Morientes · 55|Fernando Morientes · 81|Kiko · 90</t>
  </si>
  <si>
    <t>Emil Kostadinov · 58</t>
  </si>
  <si>
    <t>['18&amp;rsquor;|2:0|Luis Enrique|Assist:|Joseba Etxeberria', '55&amp;rsquor;|3:0|Fernando Morientes|Assist:|Luis Enrique', '81&amp;rsquor;|4:1|Fernando Morientes|Assist:|Raúl', '90&amp;rsquor;|6:1|Kiko|Assist:|Fernando Hierro']</t>
  </si>
  <si>
    <t>['58&amp;rsquor;|3:1|Emil Kostadinov|Assist:|Daniel Borimirov']</t>
  </si>
  <si>
    <t>Georgi Bachev (OG) · 88</t>
  </si>
  <si>
    <t>Fernando Hierro (P) · 6</t>
  </si>
  <si>
    <t>['16&amp;rsquor;|1:0|Carlos Aguilera', '73&amp;rsquor;|3:1|Julen Guerrero']</t>
  </si>
  <si>
    <t>['45&amp;rsquor;|2:0|Lyuboslav Penev', '85&amp;rsquor;|4:1|Georgi Bachev']</t>
  </si>
  <si>
    <t>['50&amp;rsquor;|2:0|Raúl|for Joseba Etxeberria', '65&amp;rsquor;|3:1|Kiko|for Alfonso Pérez', '69&amp;rsquor;|3:1|Julen Guerrero|for Luis Enrique']</t>
  </si>
  <si>
    <t>['28&amp;rsquor;|2:0|Lyuboslav Penev|for Anatoli Nankov', '46&amp;rsquor;|2:0|Ilian Iliev|for Hristo Stoichkov', '61&amp;rsquor;|3:1|Marian Hristov|for Krasimir Balakov']</t>
  </si>
  <si>
    <t>Wilson Oruma · 11</t>
  </si>
  <si>
    <t>Celso Ayala · 1|Miguel Ángel Benítez · 59|José Cardozo · 86</t>
  </si>
  <si>
    <t>['11&amp;rsquor;|1:1|Wilson Oruma']</t>
  </si>
  <si>
    <t>['1&amp;rsquor;|0:1|Celso Ayala|Assist:|Francisco Arce', '59&amp;rsquor;|1:2|Miguel Ángel Benítez|Assist:|Carlos Paredes', '86&amp;rsquor;|1:3|José Cardozo|Assist:|Arístides Rojas']</t>
  </si>
  <si>
    <t>['25&amp;rsquor;|1:1|Augustine Eguavoen', '38&amp;rsquor;|1:1|Benedict Iroha']</t>
  </si>
  <si>
    <t>['46&amp;rsquor;|1:1|Godwin Okpara|for Sunday Oliseh', '68&amp;rsquor;|1:2|Finidi George|for Wilson Oruma']</t>
  </si>
  <si>
    <t>['55&amp;rsquor;|1:1|Julio César Yegros|for Denis Caniza', '67&amp;rsquor;|1:2|Roberto Acuña|for Miguel Ángel Benítez', '77&amp;rsquor;|1:2|Arístides Rojas|for Hugo Brizuela']</t>
  </si>
  <si>
    <t>Herbert Prohaska</t>
  </si>
  <si>
    <t>Christian Vieri · 49|Roberto Baggio · 90</t>
  </si>
  <si>
    <t>['49&amp;rsquor;|1:0|Christian Vieri|Assist:|Alessandro Del Piero', '90&amp;rsquor;|2:1|Roberto Baggio|Assist:|Filippo Inzaghi']</t>
  </si>
  <si>
    <t>Andreas Herzog (P) · 90</t>
  </si>
  <si>
    <t>['87&amp;rsquor;|1:0|Paolo Maldini']</t>
  </si>
  <si>
    <t>['3&amp;rsquor;|0:0|Wolfgang Feiersinger', '35&amp;rsquor;|0:0|Ivica Vastić', '43&amp;rsquor;|0:0|Peter Schöttel', '88&amp;rsquor;|1:0|Hannes Reinmayr']</t>
  </si>
  <si>
    <t>['4&amp;rsquor;|0:0|Giuseppe Bergomi|for Alessandro Nesta', '60&amp;rsquor;|1:0|Filippo Inzaghi|for Christian Vieri', '72&amp;rsquor;|1:0|Roberto Baggio|for Alessandro Del Piero']</t>
  </si>
  <si>
    <t>['62&amp;rsquor;|1:0|Mario Haas|for Toni Polster', '73&amp;rsquor;|1:0|Peter Stöger|for Dietmar Kühbauer', '80&amp;rsquor;|1:0|Andreas Herzog|for Heimo Pfeifenberger']</t>
  </si>
  <si>
    <t>Claude Le Roy</t>
  </si>
  <si>
    <t>José Luis Sierra · 20</t>
  </si>
  <si>
    <t>Patrick M'Boma · 56</t>
  </si>
  <si>
    <t>['20&amp;rsquor;|1:0|José Luis Sierra']</t>
  </si>
  <si>
    <t>["56&amp;rsquor;|1:1|Patrick M'Boma|Assist:|François Omam-Biyik"]</t>
  </si>
  <si>
    <t>Rigobert Song · 51|Lauren · 88</t>
  </si>
  <si>
    <t>['50&amp;rsquor;|1:0|Nelson Parraguez', '55&amp;rsquor;|1:0|Francisco Rojas Rojas', '67&amp;rsquor;|1:1|Moisés Villarroel', '89&amp;rsquor;|1:1|Miguel Ramírez']</t>
  </si>
  <si>
    <t>['8&amp;rsquor;|0:0|Rigobert Song']</t>
  </si>
  <si>
    <t>['70&amp;rsquor;|1:1|Fabián Estay|for José Luis Sierra', '70&amp;rsquor;|1:1|Fernando Cornejo|for Moisés Villarroel', '77&amp;rsquor;|1:1|Miguel Ramírez|for Francisco Rojas Rojas']</t>
  </si>
  <si>
    <t>['68&amp;rsquor;|1:1|Didier Angibeaud|for Salomon Olembé', '72&amp;rsquor;|1:1|Alphonse Tchami|for Joseph-Désiré Job', "82&amp;rsquor;|1:1|Lauren|for Joseph N'Do"]</t>
  </si>
  <si>
    <t>Bebeto · 78</t>
  </si>
  <si>
    <t>Tore André Flo · 83</t>
  </si>
  <si>
    <t>['78&amp;rsquor;|1:0|Bebeto|Assist:|Denílson Custódio Machado']</t>
  </si>
  <si>
    <t>['83&amp;rsquor;|1:1|Tore André Flo|Assist:|Stig Inge Bjørnebye']</t>
  </si>
  <si>
    <t>Kjetil Rekdal (P) · 89</t>
  </si>
  <si>
    <t>['54&amp;rsquor;|0:0|Øyvind Leonhardsen', '61&amp;rsquor;|0:0|Tore André Flo']</t>
  </si>
  <si>
    <t>['46&amp;rsquor;|0:0|Erik Mykland|for Roar Strand', '68&amp;rsquor;|0:0|Ole Gunnar Solskjær|for Håvard Flo', '79&amp;rsquor;|1:0|Jostein Flo|for Vidar Riseth']</t>
  </si>
  <si>
    <t>Craig Brown</t>
  </si>
  <si>
    <t>Salaheddine Bassir · 23|Abdeljalil Hadda · 47|Salaheddine Bassir · 85</t>
  </si>
  <si>
    <t>['23&amp;rsquor;|0:1|Salaheddine Bassir|Assist:|Tahar El Khalej', '47&amp;rsquor;|0:2|Abdeljalil Hadda|Assist:|Mustapha Hadji', '85&amp;rsquor;|0:3|Salaheddine Bassir|Assist:|Abdeljalil Hadda']</t>
  </si>
  <si>
    <t>Craig Burley · 53</t>
  </si>
  <si>
    <t>['21&amp;rsquor;|0:0|Kevin Gallacher']</t>
  </si>
  <si>
    <t>['81&amp;rsquor;|0:2|Youssef Chippo']</t>
  </si>
  <si>
    <t>['54&amp;rsquor;|0:2|Tosh McKinlay|for Jackie McNamara', '83&amp;rsquor;|0:2|Scott Booth|for Gordon Durie']</t>
  </si>
  <si>
    <t>['72&amp;rsquor;|0:2|Youssef Rossi|for Abdelilah Saber', '76&amp;rsquor;|0:2|Rachid Azzouzi|for Gharib Amzine', '87&amp;rsquor;|0:3|Jamal Sellami|for Youssef Chippo']</t>
  </si>
  <si>
    <t>Henryk Kasperczak</t>
  </si>
  <si>
    <t>Léider Preciado · 83</t>
  </si>
  <si>
    <t>['83&amp;rsquor;|1:0|Léider Preciado|Assist:|Carlos Valderrama']</t>
  </si>
  <si>
    <t>['18&amp;rsquor;|0:0|José Santa']</t>
  </si>
  <si>
    <t>['16&amp;rsquor;|0:0|Riadh Bouazizi', '16&amp;rsquor;|0:0|Raouf Bouzaiene', '83&amp;rsquor;|0:0|José Clayton']</t>
  </si>
  <si>
    <t>['56&amp;rsquor;|0:0|Léider Preciado|for Adolfo Valencia', '56&amp;rsquor;|0:0|Víctor Aristizábal|for Freddy Rincón', '62&amp;rsquor;|0:0|Jorge Bolaño|for Mauricio Serna']</t>
  </si>
  <si>
    <t>['68&amp;rsquor;|0:0|Imed Ben Younes|for Adel Sellimi', '73&amp;rsquor;|0:0|Faysal Ben Ahmed|for Zoubeir Baya', '76&amp;rsquor;|0:0|Kaies Ghodhbane|for Tarek Thabet']</t>
  </si>
  <si>
    <t>Viorel Moldovan · 47|Dan Petrescu · 90</t>
  </si>
  <si>
    <t>Michael Owen · 83</t>
  </si>
  <si>
    <t>['47&amp;rsquor;|1:0|Viorel Moldovan|Assist:|Gheorghe Hagi', '90&amp;rsquor;|2:1|Dan Petrescu|Assist:|Dorinel Munteanu']</t>
  </si>
  <si>
    <t>['83&amp;rsquor;|1:1|Michael Owen|Assist:|Alan Shearer']</t>
  </si>
  <si>
    <t>['4&amp;rsquor;|0:0|Gheorghe Hagi', '46&amp;rsquor;|0:0|Gheorghe Popescu', '78&amp;rsquor;|1:0|Liviu Ciobotariu', '88&amp;rsquor;|1:1|Iulian Filipescu']</t>
  </si>
  <si>
    <t>['72&amp;rsquor;|1:0|Ovidiu Stîngă|for Gheorghe Hagi', '81&amp;rsquor;|1:0|Lucian Marinescu|for Ovidiu Stîngă', '86&amp;rsquor;|1:1|Marius Lăcătuș|for Viorel Moldovan']</t>
  </si>
  <si>
    <t>['32&amp;rsquor;|0:0|David Beckham|for Paul Ince', '72&amp;rsquor;|1:0|Michael Owen|for Teddy Sheringham']</t>
  </si>
  <si>
    <t>Oliver Bierhoff · 80</t>
  </si>
  <si>
    <t>Predrag Mijatović · 13|Dragan Stojković · 54</t>
  </si>
  <si>
    <t>['80&amp;rsquor;|2:2|Oliver Bierhoff|Assist:|Olaf Thon']</t>
  </si>
  <si>
    <t>['13&amp;rsquor;|0:1|Predrag Mijatović', '54&amp;rsquor;|0:2|Dragan Stojković']</t>
  </si>
  <si>
    <t>Siniša Mihajlović (OG) · 72</t>
  </si>
  <si>
    <t>['75&amp;rsquor;|1:2|Lothar Matthäus']</t>
  </si>
  <si>
    <t>['46&amp;rsquor;|0:1|Lothar Matthäus|for Dietmar Hamann', '57&amp;rsquor;|0:2|Ulf Kirsten|for Andreas Möller', '66&amp;rsquor;|0:2|Michael Tarnat|for Christian Ziege']</t>
  </si>
  <si>
    <t>['57&amp;rsquor;|0:2|Perica Ognjenović|for Darko Kovačević', '66&amp;rsquor;|0:2|Dejan Govedarica|for Dejan Stanković', '74&amp;rsquor;|1:2|Miroslav Stević|for Željko Petrović']</t>
  </si>
  <si>
    <t>Ariel Ortega · 32|Ariel Ortega · 55|Gabriel Batistuta · 72|Gabriel Batistuta · 79</t>
  </si>
  <si>
    <t>['32&amp;rsquor;|1:0|Ariel Ortega|Assist:|Juan Sebastián Verón', '55&amp;rsquor;|2:0|Ariel Ortega|Assist:|Claudio López', '72&amp;rsquor;|3:0|Gabriel Batistuta|Assist:|Ariel Ortega', '79&amp;rsquor;|4:0|Gabriel Batistuta|Assist:|Claudio López']</t>
  </si>
  <si>
    <t>Gabriel Batistuta (P) · 83</t>
  </si>
  <si>
    <t>Darryl Powell · 45</t>
  </si>
  <si>
    <t>['65&amp;rsquor;|2:0|José Chamot']</t>
  </si>
  <si>
    <t>['4&amp;rsquor;|0:0|Darryl Powell', '88&amp;rsquor;|5:0|Peter Cargill']</t>
  </si>
  <si>
    <t>['25&amp;rsquor;|0:0|Nelson Vivas|for Roberto Sensini', '75&amp;rsquor;|3:0|Marcelo Gallardo|for Claudio López', '80&amp;rsquor;|4:0|Mauricio Pineda|for Diego Simeone']</t>
  </si>
  <si>
    <t>['46&amp;rsquor;|1:0|Peter Cargill|for Deon Burton', '62&amp;rsquor;|2:0|Walter Boyd|for Stephen Malcolm', '73&amp;rsquor;|3:0|Robbie Earle|for Theodore Whitmore']</t>
  </si>
  <si>
    <t>Brian McBride · 87</t>
  </si>
  <si>
    <t>Hamid Estili · 40|Mehdi Mahdavikia · 84</t>
  </si>
  <si>
    <t>['87&amp;rsquor;|1:2|Brian McBride|Assist:|Preki']</t>
  </si>
  <si>
    <t>['40&amp;rsquor;|0:1|Hamid Estili|Assist:|Javad Zarincheh', '84&amp;rsquor;|0:2|Mehdi Mahdavikia|Assist:|Ali Daei']</t>
  </si>
  <si>
    <t>['18&amp;rsquor;|0:0|David Regis']</t>
  </si>
  <si>
    <t>['8&amp;rsquor;|0:0|Mehrdad Minavand', '77&amp;rsquor;|0:1|Javad Zarincheh']</t>
  </si>
  <si>
    <t>['57&amp;rsquor;|0:1|Preki|for Tab Ramos', '57&amp;rsquor;|0:1|Earnie Stewart|for Roy Wegerle', '82&amp;rsquor;|0:1|Brian Maisonneuve|for Thomas Dooley']</t>
  </si>
  <si>
    <t>['74&amp;rsquor;|0:1|Alireza Mansourian|for Khodadad Azizi', '75&amp;rsquor;|0:1|Afshin Peyrovani|for Nader Mohammadkhani', '77&amp;rsquor;|0:1|Naeim Saadavi|for Javad Zarincheh']</t>
  </si>
  <si>
    <t>Davor Šuker · 77</t>
  </si>
  <si>
    <t>['77&amp;rsquor;|0:1|Davor Šuker|Assist:|Aljoša Asanović']</t>
  </si>
  <si>
    <t>['41&amp;rsquor;|0:0|Hiroshi Nanami', '70&amp;rsquor;|0:0|Eisuke Nakanishi', '89&amp;rsquor;|0:1|Yutaka Akita']</t>
  </si>
  <si>
    <t>['26&amp;rsquor;|0:0|Robert Prosinečki', '83&amp;rsquor;|0:1|Mario Stanić']</t>
  </si>
  <si>
    <t>['61&amp;rsquor;|0:0|Masayuki Okano|for Masashi Nakayama', '79&amp;rsquor;|0:1|Hiroaki Morishima|for Akira Narahashi', '84&amp;rsquor;|0:1|Wagner Lopes|for Hiroshi Nanami']</t>
  </si>
  <si>
    <t>['46&amp;rsquor;|0:0|Goran Vlaović|for Igor Štimac', '67&amp;rsquor;|0:0|Silvio Marić|for Robert Prosinečki', '88&amp;rsquor;|0:1|Igor Tudor|for Mario Stanić']</t>
  </si>
  <si>
    <t>Marc Wilmots · 43|Marc Wilmots · 47</t>
  </si>
  <si>
    <t>Carlos Blanco · 62</t>
  </si>
  <si>
    <t>['43&amp;rsquor;|1:0|Marc Wilmots|Assist:|Luís Oliveira', '47&amp;rsquor;|2:0|Marc Wilmots']</t>
  </si>
  <si>
    <t>['62&amp;rsquor;|2:2|Carlos Blanco|Assist:|Ramón Ramírez']</t>
  </si>
  <si>
    <t>Alberto García Aspe (P) · 55</t>
  </si>
  <si>
    <t>Gert Verheyen · 54</t>
  </si>
  <si>
    <t>Pável Pardo · 28</t>
  </si>
  <si>
    <t>['68&amp;rsquor;|2:2|Gordan Vidović']</t>
  </si>
  <si>
    <t>['39&amp;rsquor;|0:0|Ramón Ramírez', '47&amp;rsquor;|1:0|Carlos Blanco']</t>
  </si>
  <si>
    <t>['17&amp;rsquor;|0:0|Gert Verheyen|for Danny Boffin', '67&amp;rsquor;|2:2|Glen De Boeck|for Franky Van der Elst', '77&amp;rsquor;|2:2|Émile Mpenza|for Luc Nilis']</t>
  </si>
  <si>
    <t>['46&amp;rsquor;|1:0|Jesús Arellano|for Francisco Palencia', '57&amp;rsquor;|2:1|Germán Villa|for Jaime Ordiales', '67&amp;rsquor;|2:2|Raúl Lara|for Alberto García Aspe']</t>
  </si>
  <si>
    <t>Cha Bum-kun</t>
  </si>
  <si>
    <t>Phillip Cocu · 38|Marc Overmars · 42|Dennis Bergkamp · 71|Pierre van Hooijdonk · 80|Ronald de Boer · 83</t>
  </si>
  <si>
    <t>['38&amp;rsquor;|1:0|Phillip Cocu|Assist:|Dennis Bergkamp', '42&amp;rsquor;|2:0|Marc Overmars|Assist:|Wim Jonk', '71&amp;rsquor;|3:0|Dennis Bergkamp|Assist:|Aron Winter', '80&amp;rsquor;|4:0|Pierre van Hooijdonk|Assist:|Marc Overmars', '83&amp;rsquor;|5:0|Ronald de Boer|Assist:|Wim Jonk']</t>
  </si>
  <si>
    <t>['26&amp;rsquor;|0:0|Choi Yong-soo', '90&amp;rsquor;|5:0|Ko Jong-soo']</t>
  </si>
  <si>
    <t>['78&amp;rsquor;|3:0|Pierre van Hooijdonk|for Dennis Bergkamp', '80&amp;rsquor;|4:0|Winston Bogarde|for Arthur Numan', '84&amp;rsquor;|5:0|Boudewijn Zenden|for Ronald de Boer']</t>
  </si>
  <si>
    <t>['53&amp;rsquor;|2:0|Kim Tae-young|for Choi Yong-soo', '69&amp;rsquor;|2:0|Ko Jong-soo|for Kim Do-hoon', '77&amp;rsquor;|3:0|Lee Dong-gook|for Seo Jung-won']</t>
  </si>
  <si>
    <t>Victor Ikpeba · 26</t>
  </si>
  <si>
    <t>['26&amp;rsquor;|1:0|Victor Ikpeba|Assist:|Daniel Amokachi']</t>
  </si>
  <si>
    <t>['20&amp;rsquor;|0:0|Mutiu Adepoju', '44&amp;rsquor;|1:0|Uche Okechukwu', '49&amp;rsquor;|1:0|Victor Ikpeba', '70&amp;rsquor;|1:0|Jay-Jay Okocha']</t>
  </si>
  <si>
    <t>['66&amp;rsquor;|1:0|Ilian Iliev', '78&amp;rsquor;|1:0|Radostin Kishishev']</t>
  </si>
  <si>
    <t>['67&amp;rsquor;|1:0|Nwankwo Kanu|for Daniel Amokachi', '75&amp;rsquor;|1:0|Rashidi Yekini|for Victor Ikpeba', '84&amp;rsquor;|1:0|Tijani Babangida|for Finidi George']</t>
  </si>
  <si>
    <t>['46&amp;rsquor;|1:0|Daniel Borimirov|for Marian Hristov', '66&amp;rsquor;|1:0|Lyuboslav Penev|for Ilian Iliev', '84&amp;rsquor;|1:0|Georgi Bachev|for Zlatko Yankov']</t>
  </si>
  <si>
    <t>['8&amp;rsquor;|0:0|Sergi Barjuán', '87&amp;rsquor;|0:0|Kiko']</t>
  </si>
  <si>
    <t>['30&amp;rsquor;|0:0|Celso Ayala', '76&amp;rsquor;|0:0|Francisco Arce']</t>
  </si>
  <si>
    <t>['52&amp;rsquor;|0:0|Fernando Morientes|for Juan Antonio Pizzi', '56&amp;rsquor;|0:0|Albert Celades|for Abelardo Fernández', '65&amp;rsquor;|0:0|Kiko|for Raúl']</t>
  </si>
  <si>
    <t>['46&amp;rsquor;|0:0|Carlos Paredes|for Jorge Luis Campos', '73&amp;rsquor;|0:0|Julio César Yegros|for Roberto Acuña', '83&amp;rsquor;|0:0|César Augusto Ramírez|for Arístides Rojas']</t>
  </si>
  <si>
    <t>Benni McCarthy · 52</t>
  </si>
  <si>
    <t>Allan Nielsen · 13</t>
  </si>
  <si>
    <t>['52&amp;rsquor;|1:1|Benni McCarthy|Assist:|Shaun Bartlett']</t>
  </si>
  <si>
    <t>['13&amp;rsquor;|0:1|Allan Nielsen|Assist:|Brian Laudrup']</t>
  </si>
  <si>
    <t>Alfred Phiri · 68</t>
  </si>
  <si>
    <t>Miklos Molnar · 66|Morten Wieghorst · 85</t>
  </si>
  <si>
    <t>['28&amp;rsquor;|0:1|David Nyathi', '63&amp;rsquor;|1:1|Pierre Issa', '65&amp;rsquor;|1:1|Alfred Phiri', '73&amp;rsquor;|1:1|Lucas Radebe']</t>
  </si>
  <si>
    <t>['23&amp;rsquor;|0:1|Michael Schjønberg', '56&amp;rsquor;|1:1|Jes Høgh', '57&amp;rsquor;|1:1|Peter Schmeichel']</t>
  </si>
  <si>
    <t>['46&amp;rsquor;|0:1|Alfred Phiri|for Brendan Augustine', '77&amp;rsquor;|1:1|Phil Masinga|for Shaun Bartlett', '88&amp;rsquor;|1:1|Delron Buckley|for David Nyathi']</t>
  </si>
  <si>
    <t>['58&amp;rsquor;|1:1|Miklos Molnar|for Ebbe Sand', '58&amp;rsquor;|1:1|Jan Heintze|for Michael Laudrup', '82&amp;rsquor;|1:1|Morten Wieghorst|for Michael Schjønberg']</t>
  </si>
  <si>
    <t>Thierry Henry · 36|David Trezeguet · 68|Thierry Henry · 77|Bixente Lizarazu · 85</t>
  </si>
  <si>
    <t>['36&amp;rsquor;|1:0|Thierry Henry|Assist:|Bixente Lizarazu', '68&amp;rsquor;|2:0|David Trezeguet', '77&amp;rsquor;|3:0|Thierry Henry', '85&amp;rsquor;|4:0|Bixente Lizarazu|Assist:|Youri Djorkaeff']</t>
  </si>
  <si>
    <t>Zinédine Zidane · 71</t>
  </si>
  <si>
    <t>Mohammed Al Khilaiwi · 19</t>
  </si>
  <si>
    <t>['36&amp;rsquor;|0:0|Laurent Blanc', '50&amp;rsquor;|1:0|Bixente Lizarazu']</t>
  </si>
  <si>
    <t>['7&amp;rsquor;|0:0|Mohammed Al-Jahani', '82&amp;rsquor;|3:0|Sami Al-Jaber']</t>
  </si>
  <si>
    <t>['30&amp;rsquor;|0:0|David Trezeguet|for Christophe Dugarry', '58&amp;rsquor;|1:0|Youri Djorkaeff|for Bernard Diomède', '79&amp;rsquor;|3:0|Robert Pirès|for Thierry Henry']</t>
  </si>
  <si>
    <t>['33&amp;rsquor;|0:0|Ibrahim Al-Harbi|for Saeed Al-Owairan', '65&amp;rsquor;|1:0|Khaled Al-Muwallid|for Ibrahim Al-Harbi', '76&amp;rsquor;|2:0|Ahmed Dokhi|for Mohammed Al-Jahani']</t>
  </si>
  <si>
    <t>Marcelo Salas · 70</t>
  </si>
  <si>
    <t>Ivica Vastić · 90</t>
  </si>
  <si>
    <t>['70&amp;rsquor;|1:0|Marcelo Salas']</t>
  </si>
  <si>
    <t>['90&amp;rsquor;|1:1|Ivica Vastić|Assist:|Roman Mählich']</t>
  </si>
  <si>
    <t>['16&amp;rsquor;|0:0|Moisés Villarroel', '47&amp;rsquor;|0:0|Fabián Estay', '58&amp;rsquor;|0:0|Marcelo Salas', '74&amp;rsquor;|1:0|Iván Zamorano']</t>
  </si>
  <si>
    <t>['26&amp;rsquor;|0:0|Peter Schöttel']</t>
  </si>
  <si>
    <t>['56&amp;rsquor;|0:0|José Luis Sierra|for Fabián Estay', '69&amp;rsquor;|0:0|Cristián Castañeda|for Moisés Villarroel']</t>
  </si>
  <si>
    <t>['46&amp;rsquor;|0:0|Markus Schopp|for Harald Cerny', '46&amp;rsquor;|0:0|Andreas Herzog|for Dietmar Kühbauer', '73&amp;rsquor;|1:0|Ivica Vastić|for Mario Haas']</t>
  </si>
  <si>
    <t>Luigi Di Biagio · 7|Christian Vieri · 75|Christian Vieri · 89</t>
  </si>
  <si>
    <t>['7&amp;rsquor;|1:0|Luigi Di Biagio|Assist:|Roberto Baggio', '75&amp;rsquor;|2:0|Christian Vieri|Assist:|Francesco Moriero', '89&amp;rsquor;|3:0|Christian Vieri']</t>
  </si>
  <si>
    <t>Raymond Kalla · 42</t>
  </si>
  <si>
    <t>['26&amp;rsquor;|1:0|Alessandro Costacurta', '63&amp;rsquor;|1:0|Luigi Di Biagio']</t>
  </si>
  <si>
    <t>['6&amp;rsquor;|0:0|Pierre Womé', '16&amp;rsquor;|1:0|Pierre Njanka', '79&amp;rsquor;|2:0|Didier Angibeaud', '85&amp;rsquor;|2:0|Rigobert Song']</t>
  </si>
  <si>
    <t>['62&amp;rsquor;|1:0|Roberto Di Matteo|for Demetrio Albertini', '65&amp;rsquor;|1:0|Alessandro Del Piero|for Roberto Baggio', '83&amp;rsquor;|2:0|Angelo Di Livio|for Francesco Moriero']</t>
  </si>
  <si>
    <t>['46&amp;rsquor;|1:0|Joseph-Désiré Job|for Samuel Ipoua', '66&amp;rsquor;|1:0|Alphonse Tchami|for François Omam-Biyik', "66&amp;rsquor;|1:0|Samuel Eto'o|for Patrick M'Boma"]</t>
  </si>
  <si>
    <t>Craig Burley · 66</t>
  </si>
  <si>
    <t>Håvard Flo · 46</t>
  </si>
  <si>
    <t>['66&amp;rsquor;|1:1|Craig Burley|Assist:|David Weir']</t>
  </si>
  <si>
    <t>['46&amp;rsquor;|0:1|Håvard Flo|Assist:|Vidar Riseth']</t>
  </si>
  <si>
    <t>['24&amp;rsquor;|0:0|Gordon Durie', '56&amp;rsquor;|0:1|Darren Jackson']</t>
  </si>
  <si>
    <t>['53&amp;rsquor;|0:1|Kjetil Rekdal', '58&amp;rsquor;|0:1|Henning Berg']</t>
  </si>
  <si>
    <t>['59&amp;rsquor;|0:1|David Weir|for Colin Calderwood', '61&amp;rsquor;|0:1|Jackie McNamara|for Darren Jackson']</t>
  </si>
  <si>
    <t>['60&amp;rsquor;|0:1|Mini Jakobsen|for Håvard Flo', '71&amp;rsquor;|1:1|Egil Østenstad|for Vidar Riseth', '81&amp;rsquor;|1:1|Gunnar Halle|for Henning Berg']</t>
  </si>
  <si>
    <t>Ronaldo · 9|Rivaldo · 45|Bebeto · 50</t>
  </si>
  <si>
    <t>['9&amp;rsquor;|1:0|Ronaldo|Assist:|Rivaldo', '45&amp;rsquor;|2:0|Rivaldo|Assist:|Cafú', '50&amp;rsquor;|3:0|Bebeto|Assist:|Ronaldo']</t>
  </si>
  <si>
    <t>['36&amp;rsquor;|1:0|César Sampaio', '87&amp;rsquor;|3:0|Júnior Baiano']</t>
  </si>
  <si>
    <t>['32&amp;rsquor;|1:0|Abdeljalil Hadda', '64&amp;rsquor;|3:0|Saïd Chiba']</t>
  </si>
  <si>
    <t>['68&amp;rsquor;|3:0|Doriva|for César Sampaio', '72&amp;rsquor;|3:0|Edmundo|for Bebeto', '87&amp;rsquor;|3:0|Denílson Custódio Machado|for Rivaldo']</t>
  </si>
  <si>
    <t>['76&amp;rsquor;|3:0|Gharib Amzine|for Saïd Chiba', '76&amp;rsquor;|3:0|Lahcen Abrami|for Abdelilah Saber', '88&amp;rsquor;|3:0|Ali Elkhattabi|for Abdeljalil Hadda']</t>
  </si>
  <si>
    <t>Alan Shearer · 43|Paul Scholes · 89</t>
  </si>
  <si>
    <t>['43&amp;rsquor;|1:0|Alan Shearer|Assist:|Graeme Le Saux', '89&amp;rsquor;|2:0|Paul Scholes']</t>
  </si>
  <si>
    <t>['88&amp;rsquor;|1:0|Sol Campbell']</t>
  </si>
  <si>
    <t>['48&amp;rsquor;|1:0|José Clayton', '70&amp;rsquor;|1:0|Imed Ben Younes', '87&amp;rsquor;|1:0|Kaies Ghodhbane']</t>
  </si>
  <si>
    <t>['85&amp;rsquor;|1:0|Michael Owen|for Teddy Sheringham']</t>
  </si>
  <si>
    <t>['46&amp;rsquor;|1:0|Zoubeir Baya|for Skander Souayah', '65&amp;rsquor;|1:0|Imed Ben Younes|for Mehdi Ben Slimane', '79&amp;rsquor;|1:0|Tarek Thabet|for Hatem Trabelsi']</t>
  </si>
  <si>
    <t>Adrian Ilie · 45</t>
  </si>
  <si>
    <t>['45&amp;rsquor;|1:0|Adrian Ilie']</t>
  </si>
  <si>
    <t>['54&amp;rsquor;|1:0|Iulian Filipescu', '69&amp;rsquor;|1:0|Dorinel Munteanu', '78&amp;rsquor;|1:0|Dan Petrescu']</t>
  </si>
  <si>
    <t>['47&amp;rsquor;|1:0|José Santa']</t>
  </si>
  <si>
    <t>['68&amp;rsquor;|1:0|Ovidiu Stîngă|for Gabriel Popescu', '76&amp;rsquor;|1:0|Lucian Marinescu|for Gheorghe Hagi', '84&amp;rsquor;|1:0|Radu Niculescu|for Viorel Moldovan']</t>
  </si>
  <si>
    <t>['46&amp;rsquor;|1:0|Adolfo Valencia|for Víctor Aristizábal', '84&amp;rsquor;|1:0|Léider Preciado|for Faustino Asprilla']</t>
  </si>
  <si>
    <t>Andreas Möller · 9|Jürgen Klinsmann · 65</t>
  </si>
  <si>
    <t>['9&amp;rsquor;|1:0|Andreas Möller|Assist:|Jürgen Klinsmann', '65&amp;rsquor;|2:0|Jürgen Klinsmann|Assist:|Oliver Bierhoff']</t>
  </si>
  <si>
    <t>['30&amp;rsquor;|1:0|Jens Jeremies', '77&amp;rsquor;|2:0|Dietmar Hamann', '84&amp;rsquor;|2:0|Jörg Heinrich']</t>
  </si>
  <si>
    <t>['50&amp;rsquor;|1:0|Frankie Hejduk', '85&amp;rsquor;|2:0|Eddie Pope']</t>
  </si>
  <si>
    <t>['50&amp;rsquor;|1:0|Dietmar Hamann|for Thomas Häßler', '70&amp;rsquor;|2:0|Christian Ziege|for Stefan Reuter', '89&amp;rsquor;|2:0|Markus Babbel|for Andreas Möller']</t>
  </si>
  <si>
    <t>['46&amp;rsquor;|1:0|Frankie Hejduk|for Mike Burns', '65&amp;rsquor;|1:0|Roy Wegerle|for Eric Wynalda', '72&amp;rsquor;|2:0|Tab Ramos|for Chad Deering']</t>
  </si>
  <si>
    <t>Gabriel Batistuta · 28</t>
  </si>
  <si>
    <t>['28&amp;rsquor;|1:0|Gabriel Batistuta']</t>
  </si>
  <si>
    <t>['26&amp;rsquor;|0:0|Masami Ihara', '67&amp;rsquor;|1:0|Eisuke Nakanishi', '90&amp;rsquor;|1:0|Takashi Hirano']</t>
  </si>
  <si>
    <t>['61&amp;rsquor;|1:0|Abel Balbo|for Claudio López', '72&amp;rsquor;|1:0|José Chamot|for Roberto Sensini']</t>
  </si>
  <si>
    <t>['65&amp;rsquor;|1:0|Wagner Lopes|for Masashi Nakayama', '84&amp;rsquor;|1:0|Takashi Hirano|for Naoki Soma']</t>
  </si>
  <si>
    <t>Siniša Mihajlović · 73</t>
  </si>
  <si>
    <t>['73&amp;rsquor;|1:0|Siniša Mihajlović']</t>
  </si>
  <si>
    <t>['42&amp;rsquor;|0:0|Željko Petrović', '60&amp;rsquor;|0:0|Dragan Stojković']</t>
  </si>
  <si>
    <t>['50&amp;rsquor;|0:0|Dejan Stanković|for Branko Brnović', '58&amp;rsquor;|0:0|Perica Ognjenović|for Savo Milošević', '68&amp;rsquor;|0:0|Darko Kovačević|for Dragan Stojković']</t>
  </si>
  <si>
    <t>['68&amp;rsquor;|0:0|Alireza Mansourian|for Hamid Estili']</t>
  </si>
  <si>
    <t>Robbie Earle · 45</t>
  </si>
  <si>
    <t>Mario Stanić · 27|Robert Prosinečki · 53|Davor Šuker · 69</t>
  </si>
  <si>
    <t>['45&amp;rsquor;|1:1|Robbie Earle|Assist:|Ricardo Gardner']</t>
  </si>
  <si>
    <t>['27&amp;rsquor;|0:1|Mario Stanić', '53&amp;rsquor;|1:2|Robert Prosinečki|Assist:|Robert Jarni', '69&amp;rsquor;|1:3|Davor Šuker|Assist:|Mario Stanić']</t>
  </si>
  <si>
    <t>['62&amp;rsquor;|1:2|Deon Burton']</t>
  </si>
  <si>
    <t>['5&amp;rsquor;|0:0|Zvonimir Soldo', '59&amp;rsquor;|1:2|Dario Šimić']</t>
  </si>
  <si>
    <t>['69&amp;rsquor;|1:3|Darryl Powell|for Peter Cargill', '74&amp;rsquor;|1:3|Andy Williams|for Robbie Earle', '81&amp;rsquor;|1:3|Walter Boyd|for Paul Hall']</t>
  </si>
  <si>
    <t>['74&amp;rsquor;|1:3|Goran Vlaović|for Dario Šimić']</t>
  </si>
  <si>
    <t>Fernando Hierro · 21|Raúl · 47</t>
  </si>
  <si>
    <t>Mutiu Adepoju · 24|Sunday Oliseh · 78</t>
  </si>
  <si>
    <t>['21&amp;rsquor;|1:0|Fernando Hierro', '47&amp;rsquor;|2:1|Raúl|Assist:|Fernando Hierro']</t>
  </si>
  <si>
    <t>['24&amp;rsquor;|1:1|Mutiu Adepoju|Assist:|Garba Lawal', '78&amp;rsquor;|2:3|Sunday Oliseh']</t>
  </si>
  <si>
    <t>Andoni Zubizarreta (OG) · 73</t>
  </si>
  <si>
    <t>['56&amp;rsquor;|2:1|Guillermo Amor', '59&amp;rsquor;|2:1|Miguel Ángel Nadal', '75&amp;rsquor;|2:2|Iván Campo']</t>
  </si>
  <si>
    <t>['62&amp;rsquor;|2:1|Uche Okechukwu']</t>
  </si>
  <si>
    <t>['46&amp;rsquor;|1:1|Guillermo Amor|for Albert Ferrer', '58&amp;rsquor;|2:1|Joseba Etxeberria|for Alfonso Pérez', '77&amp;rsquor;|2:2|Albert Celades|for Miguel Ángel Nadal']</t>
  </si>
  <si>
    <t>['70&amp;rsquor;|2:1|Rashidi Yekini|for Mobi Oparaku', '83&amp;rsquor;|2:3|Tijani Babangida|for Victor Ikpeba', '89&amp;rsquor;|2:3|Godwin Okpara|for Garba Lawal']</t>
  </si>
  <si>
    <t>Ha Seok-ju · 28</t>
  </si>
  <si>
    <t>Ricardo Peláez · 51|Luis Hernández · 74|Luis Hernández · 84</t>
  </si>
  <si>
    <t>['28&amp;rsquor;|1:0|Ha Seok-ju']</t>
  </si>
  <si>
    <t>['51&amp;rsquor;|1:1|Ricardo Peláez', '74&amp;rsquor;|1:2|Luis Hernández|Assist:|Ramón Ramírez', '84&amp;rsquor;|1:3|Luis Hernández|Assist:|Carlos Blanco']</t>
  </si>
  <si>
    <t>Ha Seok-ju · 30</t>
  </si>
  <si>
    <t>['20&amp;rsquor;|0:0|Lee Min-sung']</t>
  </si>
  <si>
    <t>['26&amp;rsquor;|0:0|Jaime Ordiales', '27&amp;rsquor;|0:0|Alberto García Aspe']</t>
  </si>
  <si>
    <t>['55&amp;rsquor;|1:1|Jang Hyung-seok|for Noh Jung-yoon', '60&amp;rsquor;|1:1|Choi Sung-yong|for Kim Do-keun', '75&amp;rsquor;|1:2|Seo Jung-won|for Ko Jong-soo']</t>
  </si>
  <si>
    <t>['46&amp;rsquor;|1:0|Jesús Arellano|for Braulio Luna', '46&amp;rsquor;|1:0|Ricardo Peláez|for Jaime Ordiales', '70&amp;rsquor;|1:1|Marcelino Bernal|for Alberto García Aspe']</t>
  </si>
  <si>
    <t>Patrick Kluivert · 82</t>
  </si>
  <si>
    <t>['20&amp;rsquor;|0:0|Lorenzo Staelens', '30&amp;rsquor;|0:0|Éric Deflandre']</t>
  </si>
  <si>
    <t>['8&amp;rsquor;|0:0|Dennis Bergkamp|for Jimmy Floyd Hasselbaink', '65&amp;rsquor;|0:0|Boudewijn Zenden|for Clarence Seedorf', '80&amp;rsquor;|0:0|Wim Jonk|for Ronald de Boer']</t>
  </si>
  <si>
    <t>['22&amp;rsquor;|0:0|Éric Deflandre|for Bertrand Crasson', '60&amp;rsquor;|0:0|Émile Mpenza|for Luís Oliveira']</t>
  </si>
  <si>
    <t>Anatoli Nankov · 87</t>
  </si>
  <si>
    <t>['45&amp;rsquor;|0:0|Miguel Ángel Benítez']</t>
  </si>
  <si>
    <t>['27&amp;rsquor;|0:0|Anatoli Nankov', '45&amp;rsquor;|0:0|Hristo Stoichkov', '73&amp;rsquor;|0:0|Trifon Ivanov']</t>
  </si>
  <si>
    <t>['43&amp;rsquor;|0:0|Denis Caniza|for Carlos Morales', '70&amp;rsquor;|0:0|César Augusto Ramírez|for José Cardozo', '78&amp;rsquor;|0:0|Julio César Yegros|for Jorge Luis Campos']</t>
  </si>
  <si>
    <t>['68&amp;rsquor;|0:0|Emil Kostadinov|for Lyuboslav Penev', '77&amp;rsquor;|0:0|Daniel Borimirov|for Ilian Iliev']</t>
  </si>
  <si>
    <t>Marc Rieper · 69</t>
  </si>
  <si>
    <t>['69&amp;rsquor;|0:1|Marc Rieper|Assist:|Brian Laudrup']</t>
  </si>
  <si>
    <t>['11&amp;rsquor;|0:0|Khaled Al-Muwallid']</t>
  </si>
  <si>
    <t>['12&amp;rsquor;|0:0|Morten Wieghorst', '60&amp;rsquor;|0:0|Marc Rieper', '73&amp;rsquor;|0:1|Allan Nielsen']</t>
  </si>
  <si>
    <t>['78&amp;rsquor;|0:1|Hamzah Saleh|for Fuad Anwar', '79&amp;rsquor;|0:1|Obeid Al-Dosari|for Saeed Al-Owairan', '84&amp;rsquor;|0:1|Yousuf Al-Thunayan|for Sami Al-Jaber']</t>
  </si>
  <si>
    <t>['65&amp;rsquor;|0:0|Allan Nielsen|for Morten Wieghorst', '73&amp;rsquor;|0:1|Per Frandsen|for Martin Jørgensen', '84&amp;rsquor;|0:1|Jan Heintze|for Brian Laudrup']</t>
  </si>
  <si>
    <t>Christophe Dugarry · 34|Thierry Henry · 90</t>
  </si>
  <si>
    <t>['34&amp;rsquor;|1:0|Christophe Dugarry|Assist:|Zinédine Zidane', '90&amp;rsquor;|3:0|Thierry Henry']</t>
  </si>
  <si>
    <t>Pierre Issa (OG) · 77</t>
  </si>
  <si>
    <t>['28&amp;rsquor;|0:0|Emmanuel Petit', '53&amp;rsquor;|1:0|Didier Deschamps', '75&amp;rsquor;|1:0|Zinédine Zidane']</t>
  </si>
  <si>
    <t>['39&amp;rsquor;|1:0|Willem Jackson']</t>
  </si>
  <si>
    <t>["26&amp;rsquor;|0:0|Christophe Dugarry|for Stéphane Guivarc'h", '73&amp;rsquor;|1:0|Alain Boghossian|for Emmanuel Petit', '84&amp;rsquor;|2:0|David Trezeguet|for Youri Djorkaeff']</t>
  </si>
  <si>
    <t>['56&amp;rsquor;|1:0|Helman Mkhalele|for Brendan Augustine', '89&amp;rsquor;|2:0|Shaun Bartlett|for Benni McCarthy']</t>
  </si>
  <si>
    <t>Christian Vieri · 10</t>
  </si>
  <si>
    <t>Marcelo Salas · 45|Marcelo Salas · 49</t>
  </si>
  <si>
    <t>['10&amp;rsquor;|1:0|Christian Vieri|Assist:|Roberto Baggio']</t>
  </si>
  <si>
    <t>['45&amp;rsquor;|1:1|Marcelo Salas|Assist:|Clarence Acuña', '49&amp;rsquor;|1:2|Marcelo Salas|Assist:|Pedro Reyes']</t>
  </si>
  <si>
    <t>Roberto Baggio (P) · 85</t>
  </si>
  <si>
    <t>['8&amp;rsquor;|0:0|Angelo Di Livio', '31&amp;rsquor;|1:0|Fabio Cannavaro']</t>
  </si>
  <si>
    <t>['45&amp;rsquor;|1:0|Nelson Parraguez', '53&amp;rsquor;|1:2|Clarence Acuña', '66&amp;rsquor;|1:2|Francisco Rojas Rojas']</t>
  </si>
  <si>
    <t>['57&amp;rsquor;|1:2|Luigi Di Biagio|for Roberto Di Matteo', '61&amp;rsquor;|1:2|Enrico Chiesa|for Angelo Di Livio', '71&amp;rsquor;|1:2|Filippo Inzaghi|for Christian Vieri']</t>
  </si>
  <si>
    <t>['63&amp;rsquor;|1:2|Miguel Ramírez|for Javier Margas', '81&amp;rsquor;|1:2|José Luis Sierra|for Fabián Estay', '82&amp;rsquor;|1:2|Fernando Cornejo|for Clarence Acuña']</t>
  </si>
  <si>
    <t>Pierre Njanka · 77</t>
  </si>
  <si>
    <t>Toni Polster · 90</t>
  </si>
  <si>
    <t>['77&amp;rsquor;|1:0|Pierre Njanka']</t>
  </si>
  <si>
    <t>['90&amp;rsquor;|1:1|Toni Polster|Assist:|Anton Pfeffer']</t>
  </si>
  <si>
    <t>['30&amp;rsquor;|0:0|Samuel Ipoua']</t>
  </si>
  <si>
    <t>['27&amp;rsquor;|0:0|Anton Pfeffer']</t>
  </si>
  <si>
    <t>['65&amp;rsquor;|0:0|Salomon Olembé|for Augustine Simo', '65&amp;rsquor;|0:0|Joseph-Désiré Job|for Samuel Ipoua', '84&amp;rsquor;|1:0|Alphonse Tchami|for François Omam-Biyik']</t>
  </si>
  <si>
    <t>['82&amp;rsquor;|1:0|Peter Stöger|for Heimo Pfeifenberger', '82&amp;rsquor;|1:0|Mario Haas|for Andreas Herzog', '82&amp;rsquor;|1:0|Ivica Vastić|for Harald Cerny']</t>
  </si>
  <si>
    <t>César Sampaio · 5</t>
  </si>
  <si>
    <t>['5&amp;rsquor;|1:0|César Sampaio|Assist:|Bebeto']</t>
  </si>
  <si>
    <t>Tom Boyd (OG) · 73</t>
  </si>
  <si>
    <t>John Collins (P) · 38</t>
  </si>
  <si>
    <t>['37&amp;rsquor;|1:0|César Sampaio', '45&amp;rsquor;|1:1|Aldair']</t>
  </si>
  <si>
    <t>['25&amp;rsquor;|1:0|Darren Jackson']</t>
  </si>
  <si>
    <t>['46&amp;rsquor;|1:1|Leonardo Araújo|for Giovanni', '72&amp;rsquor;|1:1|Denílson Custódio Machado|for Bebeto']</t>
  </si>
  <si>
    <t>['78&amp;rsquor;|2:1|Billy McKinlay|for Darren Jackson', '84&amp;rsquor;|2:1|Tosh McKinlay|for Christian Dailly']</t>
  </si>
  <si>
    <t>Mustapha Hadji · 38|Abdeljalil Hadda · 59</t>
  </si>
  <si>
    <t>Dan Eggen · 60</t>
  </si>
  <si>
    <t>['38&amp;rsquor;|1:0|Mustapha Hadji|Assist:|Tahar El Khalej', '59&amp;rsquor;|2:1|Abdeljalil Hadda|Assist:|Tahar El Khalej']</t>
  </si>
  <si>
    <t>['60&amp;rsquor;|2:2|Dan Eggen']</t>
  </si>
  <si>
    <t>Youssef Chippo (OG) · 45</t>
  </si>
  <si>
    <t>['79&amp;rsquor;|2:2|Saïd Chiba']</t>
  </si>
  <si>
    <t>['78&amp;rsquor;|2:2|Gharib Amzine|for Youssef Chippo', '86&amp;rsquor;|2:2|Ali Elkhattabi|for Abdeljalil Hadda', '90&amp;rsquor;|2:2|Rachid Azzouzi|for Tahar El Khalej']</t>
  </si>
  <si>
    <t>['46&amp;rsquor;|1:1|Vidar Riseth|for Ole Gunnar Solskjær', '72&amp;rsquor;|2:2|Ståle Solbakken|for Håvard Flo']</t>
  </si>
  <si>
    <t>Arrigo Sacchi</t>
  </si>
  <si>
    <t>Franco Baresi</t>
  </si>
  <si>
    <t>Rose Bowl, Los Angeles</t>
  </si>
  <si>
    <t>Sandor Puhl (Referee) · Venancio Zarate (AR1) · Mohammad Fanaei (AR2)</t>
  </si>
  <si>
    <t>(3) 0–0 (2)</t>
  </si>
  <si>
    <t>Sandor Puhl</t>
  </si>
  <si>
    <t>['4|1:1|Romário', '6|2:2|Branco', '8|3:2|Dunga']</t>
  </si>
  <si>
    <t>['3|0:1|Demetrio Albertini', '5|1:2|Alberigo Evani']</t>
  </si>
  <si>
    <t>['2|0:0|Márcio Santos']</t>
  </si>
  <si>
    <t>['1|0:0|Franco Baresi', '7|2:2|Daniele Massaro', '9|3:2|Roberto Baggio']</t>
  </si>
  <si>
    <t>['4&amp;rsquor;|0:0|Mazinho', '87&amp;rsquor;|0:0|Cafú']</t>
  </si>
  <si>
    <t>['41&amp;rsquor;|0:0|Luigi Apolloni', '42&amp;rsquor;|0:0|Demetrio Albertini']</t>
  </si>
  <si>
    <t>['21&amp;rsquor;|0:0|Cafú|for Jorginho', '106&amp;rsquor;|0:0|Viola|for Zinho']</t>
  </si>
  <si>
    <t>['34&amp;rsquor;|0:0|Luigi Apolloni|for Roberto Mussi', '95&amp;rsquor;|0:0|Alberigo Evani']</t>
  </si>
  <si>
    <t>Tommy Svensson</t>
  </si>
  <si>
    <t>Roland Nilsson</t>
  </si>
  <si>
    <t>Dimitar Penev</t>
  </si>
  <si>
    <t>Borislav Mikhailov</t>
  </si>
  <si>
    <t>Ali Bujsaim (Referee) · El Jilali Mohamed Rharib (AR1) · Ernesto Taibi (AR2)</t>
  </si>
  <si>
    <t>Ali Bujsaim</t>
  </si>
  <si>
    <t>Tomas Brolin · 8|Håkan Mild · 30|Henrik Larsson · 37|Kennet Andersson · 40</t>
  </si>
  <si>
    <t>['8&amp;rsquor;|1:0|Tomas Brolin', '30&amp;rsquor;|2:0|Håkan Mild', '37&amp;rsquor;|3:0|Henrik Larsson', '40&amp;rsquor;|4:0|Kennet Andersson']</t>
  </si>
  <si>
    <t>['82&amp;rsquor;|4:0|Kennet Andersson']</t>
  </si>
  <si>
    <t>['70&amp;rsquor;|4:0|Zlatko Yankov']</t>
  </si>
  <si>
    <t>['79&amp;rsquor;|4:0|Anders Limpar|for Henrik Larsson']</t>
  </si>
  <si>
    <t>['42&amp;rsquor;|4:0|Emil Kremenliev|for Trifon Ivanov', '46&amp;rsquor;|4:0|Plamen Nikolov|for Borislav Mikhailov', '46&amp;rsquor;|4:0|Ivaylo Yordanov']</t>
  </si>
  <si>
    <t>Paolo Maldini</t>
  </si>
  <si>
    <t>Giants Stadium, New York/New Jersey</t>
  </si>
  <si>
    <t>Joel Quiniou (Referee) · Carl-Johan Meyer Christensen (AR1) · Roy Pearson (AR2)</t>
  </si>
  <si>
    <t>Joel Quiniou</t>
  </si>
  <si>
    <t>Roberto Baggio · 21|Roberto Baggio · 25</t>
  </si>
  <si>
    <t>['21&amp;rsquor;|0:1|Roberto Baggio', '25&amp;rsquor;|0:2|Roberto Baggio']</t>
  </si>
  <si>
    <t>Hristo Stoichkov (P) · 44</t>
  </si>
  <si>
    <t>['52&amp;rsquor;|1:2|Emil Kostadinov', '65&amp;rsquor;|1:2|Yordan Letchkov', '83&amp;rsquor;|1:2|Zlatko Yankov']</t>
  </si>
  <si>
    <t>['61&amp;rsquor;|1:2|Alessandro Costacurta', '80&amp;rsquor;|1:2|Demetrio Albertini']</t>
  </si>
  <si>
    <t>['71&amp;rsquor;|1:2|Ivaylo Yordanov|for Emil Kostadinov', '78&amp;rsquor;|1:2|Boncho Genchev|for Hristo Stoichkov']</t>
  </si>
  <si>
    <t>['55&amp;rsquor;|1:2|Antonio Conte|for Dino Baggio', '71&amp;rsquor;|1:2|Giuseppe Signori|for Roberto Baggio']</t>
  </si>
  <si>
    <t>Jonas Thern</t>
  </si>
  <si>
    <t>Jose Joaquin Torres Cadena (Referee) · Sandor Marton (AR1) · Luc Matthys (AR2)</t>
  </si>
  <si>
    <t>Jose Joaquin Torres Cadena</t>
  </si>
  <si>
    <t>Romário · 80</t>
  </si>
  <si>
    <t>['80&amp;rsquor;|0:1|Romário']</t>
  </si>
  <si>
    <t>Jonas Thern · 63</t>
  </si>
  <si>
    <t>['29&amp;rsquor;|0:0|Roger Ljung', '86&amp;rsquor;|0:1|Tomas Brolin']</t>
  </si>
  <si>
    <t>['3&amp;rsquor;|0:0|Zinho']</t>
  </si>
  <si>
    <t>['67&amp;rsquor;|0:0|Stefan Rehn|for Martin Dahlin']</t>
  </si>
  <si>
    <t>['46&amp;rsquor;|0:0|Raí|for Mazinho']</t>
  </si>
  <si>
    <t>Lothar Matthäus</t>
  </si>
  <si>
    <t>Jose Joaquin Torres Cadena (Referee) · Venancio Zarate (AR1) · Sandor Marton (AR2)</t>
  </si>
  <si>
    <t>Hristo Stoichkov · 75|Yordan Letchkov · 78</t>
  </si>
  <si>
    <t>['75&amp;rsquor;|1:1|Hristo Stoichkov', '78&amp;rsquor;|2:1|Yordan Letchkov']</t>
  </si>
  <si>
    <t>Lothar Matthäus (P) · 47</t>
  </si>
  <si>
    <t>['22&amp;rsquor;|0:0|Trifon Ivanov', '82&amp;rsquor;|2:1|Hristo Stoichkov', '85&amp;rsquor;|2:1|Borislav Mikhailov']</t>
  </si>
  <si>
    <t>['14&amp;rsquor;|0:0|Thomas Helmer', '15&amp;rsquor;|0:0|Martin Wagner', '49&amp;rsquor;|0:1|Thomas Häßler', '50&amp;rsquor;|0:1|Jürgen Klinsmann', '89&amp;rsquor;|2:1|Rudi Völler']</t>
  </si>
  <si>
    <t>['84&amp;rsquor;|2:1|Ivaylo Yordanov|for Hristo Stoichkov', '90&amp;rsquor;|2:1|Boncho Genchev|for Emil Kostadinov']</t>
  </si>
  <si>
    <t>['58&amp;rsquor;|0:1|Thomas Strunz|for Martin Wagner', '82&amp;rsquor;|2:1|Andreas Brehme|for Thomas Häßler']</t>
  </si>
  <si>
    <t>Anghel Iordanescu</t>
  </si>
  <si>
    <t>Gheorghe Hagi</t>
  </si>
  <si>
    <t>Stanford Stadium, San Francisco</t>
  </si>
  <si>
    <t>Philip Don (Referee) · Roy Pearson (AR1) · Hae-Yong Park (AR2)</t>
  </si>
  <si>
    <t>(4) 2–2 (5)</t>
  </si>
  <si>
    <t>Philip Don</t>
  </si>
  <si>
    <t>Sweden won on penalty kicks following extra time</t>
  </si>
  <si>
    <t>Florin Răducioiu · 88|Florin Răducioiu · 101</t>
  </si>
  <si>
    <t>Tomas Brolin · 78|Kennet Andersson · 115</t>
  </si>
  <si>
    <t>['88&amp;rsquor;|1:1|Florin Răducioiu', '101&amp;rsquor;|2:1|Florin Răducioiu']</t>
  </si>
  <si>
    <t>['78&amp;rsquor;|0:1|Tomas Brolin', '115&amp;rsquor;|2:2|Kennet Andersson']</t>
  </si>
  <si>
    <t>['2|1:0|Florin Răducioiu', '4|2:1|Gheorghe Hagi', '6|3:2|Ioan Lupescu', '10|4:4|Ilie Dumitrescu']</t>
  </si>
  <si>
    <t>['3|1:1|Kennet Andersson', '5|2:2|Tomas Brolin', '7|3:3|Klas Ingesson', '9|3:4|Roland Nilsson', '11|4:5|Henrik Larsson']</t>
  </si>
  <si>
    <t>['8|3:3|Dan Petrescu', '12|4:5|Miodrag Belodedici']</t>
  </si>
  <si>
    <t>['1|0:0|Håkan Mild']</t>
  </si>
  <si>
    <t>Stefan Schwarz · 101</t>
  </si>
  <si>
    <t>['21&amp;rsquor;|0:0|Gheorghe Popescu', '34&amp;rsquor;|0:0|Tibor Selymes', '108&amp;rsquor;|2:1|Basarab Panduru']</t>
  </si>
  <si>
    <t>['7&amp;rsquor;|0:0|Klas Ingesson', '43&amp;rsquor;|0:0|Stefan Schwarz']</t>
  </si>
  <si>
    <t>['84&amp;rsquor;|0:1|Basarab Panduru|for Dorinel Munteanu']</t>
  </si>
  <si>
    <t>['84&amp;rsquor;|0:1|Pontus Kåmark|for Joachim Björklund', '107&amp;rsquor;|2:1|Henrik Larsson|for Martin Dahlin']</t>
  </si>
  <si>
    <t>Andoni Zubizarreta</t>
  </si>
  <si>
    <t>Foxboro Stadium, Boston</t>
  </si>
  <si>
    <t>Sandor Puhl (Referee) · Gordon Dunster (AR1) · Luc Matthys (AR2)</t>
  </si>
  <si>
    <t>Dino Baggio · 25|Roberto Baggio · 88</t>
  </si>
  <si>
    <t>José Luis Caminero · 58</t>
  </si>
  <si>
    <t>['25&amp;rsquor;|1:0|Dino Baggio', '88&amp;rsquor;|2:1|Roberto Baggio']</t>
  </si>
  <si>
    <t>['58&amp;rsquor;|1:1|José Luis Caminero']</t>
  </si>
  <si>
    <t>['3&amp;rsquor;|0:0|Abelardo Fernández', '19&amp;rsquor;|0:0|José Luis Caminero']</t>
  </si>
  <si>
    <t>['46&amp;rsquor;|1:0|Giuseppe Signori|for Demetrio Albertini', '66&amp;rsquor;|1:1|Nicola Berti|for Antonio Conte']</t>
  </si>
  <si>
    <t>['60&amp;rsquor;|1:1|Julio Salinas|for Sergi Barjuán', '64&amp;rsquor;|1:1|Fernando Hierro']</t>
  </si>
  <si>
    <t>Ronald Koeman</t>
  </si>
  <si>
    <t>Cotton Bowl, Dallas</t>
  </si>
  <si>
    <t>Rodrigo Badilla (Referee) · Yousif Abdulla Al Ghattan (AR1) · Mohammad Fanaei (AR2)</t>
  </si>
  <si>
    <t>Rodrigo Badilla</t>
  </si>
  <si>
    <t>Dennis Bergkamp · 64|Aron Winter · 76</t>
  </si>
  <si>
    <t>Romário · 53|Bebeto · 63|Branco · 81</t>
  </si>
  <si>
    <t>['64&amp;rsquor;|1:2|Dennis Bergkamp', '76&amp;rsquor;|2:2|Aron Winter']</t>
  </si>
  <si>
    <t>['53&amp;rsquor;|0:1|Romário', '63&amp;rsquor;|0:2|Bebeto', '81&amp;rsquor;|2:3|Branco']</t>
  </si>
  <si>
    <t>['40&amp;rsquor;|0:0|Aron Winter', '89&amp;rsquor;|2:3|Jan Wouters']</t>
  </si>
  <si>
    <t>['74&amp;rsquor;|1:2|Dunga']</t>
  </si>
  <si>
    <t>['54&amp;rsquor;|0:1|Bryan Roy|for Peter van Vossen', '64&amp;rsquor;|1:2|Ronald de Boer|for Frank Rijkaard']</t>
  </si>
  <si>
    <t>['80&amp;rsquor;|2:2|Raí|for Mazinho', '90&amp;rsquor;|2:3|Cafú|for Branco']</t>
  </si>
  <si>
    <t>Clemens Westerhof</t>
  </si>
  <si>
    <t>Peter Rufai</t>
  </si>
  <si>
    <t>Arturo Brizio Carter (Referee) · Ernesto Taibi (AR1) · Venancio Zarate (AR2)</t>
  </si>
  <si>
    <t>Arturo Brizio Carter</t>
  </si>
  <si>
    <t>Emmanuel Amunike · 25</t>
  </si>
  <si>
    <t>Roberto Baggio · 88</t>
  </si>
  <si>
    <t>['25&amp;rsquor;|1:0|Emmanuel Amunike']</t>
  </si>
  <si>
    <t>['88&amp;rsquor;|1:1|Roberto Baggio']</t>
  </si>
  <si>
    <t>Roberto Baggio (P) · 102</t>
  </si>
  <si>
    <t>Gianfranco Zola · 75</t>
  </si>
  <si>
    <t>['2&amp;rsquor;|0:0|Michael Emenalo', '41&amp;rsquor;|1:0|Mutiu Adepoju', '53&amp;rsquor;|1:0|Sunday Oliseh', '58&amp;rsquor;|1:0|Chidi Nwanu']</t>
  </si>
  <si>
    <t>['6&amp;rsquor;|0:0|Daniele Massaro', '29&amp;rsquor;|1:0|Alessandro Costacurta', '60&amp;rsquor;|1:0|Giuseppe Signori', '62&amp;rsquor;|1:0|Dino Baggio', '80&amp;rsquor;|1:0|Paolo Maldini']</t>
  </si>
  <si>
    <t>['35&amp;rsquor;|1:0|Mutiu Adepoju|for Daniel Amokachi', '57&amp;rsquor;|1:0|Thompson Oliha|for Emmanuel Amunike']</t>
  </si>
  <si>
    <t>['46&amp;rsquor;|1:0|Dino Baggio|for Nicola Berti', '63&amp;rsquor;|1:0|Gianfranco Zola|for Giuseppe Signori']</t>
  </si>
  <si>
    <t>Miguel Mejia Baron</t>
  </si>
  <si>
    <t>Ignacio Ambríz</t>
  </si>
  <si>
    <t>Jamal Al Sharif (Referee) · Mohammad Fanaei (AR1) · Yousif Abdulla Al Ghattan (AR2)</t>
  </si>
  <si>
    <t>Jamal Al Sharif</t>
  </si>
  <si>
    <t>Bulgaria won on penalty kicks following extra time</t>
  </si>
  <si>
    <t>Hristo Stoichkov · 6</t>
  </si>
  <si>
    <t>['6&amp;rsquor;|0:1|Hristo Stoichkov']</t>
  </si>
  <si>
    <t>Alberto García Aspe (P) · 18</t>
  </si>
  <si>
    <t>['7|1:2|Claudio Suárez']</t>
  </si>
  <si>
    <t>['4|0:1|Boncho Genchev', '6|0:2|Daniel Borimirov', '8|1:3|Yordan Letchkov']</t>
  </si>
  <si>
    <t>['1|0:0|Alberto García Aspe', '3|0:0|Marcelino Bernal', '5|0:1|Jorge Rodríguez']</t>
  </si>
  <si>
    <t>['2|0:0|Krasimir Balakov']</t>
  </si>
  <si>
    <t>Luis García Postigo · 57</t>
  </si>
  <si>
    <t>Emil Kremenliev · 50</t>
  </si>
  <si>
    <t>['14&amp;rsquor;|0:1|Claudio Suárez', '28&amp;rsquor;|1:1|Luis García Postigo', '70&amp;rsquor;|1:1|Ramón Ramírez', '76&amp;rsquor;|1:1|Alberto García Aspe']</t>
  </si>
  <si>
    <t>['12&amp;rsquor;|0:1|Emil Kremenliev', '17&amp;rsquor;|0:1|Nasko Sirakov', '34&amp;rsquor;|1:1|Iliyan Kiryakov', '67&amp;rsquor;|1:1|Ivaylo Yordanov']</t>
  </si>
  <si>
    <t>['104&amp;rsquor;|1:1|Boncho Genchev|for Nasko Sirakov', '119&amp;rsquor;|1:1|Petar Mihtarski|for Emil Kostadinov']</t>
  </si>
  <si>
    <t>Jack Charlton</t>
  </si>
  <si>
    <t>Andy Townsend</t>
  </si>
  <si>
    <t>Citrus Bowl, Orlando</t>
  </si>
  <si>
    <t>Peter Mikkelsen (Referee) · Gordon Dunster (AR1) · Eugene Brazzale (AR2)</t>
  </si>
  <si>
    <t>Peter Mikkelsen</t>
  </si>
  <si>
    <t>Dennis Bergkamp · 11|Wim Jonk · 41</t>
  </si>
  <si>
    <t>['11&amp;rsquor;|1:0|Dennis Bergkamp', '41&amp;rsquor;|2:0|Wim Jonk']</t>
  </si>
  <si>
    <t>['72&amp;rsquor;|2:0|Ronald Koeman']</t>
  </si>
  <si>
    <t>['70&amp;rsquor;|2:0|Bryan Roy|for Peter van Vossen', '79&amp;rsquor;|2:0|Arthur Numan|for Rob Witschge']</t>
  </si>
  <si>
    <t>['63&amp;rsquor;|2:0|Jason McAteer|for Steve Staunton', '73&amp;rsquor;|2:0|Tony Cascarino|for Tommy Coyne']</t>
  </si>
  <si>
    <t>Bora Milutinovic</t>
  </si>
  <si>
    <t>Tony Meola</t>
  </si>
  <si>
    <t>Joel Quiniou (Referee) · Hae-Yong Park (AR1) · Mikael Everstig (AR2)</t>
  </si>
  <si>
    <t>Bebeto · 72</t>
  </si>
  <si>
    <t>['72&amp;rsquor;|1:0|Bebeto']</t>
  </si>
  <si>
    <t>Leonardo Araújo · 43</t>
  </si>
  <si>
    <t>Fernando Clavijo · 85</t>
  </si>
  <si>
    <t>['8&amp;rsquor;|0:0|Mazinho', '16&amp;rsquor;|0:0|Jorginho']</t>
  </si>
  <si>
    <t>['43&amp;rsquor;|0:0|Tab Ramos', '49&amp;rsquor;|0:0|Paul Caligiuri', '64&amp;rsquor;|0:0|Fernando Clavijo', '80&amp;rsquor;|1:0|Thomas Dooley']</t>
  </si>
  <si>
    <t>['68&amp;rsquor;|0:0|Cafú|for Zinho']</t>
  </si>
  <si>
    <t>['45&amp;rsquor;|0:0|Eric Wynalda|for Tab Ramos', '66&amp;rsquor;|0:0|Roy Wegerle']</t>
  </si>
  <si>
    <t>Jorge Solari</t>
  </si>
  <si>
    <t>Mohamed Al-Jawad</t>
  </si>
  <si>
    <t>Renato Marsiglia (Referee) · Paulo Jorge Alves (AR1) · Raimundo Calix Garcia (AR2)</t>
  </si>
  <si>
    <t>Renato Marsiglia</t>
  </si>
  <si>
    <t>Fahad Al-Ghesheyan · 85</t>
  </si>
  <si>
    <t>Martin Dahlin · 6|Kennet Andersson · 51|Kennet Andersson · 88</t>
  </si>
  <si>
    <t>['85&amp;rsquor;|1:2|Fahad Al-Ghesheyan']</t>
  </si>
  <si>
    <t>['6&amp;rsquor;|0:1|Martin Dahlin', '51&amp;rsquor;|0:2|Kennet Andersson', '88&amp;rsquor;|1:3|Kennet Andersson']</t>
  </si>
  <si>
    <t>['71&amp;rsquor;|0:2|Khaled Al-Muwallid']</t>
  </si>
  <si>
    <t>['16&amp;rsquor;|0:1|Roger Ljung', '67&amp;rsquor;|0:2|Jonas Thern', '74&amp;rsquor;|0:2|Roland Nilsson']</t>
  </si>
  <si>
    <t>['54&amp;rsquor;|0:2|Fahad Al-Ghesheyan|for Mohamed Al-Jawad', '63&amp;rsquor;|0:2|Khaled Al-Muwallid|for Fahad Al-Bishi']</t>
  </si>
  <si>
    <t>['54&amp;rsquor;|0:2|Pontus Kåmark|for Joachim Björklund', '70&amp;rsquor;|0:2|Håkan Mild|for Jonas Thern']</t>
  </si>
  <si>
    <t>Alfio Basile</t>
  </si>
  <si>
    <t>Oscar Ruggeri</t>
  </si>
  <si>
    <t>Pierluigi Pairetto (Referee) · Domenico Ramicone (AR1) · Luc Matthys (AR2)</t>
  </si>
  <si>
    <t>Pierluigi Pairetto</t>
  </si>
  <si>
    <t>Ilie Dumitrescu · 11|Ilie Dumitrescu · 18|Gheorghe Hagi · 58</t>
  </si>
  <si>
    <t>Abel Balbo · 75</t>
  </si>
  <si>
    <t>['11&amp;rsquor;|1:0|Ilie Dumitrescu', '18&amp;rsquor;|2:1|Ilie Dumitrescu', '58&amp;rsquor;|3:1|Gheorghe Hagi']</t>
  </si>
  <si>
    <t>['75&amp;rsquor;|3:2|Abel Balbo']</t>
  </si>
  <si>
    <t>Gabriel Batistuta (P) · 16</t>
  </si>
  <si>
    <t>['50&amp;rsquor;|2:1|Gheorghe Popescu', '68&amp;rsquor;|3:1|Tibor Selymes', '84&amp;rsquor;|3:2|Ilie Dumitrescu']</t>
  </si>
  <si>
    <t>['33&amp;rsquor;|2:1|Oscar Ruggeri', '55&amp;rsquor;|2:1|Fernando Redondo', '56&amp;rsquor;|2:1|José Chamot', '83&amp;rsquor;|3:2|Fernando Cáceres']</t>
  </si>
  <si>
    <t>['85&amp;rsquor;|3:2|Constantin Gâlcă|for Gheorghe Hagi', '88&amp;rsquor;|3:2|Corneliu Papură|for Ilie Dumitrescu']</t>
  </si>
  <si>
    <t>['62&amp;rsquor;|3:1|Ramón Medina Bello']</t>
  </si>
  <si>
    <t>Paul Van Himst</t>
  </si>
  <si>
    <t>Georges Grün</t>
  </si>
  <si>
    <t>Soldier Field, Chicago</t>
  </si>
  <si>
    <t>Kurt Roethlisberger (Referee) · Michal Listkiewicz (AR1) · Carl-Johan Meyer Christensen (AR2)</t>
  </si>
  <si>
    <t>Kurt Roethlisberger</t>
  </si>
  <si>
    <t>Rudi Völler · 6|Jürgen Klinsmann · 11|Rudi Völler · 40</t>
  </si>
  <si>
    <t>Georges Grün · 8|Philippe Albert · 90</t>
  </si>
  <si>
    <t>['6&amp;rsquor;|1:0|Rudi Völler', '11&amp;rsquor;|2:1|Jürgen Klinsmann', '40&amp;rsquor;|3:1|Rudi Völler']</t>
  </si>
  <si>
    <t>['8&amp;rsquor;|1:1|Georges Grün', '90&amp;rsquor;|3:2|Philippe Albert']</t>
  </si>
  <si>
    <t>['13&amp;rsquor;|2:1|Thomas Helmer', '37&amp;rsquor;|2:1|Martin Wagner']</t>
  </si>
  <si>
    <t>['38&amp;rsquor;|2:1|Philippe Albert']</t>
  </si>
  <si>
    <t>['46&amp;rsquor;|3:1|Andreas Brehme|for Lothar Matthäus', '85&amp;rsquor;|3:1|Stefan Kuntz|for Jürgen Klinsmann']</t>
  </si>
  <si>
    <t>['65&amp;rsquor;|3:1|Danny Boffin|for Rudi Smidts', '76&amp;rsquor;|3:1|Alexandre Czerniatynski|for Luc Nilis']</t>
  </si>
  <si>
    <t>Alain Geiger</t>
  </si>
  <si>
    <t>RFK Stadium, Washington Dc</t>
  </si>
  <si>
    <t>Mario Van Der Ende (Referee) · Jan Dolstra (AR1) · Sandor Marton (AR2)</t>
  </si>
  <si>
    <t>Mario Van Der Ende</t>
  </si>
  <si>
    <t>Fernando Hierro · 15|Luis Enrique · 74</t>
  </si>
  <si>
    <t>['15&amp;rsquor;|1:0|Fernando Hierro', '74&amp;rsquor;|2:0|Luis Enrique']</t>
  </si>
  <si>
    <t>Txiki Begiristain (P) · 86</t>
  </si>
  <si>
    <t>['18&amp;rsquor;|1:0|Ion Andoni Goikoetxea', '19&amp;rsquor;|1:0|Albert Ferrer', '22&amp;rsquor;|1:0|Francisco José Camarasa', '87&amp;rsquor;|3:0|Jorge Otero']</t>
  </si>
  <si>
    <t>['23&amp;rsquor;|1:0|Marc Hottiger', '69&amp;rsquor;|1:0|Jürg Studer', '77&amp;rsquor;|2:0|Nestor Subiat', '85&amp;rsquor;|2:0|Marco Pascolo']</t>
  </si>
  <si>
    <t>['61&amp;rsquor;|1:0|Txiki Begiristain|for Ion Andoni Goikoetxea', '76&amp;rsquor;|2:0|Jorge Otero|for Fernando Hierro']</t>
  </si>
  <si>
    <t>['58&amp;rsquor;|1:0|Jürg Studer|for Yvan Quentin', '73&amp;rsquor;|1:0|Nestor Subiat|for Christophe Ohrel']</t>
  </si>
  <si>
    <t>Alkis Panagoulias</t>
  </si>
  <si>
    <t>Tasos Mitropoulos</t>
  </si>
  <si>
    <t>Leslie Mottram (Referee) · Hae-Yong Park (AR1) · Paulo Jorge Alves (AR2)</t>
  </si>
  <si>
    <t>Leslie Mottram</t>
  </si>
  <si>
    <t>Finidi George · 45|Daniel Amokachi · 90</t>
  </si>
  <si>
    <t>['45&amp;rsquor;|0:1|Finidi George', '90&amp;rsquor;|0:2|Daniel Amokachi']</t>
  </si>
  <si>
    <t>['32&amp;rsquor;|0:0|Tasos Mitropoulos', '41&amp;rsquor;|0:0|Ioannis Kalitzakis']</t>
  </si>
  <si>
    <t>['66&amp;rsquor;|0:1|Sunday Oliseh', '70&amp;rsquor;|0:1|Stephen Keshi']</t>
  </si>
  <si>
    <t>['71&amp;rsquor;|0:1|Nikos Tsiantakis|for Tasos Mitropoulos', '78&amp;rsquor;|0:1|Vasilis Dimitriadis|for Nikos Machlas']</t>
  </si>
  <si>
    <t>['68&amp;rsquor;|0:1|Jay-Jay Okocha|for Rashidi Yekini', '83&amp;rsquor;|0:1|Mutiu Adepoju|for Finidi George']</t>
  </si>
  <si>
    <t>Neji Jouini (Referee) · Tapio Yli-Karro (AR1) · El Jilali Mohamed Rharib (AR2)</t>
  </si>
  <si>
    <t>Neji Jouini</t>
  </si>
  <si>
    <t>Hristo Stoichkov · 61|Nasko Sirakov · 90</t>
  </si>
  <si>
    <t>['61&amp;rsquor;|0:1|Hristo Stoichkov', '90&amp;rsquor;|0:2|Nasko Sirakov']</t>
  </si>
  <si>
    <t>Tsanko Tsvetanov · 67</t>
  </si>
  <si>
    <t>['34&amp;rsquor;|0:0|Oscar Ruggeri', '44&amp;rsquor;|0:0|Leonardo Rodríguez', '81&amp;rsquor;|0:1|Gabriel Batistuta']</t>
  </si>
  <si>
    <t>['7&amp;rsquor;|0:0|Hristo Stoichkov', '24&amp;rsquor;|0:0|Zlatko Yankov', '45&amp;rsquor;|0:0|Tsanko Tsvetanov', '58&amp;rsquor;|0:0|Trifon Ivanov', '74&amp;rsquor;|0:1|Krasimir Balakov']</t>
  </si>
  <si>
    <t>['26&amp;rsquor;|0:0|Ariel Ortega|for Claudio Caniggia', '67&amp;rsquor;|0:1|Ramón Medina Bello|for Leonardo Rodríguez']</t>
  </si>
  <si>
    <t>['74&amp;rsquor;|0:1|Iliyan Kiryakov|for Emil Kostadinov', '77&amp;rsquor;|0:1|Daniel Borimirov|for Yordan Letchkov']</t>
  </si>
  <si>
    <t>Abdellah Blinda</t>
  </si>
  <si>
    <t>Tahar El Khalej</t>
  </si>
  <si>
    <t>Alberto Tejada Noriega (Referee) · Venancio Zarate (AR1) · Mikael Everstig (AR2)</t>
  </si>
  <si>
    <t>Alberto Tejada Noriega</t>
  </si>
  <si>
    <t>Hassan Nader · 47</t>
  </si>
  <si>
    <t>Dennis Bergkamp · 43|Bryan Roy · 77</t>
  </si>
  <si>
    <t>['47&amp;rsquor;|1:1|Hassan Nader']</t>
  </si>
  <si>
    <t>['43&amp;rsquor;|0:1|Dennis Bergkamp', '77&amp;rsquor;|1:2|Bryan Roy']</t>
  </si>
  <si>
    <t>['12&amp;rsquor;|0:0|Hassan Nader', '14&amp;rsquor;|0:0|Tahar El Khalej', '25&amp;rsquor;|0:0|Abdelmajid Bouyboud', '28&amp;rsquor;|0:0|El Arbi Hababi', '41&amp;rsquor;|0:0|Mohamed Samadi']</t>
  </si>
  <si>
    <t>['75&amp;rsquor;|1:1|Jan Wouters', '79&amp;rsquor;|1:2|Stan Valckx']</t>
  </si>
  <si>
    <t>['46&amp;rsquor;|0:1|Mustapha Hadji|for Abdelmajid Bouyboud', '61&amp;rsquor;|1:1|Rachid Daoudi|for Rachid Azzouzi']</t>
  </si>
  <si>
    <t>['56&amp;rsquor;|1:1|Gaston Taument|for Marc Overmars', '67&amp;rsquor;|1:1|Bryan Roy|for Peter van Vossen']</t>
  </si>
  <si>
    <t>Enzo Scifo</t>
  </si>
  <si>
    <t>Majed Abdullah</t>
  </si>
  <si>
    <t>Hellmut Krug (Referee) · Eugene Brazzale (AR1) · Ernesto Taibi (AR2)</t>
  </si>
  <si>
    <t>Hellmut Krug</t>
  </si>
  <si>
    <t>Saeed Al-Owairan · 5</t>
  </si>
  <si>
    <t>['5&amp;rsquor;|0:1|Saeed Al-Owairan']</t>
  </si>
  <si>
    <t>['61&amp;rsquor;|0:1|Enzo Scifo', '80&amp;rsquor;|0:1|Rudi Smidts']</t>
  </si>
  <si>
    <t>['3&amp;rsquor;|0:0|Ahmed Jamil Madani', '77&amp;rsquor;|0:1|Hamzah Idris']</t>
  </si>
  <si>
    <t>['23&amp;rsquor;|0:1|Luc Nilis|for Marc Degryse', '53&amp;rsquor;|0:1|Josip Weber|for Marc Wilmots']</t>
  </si>
  <si>
    <t>['46&amp;rsquor;|0:1|Khaled Al-Muwallid|for Majed Abdullah', '63&amp;rsquor;|0:1|Abdullah Al-Dosari|for Saeed Al-Owairan']</t>
  </si>
  <si>
    <t>Francisco Oscar Lamolina (Referee) · Ernesto Taibi (AR1) · Eugene Brazzale (AR2)</t>
  </si>
  <si>
    <t>Francisco Oscar Lamolina</t>
  </si>
  <si>
    <t>Daniele Massaro · 48</t>
  </si>
  <si>
    <t>Marcelino Bernal · 57</t>
  </si>
  <si>
    <t>['48&amp;rsquor;|1:0|Daniele Massaro']</t>
  </si>
  <si>
    <t>['57&amp;rsquor;|1:1|Marcelino Bernal']</t>
  </si>
  <si>
    <t>['33&amp;rsquor;|0:0|Demetrio Albertini']</t>
  </si>
  <si>
    <t>['25&amp;rsquor;|0:0|Joaquín del Olmo', '63&amp;rsquor;|1:1|Luis García Postigo', '66&amp;rsquor;|1:1|Alberto García Aspe']</t>
  </si>
  <si>
    <t>['46&amp;rsquor;|0:0|Daniele Massaro|for Pierluigi Casiraghi', '65&amp;rsquor;|1:1|Roberto Donadoni|for Dino Baggio']</t>
  </si>
  <si>
    <t>['83&amp;rsquor;|1:1|Juan Carlos Chávez|for Luis García Postigo']</t>
  </si>
  <si>
    <t>Rune Bratseth</t>
  </si>
  <si>
    <t>Jose Joaquin Torres Cadena (Referee) · Paulo Jorge Alves (AR1) · Hae-Yong Park (AR2)</t>
  </si>
  <si>
    <t>['3&amp;rsquor;|0:0|Roy Keane', '29&amp;rsquor;|0:0|Ray Houghton', '83&amp;rsquor;|0:0|Gary Kelly']</t>
  </si>
  <si>
    <t>['36&amp;rsquor;|0:0|Gøran Sørloth', '45&amp;rsquor;|0:0|Erland Johnsen']</t>
  </si>
  <si>
    <t>['64&amp;rsquor;|0:0|David Kelly|for John Aldridge', '74&amp;rsquor;|0:0|Ronnie Whelan|for Andy Townsend']</t>
  </si>
  <si>
    <t>['34&amp;rsquor;|0:0|Mini Jakobsen|for Gunnar Halle', '67&amp;rsquor;|0:0|Lars Bohinen']</t>
  </si>
  <si>
    <t>Pavel Sadyrin</t>
  </si>
  <si>
    <t>Viktor Onopko</t>
  </si>
  <si>
    <t>Stephen Tataw</t>
  </si>
  <si>
    <t>Jamal Al Sharif (Referee) · Gordon Dunster (AR1) · Jan Dolstra (AR2)</t>
  </si>
  <si>
    <t>Oleg Salenko · 15|Oleg Salenko · 41|Oleg Salenko · 72|Oleg Salenko · 75|Dmitri Radchenko · 81</t>
  </si>
  <si>
    <t>Roger Milla · 46</t>
  </si>
  <si>
    <t>['15&amp;rsquor;|1:0|Oleg Salenko', '41&amp;rsquor;|2:0|Oleg Salenko', '72&amp;rsquor;|4:1|Oleg Salenko', '75&amp;rsquor;|5:1|Oleg Salenko', '81&amp;rsquor;|6:1|Dmitri Radchenko']</t>
  </si>
  <si>
    <t>['46&amp;rsquor;|3:1|Roger Milla']</t>
  </si>
  <si>
    <t>Oleg Salenko (P) · 44</t>
  </si>
  <si>
    <t>['57&amp;rsquor;|3:1|Valeri Karpin', '87&amp;rsquor;|6:1|Dmitri Khlestov', '90&amp;rsquor;|6:1|Yuriy Nikiforov']</t>
  </si>
  <si>
    <t>['12&amp;rsquor;|0:0|André Kana-Biyik', "44&amp;rsquor;|3:0|Jacques Songo'o"]</t>
  </si>
  <si>
    <t>['64&amp;rsquor;|3:1|Dmitri Radchenko|for Igor Korneev', '77&amp;rsquor;|5:1|Vladimir Beschastnykh|for Igor Lediakhov']</t>
  </si>
  <si>
    <t>["46&amp;rsquor;|3:1|Roger Milla|for Louis-Paul M'Fédé", '48&amp;rsquor;|3:1|Alphonse Tchami']</t>
  </si>
  <si>
    <t>Raí</t>
  </si>
  <si>
    <t>Pontiac Silverdome, Detroit</t>
  </si>
  <si>
    <t>Sandor Puhl (Referee) · Sandor Marton (AR1) · Luc Matthys (AR2)</t>
  </si>
  <si>
    <t>Romário · 46</t>
  </si>
  <si>
    <t>Kennet Andersson · 23</t>
  </si>
  <si>
    <t>['46&amp;rsquor;|1:1|Romário']</t>
  </si>
  <si>
    <t>['23&amp;rsquor;|0:1|Kennet Andersson']</t>
  </si>
  <si>
    <t>['23&amp;rsquor;|0:1|Aldair']</t>
  </si>
  <si>
    <t>['83&amp;rsquor;|1:1|Håkan Mild']</t>
  </si>
  <si>
    <t>['46&amp;rsquor;|1:1|Mazinho|for Mauro Silva', '83&amp;rsquor;|1:1|Paulo Sérgio de Oliveira Lima|for Raí']</t>
  </si>
  <si>
    <t>['64&amp;rsquor;|1:1|Jesper Blomqvist|for Henrik Larsson', '75&amp;rsquor;|1:1|Håkan Mild|for Stefan Schwarz']</t>
  </si>
  <si>
    <t>Ho Kon Kim</t>
  </si>
  <si>
    <t>Choi In-young</t>
  </si>
  <si>
    <t>Joel Quiniou (Referee) · Valentin Ivanov (AR1) · Abdel-Magid Hassan (AR2)</t>
  </si>
  <si>
    <t>Jürgen Klinsmann · 12|Karl-Heinz Riedle · 20|Jürgen Klinsmann · 37</t>
  </si>
  <si>
    <t>Hwang Sun-hong · 52|Hong Myung-bo · 63</t>
  </si>
  <si>
    <t>['12&amp;rsquor;|1:0|Jürgen Klinsmann', '20&amp;rsquor;|2:0|Karl-Heinz Riedle', '37&amp;rsquor;|3:0|Jürgen Klinsmann']</t>
  </si>
  <si>
    <t>['52&amp;rsquor;|3:1|Hwang Sun-hong', '63&amp;rsquor;|3:2|Hong Myung-bo']</t>
  </si>
  <si>
    <t>['24&amp;rsquor;|2:0|Andreas Brehme', '28&amp;rsquor;|2:0|Jürgen Klinsmann', '44&amp;rsquor;|3:0|Stefan Effenberg']</t>
  </si>
  <si>
    <t>['89&amp;rsquor;|3:2|Choi Young-il']</t>
  </si>
  <si>
    <t>['64&amp;rsquor;|3:2|Andreas Möller|for Lothar Matthäus', '75&amp;rsquor;|3:2|Thomas Helmer|for Stefan Effenberg']</t>
  </si>
  <si>
    <t>['39&amp;rsquor;|3:0|Chung Jong-son|for Lee Young-jin', '46&amp;rsquor;|3:0|Seo Jung-won|for Cho Jin-ho', '46&amp;rsquor;|3:0|Lee Woon-jae|for Choi In-young']</t>
  </si>
  <si>
    <t>Xavier Azkargorta Uriarte</t>
  </si>
  <si>
    <t>Carlos Fernando Borja</t>
  </si>
  <si>
    <t>Rodrigo Badilla (Referee) · Raimundo Calix Garcia (AR1) · Yousif Abdulla Al Ghattan (AR2)</t>
  </si>
  <si>
    <t>Erwin Sánchez · 67</t>
  </si>
  <si>
    <t>José Luis Caminero · 66|José Luis Caminero · 70</t>
  </si>
  <si>
    <t>['67&amp;rsquor;|1:2|Erwin Sánchez']</t>
  </si>
  <si>
    <t>['66&amp;rsquor;|0:2|José Luis Caminero', '70&amp;rsquor;|1:3|José Luis Caminero']</t>
  </si>
  <si>
    <t>Pep Guardiola (P) · 19</t>
  </si>
  <si>
    <t>['46&amp;rsquor;|0:1|Albert Ferrer', '90&amp;rsquor;|1:3|José Luis Caminero']</t>
  </si>
  <si>
    <t>['46&amp;rsquor;|0:1|Jaime Moreno|for Mauricio Ramos', '62&amp;rsquor;|0:1|Ramiro Castillo|for Vladimir Soria']</t>
  </si>
  <si>
    <t>['46&amp;rsquor;|0:1|Fernando Hierro|for Felipe Miñambres', '68&amp;rsquor;|1:2|José Mari Bakero|for Pep Guardiola']</t>
  </si>
  <si>
    <t>Stratos Apostolakis</t>
  </si>
  <si>
    <t>Ali Bujsaim (Referee) · Yousif Abdulla Al Ghattan (AR1) · Raimundo Calix Garcia (AR2)</t>
  </si>
  <si>
    <t>Yordan Letchkov · 65|Daniel Borimirov · 90</t>
  </si>
  <si>
    <t>['65&amp;rsquor;|3:0|Yordan Letchkov', '90&amp;rsquor;|4:0|Daniel Borimirov']</t>
  </si>
  <si>
    <t>Hristo Stoichkov (P) · 5|Hristo Stoichkov (P) · 55</t>
  </si>
  <si>
    <t>['17&amp;rsquor;|1:0|Petar Hubchev', '26&amp;rsquor;|1:0|Trifon Ivanov', '33&amp;rsquor;|1:0|Zlatko Yankov', '84&amp;rsquor;|3:0|Daniel Borimirov']</t>
  </si>
  <si>
    <t>['6&amp;rsquor;|1:0|Alexis Alexoudis', '42&amp;rsquor;|1:0|Minas Hantzidis', '59&amp;rsquor;|2:0|Tasos Mitropoulos', '70&amp;rsquor;|3:0|Vaios Karagiannis']</t>
  </si>
  <si>
    <t>['77&amp;rsquor;|3:0|Iliyan Kiryakov|for Tsanko Tsvetanov', '82&amp;rsquor;|3:0|Daniel Borimirov|for Emil Kostadinov']</t>
  </si>
  <si>
    <t>['48&amp;rsquor;|1:0|Tasos Mitropoulos|for Minas Hantzidis', '58&amp;rsquor;|2:0|Vasilis Dimitriadis|for Alexis Alexoudis']</t>
  </si>
  <si>
    <t>Mario Van Der Ende (Referee) · Jan Dolstra (AR1) · Gordon Dunster (AR2)</t>
  </si>
  <si>
    <t>Dan Petrescu · 18</t>
  </si>
  <si>
    <t>['18&amp;rsquor;|0:1|Dan Petrescu']</t>
  </si>
  <si>
    <t>['41&amp;rsquor;|0:1|John Harkes', '48&amp;rsquor;|0:1|Fernando Clavijo']</t>
  </si>
  <si>
    <t>['62&amp;rsquor;|0:1|Florin Răducioiu', '73&amp;rsquor;|0:1|Dan Petrescu']</t>
  </si>
  <si>
    <t>['63&amp;rsquor;|0:1|Cobi Jones|for Tab Ramos', '75&amp;rsquor;|0:1|Roy Wegerle|for Mike Sorber']</t>
  </si>
  <si>
    <t>['83&amp;rsquor;|0:1|Constantin Gâlcă|for Florin Răducioiu', '88&amp;rsquor;|0:1|Gheorghe Mihali|for Miodrag Belodedici']</t>
  </si>
  <si>
    <t>Francisco Maturana</t>
  </si>
  <si>
    <t>Carlos Valderrama</t>
  </si>
  <si>
    <t>Peter Mikkelsen (Referee) · Carl-Johan Meyer Christensen (AR1) · Douglas Micael James (AR2)</t>
  </si>
  <si>
    <t>Hernán Gaviria · 44|John Harold Lozano · 90</t>
  </si>
  <si>
    <t>['44&amp;rsquor;|0:1|Hernán Gaviria', '90&amp;rsquor;|0:2|John Harold Lozano']</t>
  </si>
  <si>
    <t>['39&amp;rsquor;|0:0|Adrian Knup', '85&amp;rsquor;|0:1|Georges Bregy']</t>
  </si>
  <si>
    <t>['58&amp;rsquor;|0:1|Hernán Gaviria', '62&amp;rsquor;|0:1|Carlos Valderrama', '80&amp;rsquor;|0:1|Leonel Álvarez']</t>
  </si>
  <si>
    <t>['81&amp;rsquor;|0:1|Nestor Subiat|for Alain Sutter', '81&amp;rsquor;|0:1|Marco Grassi|for Adrian Knup']</t>
  </si>
  <si>
    <t>['63&amp;rsquor;|0:1|Antony de Ávila|for Adolfo Valencia', '78&amp;rsquor;|0:1|John Harold Lozano|for Hernán Gaviria']</t>
  </si>
  <si>
    <t>Renato Marsiglia (Referee) · Paulo Jorge Alves (AR1) · Michal Listkiewicz (AR2)</t>
  </si>
  <si>
    <t>Philippe Albert · 65</t>
  </si>
  <si>
    <t>['65&amp;rsquor;|1:0|Philippe Albert']</t>
  </si>
  <si>
    <t>['20&amp;rsquor;|0:0|Vital Borkelmans']</t>
  </si>
  <si>
    <t>['19&amp;rsquor;|0:0|Jan Wouters', '39&amp;rsquor;|0:0|Wim Jonk', '49&amp;rsquor;|0:0|Rob Witschge', '81&amp;rsquor;|1:0|Frank Rijkaard', '88&amp;rsquor;|1:0|Dennis Bergkamp']</t>
  </si>
  <si>
    <t>['61&amp;rsquor;|0:0|Rudi Smidts|for Vital Borkelmans', '78&amp;rsquor;|1:0|Dirk Medved|for Marc Emmers']</t>
  </si>
  <si>
    <t>['46&amp;rsquor;|0:0|Rob Witschge|for Ronald de Boer', '64&amp;rsquor;|0:0|Marc Overmars']</t>
  </si>
  <si>
    <t>Khalil Azmi</t>
  </si>
  <si>
    <t>Philip Don (Referee) · Roy Pearson (AR1) · Tapio Yli-Karro (AR2)</t>
  </si>
  <si>
    <t>Fuad Anwar · 45</t>
  </si>
  <si>
    <t>Mohammed Chaouch · 26</t>
  </si>
  <si>
    <t>['45&amp;rsquor;|2:1|Fuad Anwar']</t>
  </si>
  <si>
    <t>['26&amp;rsquor;|1:1|Mohammed Chaouch']</t>
  </si>
  <si>
    <t>Sami Al-Jaber (P) · 7</t>
  </si>
  <si>
    <t>['50&amp;rsquor;|2:1|Talal Jebreen', '75&amp;rsquor;|2:1|Fuad Anwar', '78&amp;rsquor;|2:1|Khaled Al-Muwallid', '90&amp;rsquor;|2:1|Mohamed Al-Deayea']</t>
  </si>
  <si>
    <t>['34&amp;rsquor;|1:1|Abdelkrim El Hadrioui', '83&amp;rsquor;|2:1|Noureddine Naybet']</t>
  </si>
  <si>
    <t>['29&amp;rsquor;|1:1|Abdullah Zubromawi|for Awad Al-Anazi', '79&amp;rsquor;|2:1|Fahad Al-Ghesheyan|for Sami Al-Jaber']</t>
  </si>
  <si>
    <t>['57&amp;rsquor;|2:1|Abdeslam Laghrissi|for Nacer Abdellah', '72&amp;rsquor;|2:1|Mustapha Hadji|for El Arbi Hababi']</t>
  </si>
  <si>
    <t>Bo Karlsson (Referee) · Mikael Everstig (AR1) · Luc Matthys (AR2)</t>
  </si>
  <si>
    <t>Bo Karlsson</t>
  </si>
  <si>
    <t>Claudio Caniggia · 21|Claudio Caniggia · 28</t>
  </si>
  <si>
    <t>Samson Siasia · 8</t>
  </si>
  <si>
    <t>['21&amp;rsquor;|1:1|Claudio Caniggia', '28&amp;rsquor;|2:1|Claudio Caniggia']</t>
  </si>
  <si>
    <t>['8&amp;rsquor;|0:1|Samson Siasia']</t>
  </si>
  <si>
    <t>['54&amp;rsquor;|2:1|Claudio Caniggia']</t>
  </si>
  <si>
    <t>['20&amp;rsquor;|0:1|Augustine Eguavoen', '53&amp;rsquor;|2:1|Michael Emenalo']</t>
  </si>
  <si>
    <t>['70&amp;rsquor;|2:1|Alejandro Mancuso', '86&amp;rsquor;|2:1|Hernán Díaz|for Roberto Sensini']</t>
  </si>
  <si>
    <t>['56&amp;rsquor;|2:1|Mutiu Adepoju|for Samson Siasia', '86&amp;rsquor;|2:1|Jay-Jay Okocha|for Sunday Oliseh']</t>
  </si>
  <si>
    <t>Kurt Roethlisberger (Referee) · Michal Listkiewicz (AR1) · Paulo Jorge Alves (AR2)</t>
  </si>
  <si>
    <t>Luis García Postigo · 42|Luis García Postigo · 65</t>
  </si>
  <si>
    <t>John Aldridge · 84</t>
  </si>
  <si>
    <t>['42&amp;rsquor;|1:0|Luis García Postigo', '65&amp;rsquor;|2:0|Luis García Postigo']</t>
  </si>
  <si>
    <t>['84&amp;rsquor;|2:1|John Aldridge']</t>
  </si>
  <si>
    <t>['45&amp;rsquor;|1:0|Joaquín del Olmo', '57&amp;rsquor;|1:0|Jorge Campos']</t>
  </si>
  <si>
    <t>['26&amp;rsquor;|0:0|Denis Irwin', '70&amp;rsquor;|2:0|Terry Phelan']</t>
  </si>
  <si>
    <t>['80&amp;rsquor;|2:0|Luis Miguel Salvador|for Carlos Hermosillo', '80&amp;rsquor;|2:0|Raúl Gutiérrez|for Joaquín del Olmo']</t>
  </si>
  <si>
    <t>['66&amp;rsquor;|2:0|Jason McAteer|for Steve Staunton', '67&amp;rsquor;|2:0|John Aldridge|for Tommy Coyne']</t>
  </si>
  <si>
    <t>Arturo Brizio Carter (Referee) · Douglas Micael James (AR1) · Carl-Johan Meyer Christensen (AR2)</t>
  </si>
  <si>
    <t>Romário · 39|Márcio Santos · 66|Bebeto · 73</t>
  </si>
  <si>
    <t>['39&amp;rsquor;|1:0|Romário', '66&amp;rsquor;|2:0|Márcio Santos', '73&amp;rsquor;|3:0|Bebeto']</t>
  </si>
  <si>
    <t>Rigobert Song · 63</t>
  </si>
  <si>
    <t>['44&amp;rsquor;|1:0|Mauro Silva']</t>
  </si>
  <si>
    <t>['8&amp;rsquor;|0:0|Stephen Tataw', '37&amp;rsquor;|0:0|Raymond Kalla']</t>
  </si>
  <si>
    <t>['75&amp;rsquor;|3:0|Paulo Sérgio de Oliveira Lima|for Zinho', '81&amp;rsquor;|3:0|Müller|for Raí']</t>
  </si>
  <si>
    <t>['64&amp;rsquor;|1:0|Roger Milla|for David Embé', '72&amp;rsquor;|2:0|Emmanuel Maboang']</t>
  </si>
  <si>
    <t>Dmitri Kharine</t>
  </si>
  <si>
    <t>Joel Quiniou (Referee) · Mohammad Fanaei (AR1) · Abdel-Magid Hassan (AR2)</t>
  </si>
  <si>
    <t>Martin Dahlin · 59|Martin Dahlin · 81</t>
  </si>
  <si>
    <t>['59&amp;rsquor;|2:1|Martin Dahlin', '81&amp;rsquor;|3:1|Martin Dahlin']</t>
  </si>
  <si>
    <t>Tomas Brolin (P) · 37</t>
  </si>
  <si>
    <t>Oleg Salenko (P) · 4</t>
  </si>
  <si>
    <t>Sergei Gorlukovich · 49</t>
  </si>
  <si>
    <t>['41&amp;rsquor;|1:1|Kennet Andersson', '51&amp;rsquor;|1:1|Stefan Schwarz', '58&amp;rsquor;|1:1|Martin Dahlin']</t>
  </si>
  <si>
    <t>['1&amp;rsquor;|0:0|Sergei Gorlukovich', '34&amp;rsquor;|0:1|Dmitri Kharine']</t>
  </si>
  <si>
    <t>['84&amp;rsquor;|3:1|Henrik Larsson|for Kennet Andersson', '89&amp;rsquor;|3:1|Magnus Erlingmark|for Joachim Björklund']</t>
  </si>
  <si>
    <t>['40&amp;rsquor;|1:1|Valeri Karpin|for Dmitri Popov', '51&amp;rsquor;|1:1|Dmitri Galiamin']</t>
  </si>
  <si>
    <t>Hellmut Krug (Referee) · Tapio Yli-Karro (AR1) · Roy Pearson (AR2)</t>
  </si>
  <si>
    <t>Dino Baggio · 69</t>
  </si>
  <si>
    <t>['69&amp;rsquor;|1:0|Dino Baggio']</t>
  </si>
  <si>
    <t>Gianluca Pagliuca · 21</t>
  </si>
  <si>
    <t>['34&amp;rsquor;|0:0|Pierluigi Casiraghi']</t>
  </si>
  <si>
    <t>['32&amp;rsquor;|0:0|Stig Inge Bjørnebye', '68&amp;rsquor;|0:0|Alf-Inge Håland']</t>
  </si>
  <si>
    <t>['21&amp;rsquor;|0:0|Luca Marchegiani|for Roberto Baggio', '49&amp;rsquor;|0:0|Luigi Apolloni|for Franco Baresi', '68&amp;rsquor;|0:0|Daniele Massaro|for Pierluigi Casiraghi']</t>
  </si>
  <si>
    <t>['46&amp;rsquor;|0:0|Mini Jakobsen|for Sigurd Rushfeldt', '81&amp;rsquor;|1:0|Kjetil Rekdal|for Erik Mykland']</t>
  </si>
  <si>
    <t>Leslie Mottram (Referee) · Luc Matthys (AR1) · Mikael Everstig (AR2)</t>
  </si>
  <si>
    <t>Luis Cristaldo · 82</t>
  </si>
  <si>
    <t>['38&amp;rsquor;|0:0|Ko Jeong-woon', '62&amp;rsquor;|0:0|Shin Hong-gi', '89&amp;rsquor;|0:0|Park Jung-bae']</t>
  </si>
  <si>
    <t>['22&amp;rsquor;|0:0|Luis Cristaldo', '22&amp;rsquor;|0:0|Miguel Rimba', '32&amp;rsquor;|0:0|Julio César Baldivieso']</t>
  </si>
  <si>
    <t>['65&amp;rsquor;|0:0|Ha Seok-ju|for Seo Jung-won', '71&amp;rsquor;|0:0|Choi Young-il|for Noh Jung-yoon']</t>
  </si>
  <si>
    <t>['66&amp;rsquor;|0:0|Álvaro Peña|for William Ramallo']</t>
  </si>
  <si>
    <t>Neji Jouini (Referee) · Abdel-Magid Hassan (AR1) · Mohammad Fanaei (AR2)</t>
  </si>
  <si>
    <t>Gheorghe Hagi · 35</t>
  </si>
  <si>
    <t>Alain Sutter · 16|Stéphane Chapuisat · 52|Adrian Knup · 65|Adrian Knup · 72</t>
  </si>
  <si>
    <t>['35&amp;rsquor;|1:1|Gheorghe Hagi']</t>
  </si>
  <si>
    <t>['16&amp;rsquor;|0:1|Alain Sutter', '52&amp;rsquor;|1:2|Stéphane Chapuisat', '65&amp;rsquor;|1:3|Adrian Knup', '72&amp;rsquor;|1:4|Adrian Knup']</t>
  </si>
  <si>
    <t>Ion Vlădoiu · 73</t>
  </si>
  <si>
    <t>['32&amp;rsquor;|0:1|Gheorghe Mihali', '40&amp;rsquor;|1:1|Ioan Lupescu', '47&amp;rsquor;|1:1|Miodrag Belodedici']</t>
  </si>
  <si>
    <t>['70&amp;rsquor;|1:3|Ion Vlădoiu|for Ilie Dumitrescu', '85&amp;rsquor;|1:4|Basarab Panduru|for Ioan Lupescu']</t>
  </si>
  <si>
    <t>['71&amp;rsquor;|1:3|Thomas Bickel|for Alain Sutter', '83&amp;rsquor;|1:4|Patrick Sylvestre|for Christophe Ohrel']</t>
  </si>
  <si>
    <t>Fabio Baldas (Referee) · Domenico Ramicone (AR1) · El Jilali Mohamed Rharib (AR2)</t>
  </si>
  <si>
    <t>Fabio Baldas</t>
  </si>
  <si>
    <t>Earnie Stewart · 52</t>
  </si>
  <si>
    <t>Adolfo Valencia · 90</t>
  </si>
  <si>
    <t>['52&amp;rsquor;|2:0|Earnie Stewart']</t>
  </si>
  <si>
    <t>['90&amp;rsquor;|2:1|Adolfo Valencia']</t>
  </si>
  <si>
    <t>Andrés Escobar (OG) · 35</t>
  </si>
  <si>
    <t>['48&amp;rsquor;|1:0|Alexi Lalas']</t>
  </si>
  <si>
    <t>['24&amp;rsquor;|0:0|Antony de Ávila']</t>
  </si>
  <si>
    <t>['61&amp;rsquor;|2:0|Roy Wegerle|for Eric Wynalda', '66&amp;rsquor;|2:0|Cobi Jones|for Earnie Stewart']</t>
  </si>
  <si>
    <t>['46&amp;rsquor;|1:0|Iván Valenciano|for Antony de Ávila', '46&amp;rsquor;|1:0|Adolfo Valencia|for Faustino Asprilla']</t>
  </si>
  <si>
    <t>Dimitris Saravakos</t>
  </si>
  <si>
    <t>Arturo Angeles (Referee) · Hae-Yong Park (AR1) · Jan Dolstra (AR2)</t>
  </si>
  <si>
    <t>Arturo Angeles</t>
  </si>
  <si>
    <t>Gabriel Batistuta · 2|Gabriel Batistuta · 44|Diego Maradona · 60</t>
  </si>
  <si>
    <t>['2&amp;rsquor;|1:0|Gabriel Batistuta', '44&amp;rsquor;|2:0|Gabriel Batistuta', '60&amp;rsquor;|3:0|Diego Maradona']</t>
  </si>
  <si>
    <t>Gabriel Batistuta (P) · 90</t>
  </si>
  <si>
    <t>['40&amp;rsquor;|1:0|Fernando Cáceres']</t>
  </si>
  <si>
    <t>['25&amp;rsquor;|1:0|Panagiotis Tsalouchidis', '55&amp;rsquor;|2:0|Stelios Manolas']</t>
  </si>
  <si>
    <t>['80&amp;rsquor;|3:0|Alejandro Mancuso|for Abel Balbo', '83&amp;rsquor;|3:0|Ariel Ortega|for Diego Maradona']</t>
  </si>
  <si>
    <t>['46&amp;rsquor;|2:0|Spiros Marangos|for Nikos Tsiantakis', '59&amp;rsquor;|2:0|Tasos Mitropoulos|for Nikos Machlas']</t>
  </si>
  <si>
    <t>Ernesto Filippi (Referee) · Venancio Zarate (AR1) · Ernesto Taibi (AR2)</t>
  </si>
  <si>
    <t>Ernesto Filippi</t>
  </si>
  <si>
    <t>Jürgen Klinsmann · 48</t>
  </si>
  <si>
    <t>Ion Andoni Goikoetxea · 14</t>
  </si>
  <si>
    <t>['48&amp;rsquor;|1:1|Jürgen Klinsmann']</t>
  </si>
  <si>
    <t>['14&amp;rsquor;|0:1|Ion Andoni Goikoetxea']</t>
  </si>
  <si>
    <t>['70&amp;rsquor;|1:1|Stefan Effenberg']</t>
  </si>
  <si>
    <t>['15&amp;rsquor;|0:1|Julio Salinas', '38&amp;rsquor;|0:1|Abelardo Fernández', '53&amp;rsquor;|1:1|Fernando Hierro']</t>
  </si>
  <si>
    <t>['62&amp;rsquor;|1:1|Rudi Völler|for Andreas Möller']</t>
  </si>
  <si>
    <t>['64&amp;rsquor;|1:1|José Mari Bakero|for Ion Andoni Goikoetxea', '77&amp;rsquor;|1:1|Francisco José Camarasa|for Pep Guardiola']</t>
  </si>
  <si>
    <t>Rodrigo Badilla (Referee) · Gordon Dunster (AR1) · Eugene Brazzale (AR2)</t>
  </si>
  <si>
    <t>Rashidi Yekini · 21|Daniel Amokachi · 43|Emmanuel Amunike · 55</t>
  </si>
  <si>
    <t>['21&amp;rsquor;|1:0|Rashidi Yekini', '43&amp;rsquor;|2:0|Daniel Amokachi', '55&amp;rsquor;|3:0|Emmanuel Amunike']</t>
  </si>
  <si>
    <t>['73&amp;rsquor;|3:0|Emmanuel Amunike']</t>
  </si>
  <si>
    <t>['54&amp;rsquor;|2:0|Yordan Letchkov']</t>
  </si>
  <si>
    <t>['69&amp;rsquor;|3:0|Mutiu Adepoju|for Samson Siasia', '77&amp;rsquor;|3:0|Emeka Ezeugo|for Finidi George']</t>
  </si>
  <si>
    <t>['59&amp;rsquor;|3:0|Nasko Sirakov|for Yordan Letchkov', '73&amp;rsquor;|3:0|Ivaylo Yordanov']</t>
  </si>
  <si>
    <t>An Yan Lim Kee Chong (Referee) · El Jilali Mohamed Rharib (AR1) · Domenico Ramicone (AR2)</t>
  </si>
  <si>
    <t>An Yan Lim Kee Chong</t>
  </si>
  <si>
    <t>Romário · 26</t>
  </si>
  <si>
    <t>['26&amp;rsquor;|1:0|Romário']</t>
  </si>
  <si>
    <t>Raí (P) · 52</t>
  </si>
  <si>
    <t>['61&amp;rsquor;|2:0|Yuriy Nikiforov', '65&amp;rsquor;|2:0|Dmitri Khlestov', '78&amp;rsquor;|2:0|Dmitri Kuznetsov']</t>
  </si>
  <si>
    <t>['75&amp;rsquor;|2:0|Aldair|for Ricardo Rocha', '85&amp;rsquor;|2:0|Mazinho|for Dunga']</t>
  </si>
  <si>
    <t>['55&amp;rsquor;|2:0|Oleg Salenko|for Sergei Yuran', '77&amp;rsquor;|2:0|Aleksandr Borodyuk']</t>
  </si>
  <si>
    <t>Manuel Diaz Vega (Referee) · Valentin Ivanov (AR1) · Sandor Marton (AR2)</t>
  </si>
  <si>
    <t>Manuel Diaz Vega</t>
  </si>
  <si>
    <t>Wim Jonk · 50|Gaston Taument · 86</t>
  </si>
  <si>
    <t>Fuad Anwar · 18</t>
  </si>
  <si>
    <t>['50&amp;rsquor;|1:1|Wim Jonk', '86&amp;rsquor;|2:1|Gaston Taument']</t>
  </si>
  <si>
    <t>['18&amp;rsquor;|0:1|Fuad Anwar']</t>
  </si>
  <si>
    <t>['36&amp;rsquor;|0:1|Ulrich van Gobbel', '75&amp;rsquor;|1:1|Frank de Boer']</t>
  </si>
  <si>
    <t>['28&amp;rsquor;|0:1|Abdullah Al-Dosari', '31&amp;rsquor;|0:1|Mohamed Al-Jawad', '61&amp;rsquor;|1:1|Fuad Anwar']</t>
  </si>
  <si>
    <t>['57&amp;rsquor;|1:1|Gaston Taument|for Marc Overmars', '81&amp;rsquor;|1:1|Peter van Vossen|for Bryan Roy']</t>
  </si>
  <si>
    <t>['45&amp;rsquor;|0:1|Hamzah Idris|for Majed Abdullah', '69&amp;rsquor;|1:1|Hamzah Saleh|for Saeed Al-Owairan']</t>
  </si>
  <si>
    <t>Mustafa El Haddaoui</t>
  </si>
  <si>
    <t>Jose Joaquin Torres Cadena (Referee) · Raimundo Calix Garcia (AR1) · Tapio Yli-Karro (AR2)</t>
  </si>
  <si>
    <t>Marc Degryse · 11</t>
  </si>
  <si>
    <t>['11&amp;rsquor;|1:0|Marc Degryse']</t>
  </si>
  <si>
    <t>['81&amp;rsquor;|1:0|Georges Grün', '85&amp;rsquor;|1:0|Josip Weber']</t>
  </si>
  <si>
    <t>['23&amp;rsquor;|1:0|Noureddine Naybet', '26&amp;rsquor;|1:0|Rachid Daoudi', '89&amp;rsquor;|1:0|Rachid Azzouzi']</t>
  </si>
  <si>
    <t>['54&amp;rsquor;|1:0|Marc Emmers|for Luc Nilis', '85&amp;rsquor;|1:0|Vital Borkelmans|for Danny Boffin']</t>
  </si>
  <si>
    <t>['69&amp;rsquor;|1:0|Ahmed Bahja|for Mustafa El Haddaoui', '82&amp;rsquor;|1:0|Mohamed Samadi', '89&amp;rsquor;|1:0|Zakaria Alaoui|for Khalil Azmi']</t>
  </si>
  <si>
    <t>Sandor Puhl (Referee) · Sandor Marton (AR1) · Valentin Ivanov (AR2)</t>
  </si>
  <si>
    <t>Kjetil Rekdal · 84</t>
  </si>
  <si>
    <t>['84&amp;rsquor;|1:0|Kjetil Rekdal']</t>
  </si>
  <si>
    <t>['16&amp;rsquor;|0:0|Alf-Inge Håland', '26&amp;rsquor;|0:0|Øyvind Leonhardsen']</t>
  </si>
  <si>
    <t>['62&amp;rsquor;|0:0|Claudio Suárez']</t>
  </si>
  <si>
    <t>['46&amp;rsquor;|0:0|Gunnar Halle|for Mini Jakobsen', '78&amp;rsquor;|0:0|Kjetil Rekdal|for Erik Mykland']</t>
  </si>
  <si>
    <t>['46&amp;rsquor;|0:0|Benjamín Galindo|for Luis Antonio Valdéz', '71&amp;rsquor;|0:0|Marcelino Bernal|for Raúl Gutiérrez']</t>
  </si>
  <si>
    <t>Alberto Tejada Noriega (Referee) · Douglas Micael James (AR1) · Yousif Abdulla Al Ghattan (AR2)</t>
  </si>
  <si>
    <t>David Embé · 31|François Omam-Biyik · 47</t>
  </si>
  <si>
    <t>Roger Ljung · 8|Martin Dahlin · 75</t>
  </si>
  <si>
    <t>['31&amp;rsquor;|1:1|David Embé', '47&amp;rsquor;|2:1|François Omam-Biyik']</t>
  </si>
  <si>
    <t>['8&amp;rsquor;|0:1|Roger Ljung', '75&amp;rsquor;|2:2|Martin Dahlin']</t>
  </si>
  <si>
    <t>['5&amp;rsquor;|0:0|Émile Mbouh']</t>
  </si>
  <si>
    <t>['72&amp;rsquor;|2:1|Martin Dahlin']</t>
  </si>
  <si>
    <t>['81&amp;rsquor;|2:2|Georges Mouyémé|for David Embé', "87&amp;rsquor;|2:2|Emmanuel Maboang|for Louis-Paul M'Fédé"]</t>
  </si>
  <si>
    <t>['61&amp;rsquor;|2:1|Henrik Larsson|for Jesper Blomqvist', '76&amp;rsquor;|2:2|Kennet Andersson']</t>
  </si>
  <si>
    <t>Francisco Oscar Lamolina (Referee) · Ernesto Taibi (AR1) · Venancio Zarate (AR2)</t>
  </si>
  <si>
    <t>Eric Wynalda · 44</t>
  </si>
  <si>
    <t>Georges Bregy · 39</t>
  </si>
  <si>
    <t>['44&amp;rsquor;|1:1|Eric Wynalda']</t>
  </si>
  <si>
    <t>['39&amp;rsquor;|0:1|Georges Bregy']</t>
  </si>
  <si>
    <t>['89&amp;rsquor;|1:1|John Harkes']</t>
  </si>
  <si>
    <t>['26&amp;rsquor;|0:0|Dominique Herr', '82&amp;rsquor;|1:1|Nestor Subiat']</t>
  </si>
  <si>
    <t>['58&amp;rsquor;|1:1|Roy Wegerle|for Eric Wynalda', '81&amp;rsquor;|1:1|Cobi Jones|for Earnie Stewart']</t>
  </si>
  <si>
    <t>['72&amp;rsquor;|1:1|Nestor Subiat|for Thomas Bickel', '77&amp;rsquor;|1:1|Thomas Wyss|for Ciriaco Sforza']</t>
  </si>
  <si>
    <t>Mario Van Der Ende (Referee) · Jan Dolstra (AR1) · Hae-Yong Park (AR2)</t>
  </si>
  <si>
    <t>Ray Houghton · 11</t>
  </si>
  <si>
    <t>['11&amp;rsquor;|0:1|Ray Houghton']</t>
  </si>
  <si>
    <t>['30&amp;rsquor;|0:1|Terry Phelan', '50&amp;rsquor;|0:1|Tommy Coyne', '80&amp;rsquor;|0:1|Denis Irwin']</t>
  </si>
  <si>
    <t>['46&amp;rsquor;|0:1|Daniele Massaro|for Alberigo Evani', '84&amp;rsquor;|0:1|Nicola Berti']</t>
  </si>
  <si>
    <t>['68&amp;rsquor;|0:1|Jason McAteer|for Ray Houghton', '90&amp;rsquor;|0:1|John Aldridge|for Tommy Coyne']</t>
  </si>
  <si>
    <t>Jamal Al Sharif (Referee) · Yousif Abdulla Al Ghattan (AR1) · Douglas Micael James (AR2)</t>
  </si>
  <si>
    <t>Adolfo Valencia · 43</t>
  </si>
  <si>
    <t>Florin Răducioiu · 15|Gheorghe Hagi · 34|Florin Răducioiu · 89</t>
  </si>
  <si>
    <t>['43&amp;rsquor;|1:2|Adolfo Valencia']</t>
  </si>
  <si>
    <t>['15&amp;rsquor;|0:1|Florin Răducioiu', '34&amp;rsquor;|0:2|Gheorghe Hagi', '89&amp;rsquor;|1:3|Florin Răducioiu']</t>
  </si>
  <si>
    <t>['36&amp;rsquor;|0:2|Luis Fernando Herrera', '53&amp;rsquor;|1:2|Carlos Valderrama', '70&amp;rsquor;|1:2|Leonel Álvarez']</t>
  </si>
  <si>
    <t>['39&amp;rsquor;|0:2|Florin Răducioiu']</t>
  </si>
  <si>
    <t>['68&amp;rsquor;|1:2|Tibor Selymes|for Ilie Dumitrescu', '90&amp;rsquor;|1:3|Corneliu Papură|for Florin Răducioiu']</t>
  </si>
  <si>
    <t>Arturo Brizio Carter (Referee) · Eugene Brazzale (AR1) · Gordon Dunster (AR2)</t>
  </si>
  <si>
    <t>Jürgen Klinsmann · 61</t>
  </si>
  <si>
    <t>['61&amp;rsquor;|1:0|Jürgen Klinsmann']</t>
  </si>
  <si>
    <t>Marco Etcheverry · 82</t>
  </si>
  <si>
    <t>['6&amp;rsquor;|0:0|Jürgen Kohler', '54&amp;rsquor;|0:0|Andreas Möller']</t>
  </si>
  <si>
    <t>['37&amp;rsquor;|0:0|Vladimir Soria', '39&amp;rsquor;|0:0|Julio César Baldivieso', '66&amp;rsquor;|1:0|Carlos Fernando Borja', '89&amp;rsquor;|1:0|Gustavo Quinteros']</t>
  </si>
  <si>
    <t>['60&amp;rsquor;|0:0|Mario Basler|for Karl-Heinz Riedle', '83&amp;rsquor;|1:0|Thomas Strunz|for Thomas Häßler']</t>
  </si>
  <si>
    <t>['66&amp;rsquor;|1:0|Jaime Moreno|for Julio César Baldivieso', '79&amp;rsquor;|1:0|Marco Etcheverry|for William Ramallo']</t>
  </si>
  <si>
    <t>Miguel Ángel Nadal</t>
  </si>
  <si>
    <t>Peter Mikkelsen (Referee) · Carl-Johan Meyer Christensen (AR1) · Roy Pearson (AR2)</t>
  </si>
  <si>
    <t>Julio Salinas · 51|Ion Andoni Goikoetxea · 55</t>
  </si>
  <si>
    <t>Hong Myung-bo · 85|Seo Jung-won · 90</t>
  </si>
  <si>
    <t>['51&amp;rsquor;|1:0|Julio Salinas', '55&amp;rsquor;|2:0|Ion Andoni Goikoetxea']</t>
  </si>
  <si>
    <t>['85&amp;rsquor;|2:1|Hong Myung-bo', '90&amp;rsquor;|2:2|Seo Jung-won']</t>
  </si>
  <si>
    <t>Miguel Ángel Nadal · 25</t>
  </si>
  <si>
    <t>['24&amp;rsquor;|0:0|Luis Enrique', '71&amp;rsquor;|2:0|José Luis Caminero']</t>
  </si>
  <si>
    <t>['37&amp;rsquor;|0:0|Kim Joo-sung', '61&amp;rsquor;|2:0|Choi Young-il']</t>
  </si>
  <si>
    <t>['46&amp;rsquor;|0:0|José Luis Caminero|for Julen Guerrero', '63&amp;rsquor;|2:0|Felipe Miñambres|for Julio Salinas']</t>
  </si>
  <si>
    <t>['59&amp;rsquor;|2:0|Seo Jung-won|for Kim Joo-sung', '73&amp;rsquor;|2:0|Ha Seok-ju|for Noh Jung-yoon']</t>
  </si>
  <si>
    <t>Franz Beckenbauer</t>
  </si>
  <si>
    <t>Carlos Bilardo</t>
  </si>
  <si>
    <t>Stadio Olimpico, Rome</t>
  </si>
  <si>
    <t>Edgardo Codesal Mendez (Referee) · Armando Perez Hoyos (AR1) · Michal Listkiewicz (AR2)</t>
  </si>
  <si>
    <t>Edgardo Codesal Mendez</t>
  </si>
  <si>
    <t>Andreas Brehme (P) · 85</t>
  </si>
  <si>
    <t>Pedro Monzón · 65|Gustavo Dezotti · 87</t>
  </si>
  <si>
    <t>['52&amp;rsquor;|0:0|Rudi Völler']</t>
  </si>
  <si>
    <t>['5&amp;rsquor;|0:0|Gustavo Dezotti', '84&amp;rsquor;|0:0|Pedro Troglio', '87&amp;rsquor;|1:0|Diego Maradona']</t>
  </si>
  <si>
    <t>['73&amp;rsquor;|0:0|Stefan Reuter|for Thomas Berthold']</t>
  </si>
  <si>
    <t>['46&amp;rsquor;|0:0|Pedro Monzón|for Oscar Ruggeri', '53&amp;rsquor;|0:0|Gabriel Calderón|for Jorge Burruchaga']</t>
  </si>
  <si>
    <t>Azeglio Vicini</t>
  </si>
  <si>
    <t>Giuseppe Bergomi</t>
  </si>
  <si>
    <t>Bobby Robson</t>
  </si>
  <si>
    <t>Peter Shilton</t>
  </si>
  <si>
    <t>Stadio San Nicola, Bari</t>
  </si>
  <si>
    <t>Joel Quiniou (Referee) · Mohamed Hansal (AR1) · Kurt Roethlisberger (AR2)</t>
  </si>
  <si>
    <t>Roberto Baggio · 71</t>
  </si>
  <si>
    <t>David Platt · 81</t>
  </si>
  <si>
    <t>['71&amp;rsquor;|1:0|Roberto Baggio']</t>
  </si>
  <si>
    <t>['81&amp;rsquor;|1:1|David Platt']</t>
  </si>
  <si>
    <t>Salvatore Schillaci (P) · 86</t>
  </si>
  <si>
    <t>['67&amp;rsquor;|0:0|Nicola Berti|for Luigi De Agostini', '90&amp;rsquor;|2:1|Riccardo Ferri|for Giuseppe Giannini']</t>
  </si>
  <si>
    <t>['72&amp;rsquor;|1:0|Neil Webb|for Steve McMahon', '72&amp;rsquor;|1:0|Chris Waddle|for Mark Wright']</t>
  </si>
  <si>
    <t>Terry Butcher</t>
  </si>
  <si>
    <t>Stadio delle Alpi, Turin</t>
  </si>
  <si>
    <t>Jose Ramiz Wright (Referee) · Joel Quiniou (AR1) · Armando Perez Hoyos (AR2)</t>
  </si>
  <si>
    <t>(4) 1–1 (3)</t>
  </si>
  <si>
    <t>Jose Ramiz Wright</t>
  </si>
  <si>
    <t>West Germany won on penalty kicks following extra time</t>
  </si>
  <si>
    <t>Andreas Brehme · 60</t>
  </si>
  <si>
    <t>Gary Lineker · 80</t>
  </si>
  <si>
    <t>['60&amp;rsquor;|1:0|Andreas Brehme']</t>
  </si>
  <si>
    <t>['80&amp;rsquor;|1:1|Gary Lineker']</t>
  </si>
  <si>
    <t>['2|1:1|Andreas Brehme', '4|2:2|Lothar Matthäus', '6|3:3|Karl-Heinz Riedle', '8|4:3|Olaf Thon']</t>
  </si>
  <si>
    <t>['1|0:1|Gary Lineker', '3|1:2|Peter Beardsley', '5|2:3|David Platt']</t>
  </si>
  <si>
    <t>['7|3:3|Stuart Pearce', '9|4:3|Chris Waddle']</t>
  </si>
  <si>
    <t>['110&amp;rsquor;|1:1|Andreas Brehme']</t>
  </si>
  <si>
    <t>['65&amp;rsquor;|1:0|Paul Parker', '98&amp;rsquor;|1:1|Paul Gascoigne']</t>
  </si>
  <si>
    <t>['38&amp;rsquor;|0:0|Karl-Heinz Riedle|for Rudi Völler', '67&amp;rsquor;|1:0|Stefan Reuter|for Thomas Häßler']</t>
  </si>
  <si>
    <t>['70&amp;rsquor;|1:0|Trevor Steven|for Terry Butcher']</t>
  </si>
  <si>
    <t>San Paolo, Naples</t>
  </si>
  <si>
    <t>Michel Vautrot (Referee) · Michal Listkiewicz (AR1) · Peter Mikkelsen (AR2)</t>
  </si>
  <si>
    <t>Michel Vautrot</t>
  </si>
  <si>
    <t>Salvatore Schillaci · 17</t>
  </si>
  <si>
    <t>Claudio Caniggia · 67</t>
  </si>
  <si>
    <t>['17&amp;rsquor;|1:0|Salvatore Schillaci']</t>
  </si>
  <si>
    <t>['67&amp;rsquor;|1:1|Claudio Caniggia']</t>
  </si>
  <si>
    <t>['1|1:0|Franco Baresi', '3|2:1|Roberto Baggio', '5|3:2|Luigi De Agostini']</t>
  </si>
  <si>
    <t>['2|1:1|José Serrizuela', '4|2:2|Jorge Burruchaga', '6|3:3|Julio Olarticoechea', '8|3:4|Diego Maradona']</t>
  </si>
  <si>
    <t>['7|3:3|Roberto Donadoni', '9|3:4|Aldo Serena']</t>
  </si>
  <si>
    <t>Ricardo Giusti · 103</t>
  </si>
  <si>
    <t>['22&amp;rsquor;|1:0|Giuseppe Giannini']</t>
  </si>
  <si>
    <t>['30&amp;rsquor;|1:0|Ricardo Giusti', '70&amp;rsquor;|1:1|Oscar Ruggeri', '76&amp;rsquor;|1:1|Julio Olarticoechea', '82&amp;rsquor;|1:1|Claudio Caniggia', '120&amp;rsquor;|1:1|Sergio Batista']</t>
  </si>
  <si>
    <t>['70&amp;rsquor;|1:1|Aldo Serena|for Gianluca Vialli', '73&amp;rsquor;|1:1|Roberto Baggio|for Giuseppe Giannini']</t>
  </si>
  <si>
    <t>['46&amp;rsquor;|1:0|Pedro Troglio|for Gabriel Calderón', '99&amp;rsquor;|1:1|Sergio Batista|for José Basualdo']</t>
  </si>
  <si>
    <t>Jozef Venglos</t>
  </si>
  <si>
    <t>Ivan Hašek</t>
  </si>
  <si>
    <t>Giuseppe Meazza, Milan</t>
  </si>
  <si>
    <t>Helmut Kohl (Referee) · Peter Mikkelsen (AR1) · Michal Listkiewicz (AR2)</t>
  </si>
  <si>
    <t>Helmut Kohl</t>
  </si>
  <si>
    <t>Lothar Matthäus (P) · 25</t>
  </si>
  <si>
    <t>Ľubomír Moravčík · 70</t>
  </si>
  <si>
    <t>['28&amp;rsquor;|1:0|Jürgen Klinsmann']</t>
  </si>
  <si>
    <t>['11&amp;rsquor;|0:0|Ľubomír Moravčík', '14&amp;rsquor;|0:0|Michal Bílek', '38&amp;rsquor;|1:0|František Straka', '88&amp;rsquor;|1:0|Ivo Knoflíček']</t>
  </si>
  <si>
    <t>['82&amp;rsquor;|1:0|Andreas Möller|for Uwe Bein']</t>
  </si>
  <si>
    <t>['67&amp;rsquor;|1:0|Václav Němeček|for Michal Bílek', '80&amp;rsquor;|1:0|Stanislav Griga']</t>
  </si>
  <si>
    <t>Valeri Nepomnyashchi</t>
  </si>
  <si>
    <t>Edgardo Codesal Mendez (Referee) · Vincent Mauro (AR1) · Jassim Mandi (AR2)</t>
  </si>
  <si>
    <t>David Platt · 25</t>
  </si>
  <si>
    <t>Eugène Ekéké · 65</t>
  </si>
  <si>
    <t>['25&amp;rsquor;|1:0|David Platt']</t>
  </si>
  <si>
    <t>['65&amp;rsquor;|1:2|Eugène Ekéké']</t>
  </si>
  <si>
    <t>Gary Lineker (P) · 83|Gary Lineker (P) · 105</t>
  </si>
  <si>
    <t>Emmanuel Kundé (P) · 61</t>
  </si>
  <si>
    <t>['70&amp;rsquor;|1:2|Stuart Pearce']</t>
  </si>
  <si>
    <t>['28&amp;rsquor;|1:0|Benjamin Massing', "105&amp;rsquor;|3:2|Thomas N'Kono", '119&amp;rsquor;|3:2|Roger Milla']</t>
  </si>
  <si>
    <t>['46&amp;rsquor;|1:0|Peter Beardsley|for John Barnes', '74&amp;rsquor;|1:2|Trevor Steven|for Terry Butcher']</t>
  </si>
  <si>
    <t>['46&amp;rsquor;|1:0|Roger Milla|for Emmanuel Maboang', "62&amp;rsquor;|1:1|Eugène Ekéké|for Louis-Paul M'Fédé"]</t>
  </si>
  <si>
    <t>Yugoslavia</t>
  </si>
  <si>
    <t>Ivica Osim</t>
  </si>
  <si>
    <t>Zlatko Vujović</t>
  </si>
  <si>
    <t>Comunale, Florence</t>
  </si>
  <si>
    <t>Kurt Roethlisberger (Referee) · Neji Jouini (AR1) · Mohamed Hansal (AR2)</t>
  </si>
  <si>
    <t>(2) 0–0 (3)</t>
  </si>
  <si>
    <t>['4|1:2|Robert Prosinečki', '6|2:2|Dejan Savićević']</t>
  </si>
  <si>
    <t>['1|0:1|José Serrizuela', '3|0:2|Jorge Burruchaga', '9|2:3|Gustavo Dezotti']</t>
  </si>
  <si>
    <t>['2|0:1|Dragan Stojković', '8|2:2|Dragoljub Brnović', '10|2:3|Faruk Hadžibegić']</t>
  </si>
  <si>
    <t>['5|1:2|Diego Maradona', '7|2:2|Pedro Troglio']</t>
  </si>
  <si>
    <t>Refik Šabanadžović · 31</t>
  </si>
  <si>
    <t>['24&amp;rsquor;|0:0|Refik Šabanadžović']</t>
  </si>
  <si>
    <t>['21&amp;rsquor;|0:0|José Serrizuela', '42&amp;rsquor;|0:0|Julio Olarticoechea', '61&amp;rsquor;|0:0|Pedro Troglio', '110&amp;rsquor;|0:0|Juan Simón']</t>
  </si>
  <si>
    <t>['61&amp;rsquor;|0:0|Dejan Savićević|for Safet Sušić']</t>
  </si>
  <si>
    <t>['51&amp;rsquor;|0:0|Pedro Troglio|for Julio Olarticoechea', '87&amp;rsquor;|0:0|Gustavo Dezotti|for Gabriel Calderón']</t>
  </si>
  <si>
    <t>Carlos Alberto Silva Valente (Referee) · Armando Perez Hoyos (AR1) · Berny Ulloa Morera (AR2)</t>
  </si>
  <si>
    <t>Carlos Alberto Silva Valente</t>
  </si>
  <si>
    <t>Salvatore Schillaci · 38</t>
  </si>
  <si>
    <t>['38&amp;rsquor;|1:0|Salvatore Schillaci']</t>
  </si>
  <si>
    <t>['35&amp;rsquor;|0:0|Luigi De Agostini']</t>
  </si>
  <si>
    <t>['42&amp;rsquor;|1:0|Kevin Moran']</t>
  </si>
  <si>
    <t>['62&amp;rsquor;|1:0|Carlo Ancelotti|for Giuseppe Giannini', '70&amp;rsquor;|1:0|Aldo Serena|for Roberto Baggio']</t>
  </si>
  <si>
    <t>['53&amp;rsquor;|1:0|Tony Cascarino|for Niall Quinn', '78&amp;rsquor;|1:0|John Sheridan|for John Aldridge']</t>
  </si>
  <si>
    <t>Luis Suarez</t>
  </si>
  <si>
    <t>Emilio Butragueño</t>
  </si>
  <si>
    <t>Marc Antonio Bentegodi, Verona</t>
  </si>
  <si>
    <t>Aron Schmidhuber (Referee) · Alan Snoddy (AR1) · Michal Listkiewicz (AR2)</t>
  </si>
  <si>
    <t>Aron Schmidhuber</t>
  </si>
  <si>
    <t>Julio Salinas · 84</t>
  </si>
  <si>
    <t>Dragan Stojković · 78|Dragan Stojković · 93</t>
  </si>
  <si>
    <t>['84&amp;rsquor;|1:1|Julio Salinas']</t>
  </si>
  <si>
    <t>['78&amp;rsquor;|0:1|Dragan Stojković', '93&amp;rsquor;|1:2|Dragan Stojković']</t>
  </si>
  <si>
    <t>['92&amp;rsquor;|1:1|Roberto Fernández Bonillo', '110&amp;rsquor;|1:2|Chendo']</t>
  </si>
  <si>
    <t>['7&amp;rsquor;|0:0|Srečko Katanec', '59&amp;rsquor;|0:0|Zlatko Vujović', '98&amp;rsquor;|1:2|Zoran Vulić']</t>
  </si>
  <si>
    <t>['49&amp;rsquor;|0:0|Manuel Jiménez Abalo|for Genar Andrinúa', '79&amp;rsquor;|0:1|Rafael Paz|for Emilio Butragueño']</t>
  </si>
  <si>
    <t>['55&amp;rsquor;|0:0|Dejan Savićević|for Darko Pančev', '79&amp;rsquor;|0:1|Zoran Vulić']</t>
  </si>
  <si>
    <t>Guy Thys</t>
  </si>
  <si>
    <t>Jan Ceulemans</t>
  </si>
  <si>
    <t>Renato Dall Ara, Bologna</t>
  </si>
  <si>
    <t>Peter Mikkelsen (Referee) · Helmut Kohl (AR1) · Shizuo Takada (AR2)</t>
  </si>
  <si>
    <t>David Platt · 119</t>
  </si>
  <si>
    <t>['119&amp;rsquor;|1:0|David Platt']</t>
  </si>
  <si>
    <t>['87&amp;rsquor;|0:0|Paul Gascoigne']</t>
  </si>
  <si>
    <t>['71&amp;rsquor;|0:0|David Platt|for Steve McMahon', '74&amp;rsquor;|0:0|Steve Bull|for John Barnes']</t>
  </si>
  <si>
    <t>['64&amp;rsquor;|0:0|Nico Claesen|for Marc Degryse', '107&amp;rsquor;|0:0|Patrick Vervoort|for Bruno Versavel']</t>
  </si>
  <si>
    <t>Paul McGrath</t>
  </si>
  <si>
    <t>Emerich Jenei</t>
  </si>
  <si>
    <t>Silviu Lung</t>
  </si>
  <si>
    <t>Luigi Ferraris, Genoa</t>
  </si>
  <si>
    <t>Jose Ramiz Wright (Referee) · Carlos Maciel (AR1) · Jassim Mandi (AR2)</t>
  </si>
  <si>
    <t>(5) 0–0 (4)</t>
  </si>
  <si>
    <t>Rep. of Ireland won on penalty kicks following extra time</t>
  </si>
  <si>
    <t>['2|1:1|Kevin Sheedy', '4|2:2|Ray Houghton', '6|3:3|Andy Townsend', '8|4:4|Tony Cascarino', "10|5:4|David O'Leary"]</t>
  </si>
  <si>
    <t>['1|0:1|Gheorghe Hagi', '3|1:2|Dănuț Lupu', '5|2:3|Iosif Rotariu', '7|3:4|Ioan Lupescu']</t>
  </si>
  <si>
    <t>['9|4:4|Daniel Timofte']</t>
  </si>
  <si>
    <t>['21&amp;rsquor;|0:0|John Aldridge', '107&amp;rsquor;|0:0|Paul McGrath']</t>
  </si>
  <si>
    <t>['112&amp;rsquor;|0:0|Gheorghe Hagi', '116&amp;rsquor;|0:0|Dănuț Lupu']</t>
  </si>
  <si>
    <t>['22&amp;rsquor;|0:0|Tony Cascarino|for John Aldridge', "94&amp;rsquor;|0:0|David O'Leary|for Steve Staunton"]</t>
  </si>
  <si>
    <t>['75&amp;rsquor;|0:0|Dănuț Lupu|for Florin Răducioiu', '98&amp;rsquor;|0:0|Daniel Timofte|for Ioan Sabău']</t>
  </si>
  <si>
    <t>Oscar Tabarez</t>
  </si>
  <si>
    <t>Enzo Francescoli</t>
  </si>
  <si>
    <t>George Courtney (Referee) · Kurt Roethlisberger (AR1) · Zoran Petrovic (AR2)</t>
  </si>
  <si>
    <t>George Courtney</t>
  </si>
  <si>
    <t>Salvatore Schillaci · 65|Aldo Serena · 83</t>
  </si>
  <si>
    <t>['65&amp;rsquor;|1:0|Salvatore Schillaci', '83&amp;rsquor;|2:0|Aldo Serena']</t>
  </si>
  <si>
    <t>['36&amp;rsquor;|0:0|Nicola Berti']</t>
  </si>
  <si>
    <t>['15&amp;rsquor;|0:0|José Pintos Saldanha', '25&amp;rsquor;|0:0|Fernando Álvez', '34&amp;rsquor;|0:0|José Perdomo', '61&amp;rsquor;|0:0|Nelson Gutiérrez']</t>
  </si>
  <si>
    <t>['52&amp;rsquor;|0:0|Aldo Serena|for Nicola Berti', '79&amp;rsquor;|1:0|Pietro Vierchowod|for Roberto Baggio']</t>
  </si>
  <si>
    <t>['55&amp;rsquor;|0:0|Rubén Sosa|for Carlos Aguilera', '79&amp;rsquor;|1:0|Antonio Alzamendi|for Santiago Ostolaza']</t>
  </si>
  <si>
    <t>Sebastiao Lazaroni</t>
  </si>
  <si>
    <t>Ricardo Gomes</t>
  </si>
  <si>
    <t>Joel Quiniou (Referee) · Alexey Spirin (AR1) · Pierluigi Pairetto (AR2)</t>
  </si>
  <si>
    <t>Claudio Caniggia · 81</t>
  </si>
  <si>
    <t>['81&amp;rsquor;|0:1|Claudio Caniggia']</t>
  </si>
  <si>
    <t>Ricardo Gomes · 85</t>
  </si>
  <si>
    <t>['40&amp;rsquor;|0:0|Ricardo Rocha', '50&amp;rsquor;|0:0|Mauro Galvão']</t>
  </si>
  <si>
    <t>['27&amp;rsquor;|0:0|Pedro Monzón', '28&amp;rsquor;|0:0|Ricardo Giusti', '87&amp;rsquor;|0:1|Sergio Goycochea']</t>
  </si>
  <si>
    <t>['83&amp;rsquor;|0:1|Silas Pereira', '83&amp;rsquor;|0:1|Renato Gaúcho|for Alemão']</t>
  </si>
  <si>
    <t>['61&amp;rsquor;|0:0|Gabriel Calderón|for Pedro Troglio']</t>
  </si>
  <si>
    <t>Ruud Gullit</t>
  </si>
  <si>
    <t>Juan Loustau (Referee) · Elias V. Jacome Guerrero (AR1) · Vincent Mauro (AR2)</t>
  </si>
  <si>
    <t>Juan Loustau</t>
  </si>
  <si>
    <t>Jürgen Klinsmann · 51|Andreas Brehme · 85</t>
  </si>
  <si>
    <t>['51&amp;rsquor;|1:0|Jürgen Klinsmann', '85&amp;rsquor;|2:0|Andreas Brehme']</t>
  </si>
  <si>
    <t>Ronald Koeman (P) · 89</t>
  </si>
  <si>
    <t>Rudi Völler · 22</t>
  </si>
  <si>
    <t>Frank Rijkaard · 22</t>
  </si>
  <si>
    <t>['21&amp;rsquor;|0:0|Rudi Völler', '77&amp;rsquor;|1:0|Lothar Matthäus']</t>
  </si>
  <si>
    <t>['20&amp;rsquor;|0:0|Frank Rijkaard', '32&amp;rsquor;|0:0|Jan Wouters', '72&amp;rsquor;|1:0|Marco van Basten']</t>
  </si>
  <si>
    <t>['77&amp;rsquor;|1:0|Karl-Heinz Riedle|for Jürgen Klinsmann']</t>
  </si>
  <si>
    <t>['66&amp;rsquor;|1:0|Wim Kieft|for Berry van Aerle', '78&amp;rsquor;|1:0|Hans Gillhaus|for Richard Witschge']</t>
  </si>
  <si>
    <t>Tullio Lanese (Referee) · Jamal Al Sharif (AR1) · Berny Ulloa Morera (AR2)</t>
  </si>
  <si>
    <t>Tullio Lanese</t>
  </si>
  <si>
    <t>Roger Milla · 106|Roger Milla · 108</t>
  </si>
  <si>
    <t>Bernardo Redín · 115</t>
  </si>
  <si>
    <t>['106&amp;rsquor;|1:0|Roger Milla', '108&amp;rsquor;|2:0|Roger Milla']</t>
  </si>
  <si>
    <t>['115&amp;rsquor;|2:1|Bernardo Redín']</t>
  </si>
  <si>
    <t>['44&amp;rsquor;|0:0|André Kana-Biyik', "46&amp;rsquor;|0:0|Victor N'Dip", '68&amp;rsquor;|0:0|Émile Mbouh', '117&amp;rsquor;|2:1|Jules Onana']</t>
  </si>
  <si>
    <t>['72&amp;rsquor;|0:0|Luis Carlos Perea', '73&amp;rsquor;|0:0|Gabriel Jaime Gómez Jaramillo']</t>
  </si>
  <si>
    <t>["54&amp;rsquor;|0:0|Roger Milla|for Louis-Paul M'Fédé", '69&amp;rsquor;|0:0|Bonaventure Djonkep|for Cyrille Makanaky']</t>
  </si>
  <si>
    <t>['63&amp;rsquor;|0:0|Arnoldo Iguarán|for Luis Fajardo', '79&amp;rsquor;|0:0|Bernardo Redín|for Gabriel Jaime Gómez Jaramillo']</t>
  </si>
  <si>
    <t>Róger Flores</t>
  </si>
  <si>
    <t>Siegfried Kirschen (Referee) · Armando Perez Hoyos (AR1) · Pietro D Elia (AR2)</t>
  </si>
  <si>
    <t>Siegfried Kirschen</t>
  </si>
  <si>
    <t>Tomáš Skuhravý · 12|Tomáš Skuhravý · 63|Luboš Kubík · 76|Tomáš Skuhravý · 82</t>
  </si>
  <si>
    <t>Rónald González Brenes · 55</t>
  </si>
  <si>
    <t>['12&amp;rsquor;|1:0|Tomáš Skuhravý', '63&amp;rsquor;|2:1|Tomáš Skuhravý', '76&amp;rsquor;|3:1|Luboš Kubík', '82&amp;rsquor;|4:1|Tomáš Skuhravý']</t>
  </si>
  <si>
    <t>['55&amp;rsquor;|1:1|Rónald González Brenes']</t>
  </si>
  <si>
    <t>['53&amp;rsquor;|1:0|Ivan Hašek', '56&amp;rsquor;|1:1|Ján Kocian', '67&amp;rsquor;|2:1|František Straka']</t>
  </si>
  <si>
    <t>['5&amp;rsquor;|0:0|Rónald González Brenes', '75&amp;rsquor;|2:1|Héctor Marchena']</t>
  </si>
  <si>
    <t>['46&amp;rsquor;|1:0|Hernán Medford|for Marvin Obando', '65&amp;rsquor;|2:1|Alexandre Guimarães']</t>
  </si>
  <si>
    <t>Juan Loustau (Referee) · Carlos Maciel (AR1) · Vincent Mauro (AR2)</t>
  </si>
  <si>
    <t>Patrick Vervoort · 29</t>
  </si>
  <si>
    <t>Alberto Górriz · 38</t>
  </si>
  <si>
    <t>['29&amp;rsquor;|1:1|Patrick Vervoort']</t>
  </si>
  <si>
    <t>['38&amp;rsquor;|1:2|Alberto Górriz']</t>
  </si>
  <si>
    <t>Míchel (P) · 26</t>
  </si>
  <si>
    <t>['31&amp;rsquor;|1:1|Pascal Plovie|for Marc Emmers', '78&amp;rsquor;|1:2|Marc Van Der Linden|for Lorenzo Staelens']</t>
  </si>
  <si>
    <t>['82&amp;rsquor;|1:2|Rafael Alkorta|for Emilio Butragueño', '88&amp;rsquor;|1:2|Miguel Pardeza|for Julio Salinas']</t>
  </si>
  <si>
    <t>Hoe Taik Lee</t>
  </si>
  <si>
    <t>Choi Soon-ho</t>
  </si>
  <si>
    <t>Friuli, Udine</t>
  </si>
  <si>
    <t>Tullio Lanese (Referee) · Jean Fidele Diramba (AR1) · Neji Jouini (AR2)</t>
  </si>
  <si>
    <t>Daniel Fonseca · 90</t>
  </si>
  <si>
    <t>['90&amp;rsquor;|0:1|Daniel Fonseca']</t>
  </si>
  <si>
    <t>Yoon Deok-yeo · 70</t>
  </si>
  <si>
    <t>['22&amp;rsquor;|0:0|Lee Heung-sil', '62&amp;rsquor;|0:0|Choi Kang-hee']</t>
  </si>
  <si>
    <t>['23&amp;rsquor;|0:0|Santiago Ostolaza', '44&amp;rsquor;|0:0|José Oscar Herrera']</t>
  </si>
  <si>
    <t>['43&amp;rsquor;|0:0|Hwang Sun-hong|for Byun Byung-joo', '79&amp;rsquor;|0:0|Chung Hae-won|for Hwangbo Kwan']</t>
  </si>
  <si>
    <t>['46&amp;rsquor;|0:0|Carlos Aguilera|for Santiago Ostolaza', '62&amp;rsquor;|0:0|Daniel Fonseca|for Rubén Sosa']</t>
  </si>
  <si>
    <t>Della Favorita, Palermo</t>
  </si>
  <si>
    <t>Michel Vautrot (Referee) · Richard Lorenc (AR1) · Mohamed Hansal (AR2)</t>
  </si>
  <si>
    <t>Niall Quinn · 71</t>
  </si>
  <si>
    <t>Ruud Gullit · 11</t>
  </si>
  <si>
    <t>['71&amp;rsquor;|1:1|Niall Quinn']</t>
  </si>
  <si>
    <t>['11&amp;rsquor;|0:1|Ruud Gullit']</t>
  </si>
  <si>
    <t>['43&amp;rsquor;|0:1|Frank Rijkaard']</t>
  </si>
  <si>
    <t>['62&amp;rsquor;|0:1|Ronnie Whelan|for Kevin Sheedy', '62&amp;rsquor;|0:1|Tony Cascarino|for John Aldridge']</t>
  </si>
  <si>
    <t>['58&amp;rsquor;|0:1|Henk Fräser|for Richard Witschge', '78&amp;rsquor;|1:1|John van Loen|for Wim Kieft']</t>
  </si>
  <si>
    <t>Mahmoud El Gohary</t>
  </si>
  <si>
    <t>Gamal Abdel-Hameed</t>
  </si>
  <si>
    <t>Sant Elia, Cagliari</t>
  </si>
  <si>
    <t>Kurt Roethlisberger (Referee) · Berny Ulloa Morera (AR1) · Edgardo Codesal Mendez (AR2)</t>
  </si>
  <si>
    <t>Mark Wright · 58</t>
  </si>
  <si>
    <t>['58&amp;rsquor;|1:0|Mark Wright']</t>
  </si>
  <si>
    <t>['88&amp;rsquor;|1:0|Peter Beardsley']</t>
  </si>
  <si>
    <t>['36&amp;rsquor;|0:0|Magdi Abdelghani', '48&amp;rsquor;|0:0|Ibrahim Hassan']</t>
  </si>
  <si>
    <t>['84&amp;rsquor;|1:0|Peter Beardsley|for Steve Bull', '87&amp;rsquor;|1:0|David Platt|for Chris Waddle']</t>
  </si>
  <si>
    <t>['77&amp;rsquor;|1:0|Tarek Soliman|for Ahmed El-Kass', '77&amp;rsquor;|1:0|Adel Abdelrahman|for Gamal Abdel-Hameed']</t>
  </si>
  <si>
    <t>Olle Nordin</t>
  </si>
  <si>
    <t>Glenn Hysén</t>
  </si>
  <si>
    <t>Zoran Petrovic (Referee) · Alan Snoddy (AR1) · George Courtney (AR2)</t>
  </si>
  <si>
    <t>Zoran Petrovic</t>
  </si>
  <si>
    <t>Johnny Ekström · 32</t>
  </si>
  <si>
    <t>Róger Flores · 75|Hernán Medford · 87</t>
  </si>
  <si>
    <t>['32&amp;rsquor;|1:0|Johnny Ekström']</t>
  </si>
  <si>
    <t>['75&amp;rsquor;|1:1|Róger Flores', '87&amp;rsquor;|1:2|Hernán Medford']</t>
  </si>
  <si>
    <t>['18&amp;rsquor;|0:0|Glenn Strömberg', '74&amp;rsquor;|1:0|Stefan Schwarz']</t>
  </si>
  <si>
    <t>['28&amp;rsquor;|0:0|Róger Gómez', '53&amp;rsquor;|1:0|Héctor Marchena']</t>
  </si>
  <si>
    <t>['34&amp;rsquor;|1:0|Mats Gren|for Tomas Brolin', '81&amp;rsquor;|1:1|Leif Engqvist|for Glenn Strömberg']</t>
  </si>
  <si>
    <t>['60&amp;rsquor;|1:0|Hernán Medford|for Róger Gómez', '73&amp;rsquor;|1:0|Alexandre Guimarães']</t>
  </si>
  <si>
    <t>Andy Roxburgh</t>
  </si>
  <si>
    <t>Roy Aitken</t>
  </si>
  <si>
    <t>Helmut Kohl (Referee) · Michal Listkiewicz (AR1) · Siegfried Kirschen (AR2)</t>
  </si>
  <si>
    <t>Müller · 81</t>
  </si>
  <si>
    <t>['81&amp;rsquor;|1:0|Müller']</t>
  </si>
  <si>
    <t>['5&amp;rsquor;|0:0|Mo Johnston', '8&amp;rsquor;|0:0|Murdo MacLeod']</t>
  </si>
  <si>
    <t>['65&amp;rsquor;|0:0|Müller|for Romário']</t>
  </si>
  <si>
    <t>['39&amp;rsquor;|0:0|Gary Gillespie|for Murdo MacLeod', '79&amp;rsquor;|0:0|Robert Fleck|for Ally McCoist']</t>
  </si>
  <si>
    <t>Alan Snoddy (Referee) · Jassim Mandi (AR1) · Tullio Lanese (AR2)</t>
  </si>
  <si>
    <t>Alan Snoddy</t>
  </si>
  <si>
    <t>Pierre Littbarski · 88</t>
  </si>
  <si>
    <t>Freddy Rincón · 90</t>
  </si>
  <si>
    <t>['88&amp;rsquor;|1:0|Pierre Littbarski']</t>
  </si>
  <si>
    <t>['90&amp;rsquor;|1:1|Freddy Rincón']</t>
  </si>
  <si>
    <t>['63&amp;rsquor;|0:0|Thomas Berthold']</t>
  </si>
  <si>
    <t>['15&amp;rsquor;|0:0|Luis Fernando Herrera', '30&amp;rsquor;|0:0|Gabriel Jaime Gómez Jaramillo', '38&amp;rsquor;|0:0|Leonel Álvarez']</t>
  </si>
  <si>
    <t>['46&amp;rsquor;|0:0|Pierre Littbarski|for Uwe Bein', '87&amp;rsquor;|0:0|Olaf Thon|for Thomas Häßler']</t>
  </si>
  <si>
    <t>Abdulrahman Mohamed</t>
  </si>
  <si>
    <t>Shizuo Takada (Referee) · Peter Mikkelsen (AR1) · Michel Vautrot (AR2)</t>
  </si>
  <si>
    <t>Shizuo Takada</t>
  </si>
  <si>
    <t>Safet Sušić · 5|Darko Pančev · 9|Darko Pančev · 46|Robert Prosinečki · 90</t>
  </si>
  <si>
    <t>Ali Thani Jumaa · 22</t>
  </si>
  <si>
    <t>['5&amp;rsquor;|1:0|Safet Sušić', '9&amp;rsquor;|2:0|Darko Pančev', '46&amp;rsquor;|3:1|Darko Pančev', '90&amp;rsquor;|4:1|Robert Prosinečki']</t>
  </si>
  <si>
    <t>['22&amp;rsquor;|2:1|Ali Thani Jumaa']</t>
  </si>
  <si>
    <t>Khalil Ghanim · 76</t>
  </si>
  <si>
    <t>['20&amp;rsquor;|2:0|Dragoljub Brnović', '66&amp;rsquor;|3:1|Refik Šabanadžović', '76&amp;rsquor;|3:1|Darko Pančev']</t>
  </si>
  <si>
    <t>['36&amp;rsquor;|2:1|Khalil Ghanim']</t>
  </si>
  <si>
    <t>['64&amp;rsquor;|3:1|Zoran Vulić|for Zlatko Vujović', '78&amp;rsquor;|3:1|Robert Prosinečki|for Refik Šabanadžović']</t>
  </si>
  <si>
    <t>['35&amp;rsquor;|2:1|Abdullah Ali Sultan|for Nasir Khamees', '46&amp;rsquor;|2:1|Fahad Khamees']</t>
  </si>
  <si>
    <t>Josef Hickersberger</t>
  </si>
  <si>
    <t>Toni Polster</t>
  </si>
  <si>
    <t>Bob Gansler</t>
  </si>
  <si>
    <t>Mike Windischmann</t>
  </si>
  <si>
    <t>Jamal Al Sharif (Referee) · Richard Lorenc (AR1) · Zoran Petrovic (AR2)</t>
  </si>
  <si>
    <t>Andreas Ogris · 49|Gerhard Rodax · 63</t>
  </si>
  <si>
    <t>Bruce Murray · 83</t>
  </si>
  <si>
    <t>['49&amp;rsquor;|1:0|Andreas Ogris', '63&amp;rsquor;|2:0|Gerhard Rodax']</t>
  </si>
  <si>
    <t>['83&amp;rsquor;|2:1|Bruce Murray']</t>
  </si>
  <si>
    <t>Peter Artner · 33</t>
  </si>
  <si>
    <t>['21&amp;rsquor;|0:0|Manfred Zsak', '31&amp;rsquor;|0:0|Robert Pecl', '50&amp;rsquor;|1:0|Andreas Reisinger', '84&amp;rsquor;|2:1|Klaus Lindenberger', '90&amp;rsquor;|2:1|Gerald Glatzmayer']</t>
  </si>
  <si>
    <t>['26&amp;rsquor;|0:0|Paul Caligiuri', '28&amp;rsquor;|0:0|Jimmy Banks', '42&amp;rsquor;|0:0|Bruce Murray', '58&amp;rsquor;|1:0|Mike Windischmann']</t>
  </si>
  <si>
    <t>['46&amp;rsquor;|0:0|Andreas Reisinger|for Toni Polster', '84&amp;rsquor;|2:1|Gerald Glatzmayer|for Gerhard Rodax']</t>
  </si>
  <si>
    <t>['55&amp;rsquor;|1:0|Eric Wynalda|for Jimmy Banks', '70&amp;rsquor;|2:0|Brian Bliss|for Paul Caligiuri']</t>
  </si>
  <si>
    <t>Joel Quiniou (Referee) · Marcel Van Langenhove (AR1) · George Smith (AR2)</t>
  </si>
  <si>
    <t>Salvatore Schillaci · 9|Roberto Baggio · 78</t>
  </si>
  <si>
    <t>['9&amp;rsquor;|1:0|Salvatore Schillaci', '78&amp;rsquor;|2:0|Roberto Baggio']</t>
  </si>
  <si>
    <t>['44&amp;rsquor;|1:0|Roberto Baggio', '70&amp;rsquor;|1:0|Nicola Berti']</t>
  </si>
  <si>
    <t>['26&amp;rsquor;|1:0|Jozef Chovanec', '29&amp;rsquor;|1:0|Tomáš Skuhravý']</t>
  </si>
  <si>
    <t>['51&amp;rsquor;|1:0|Luigi De Agostini|for Roberto Donadoni', '65&amp;rsquor;|1:0|Pietro Vierchowod|for Fernando De Napoli']</t>
  </si>
  <si>
    <t>['46&amp;rsquor;|1:0|Július Bielik|for Václav Němeček', '58&amp;rsquor;|1:0|Stanislav Griga']</t>
  </si>
  <si>
    <t>Carlos Alberto Silva Valente (Referee) · Berny Ulloa Morera (AR1) · Carlo Longhi (AR2)</t>
  </si>
  <si>
    <t>Pedro Monzón · 62</t>
  </si>
  <si>
    <t>Gabi Balint · 68</t>
  </si>
  <si>
    <t>['62&amp;rsquor;|1:0|Pedro Monzón']</t>
  </si>
  <si>
    <t>['68&amp;rsquor;|1:1|Gabi Balint']</t>
  </si>
  <si>
    <t>['73&amp;rsquor;|1:1|José Serrizuela', '86&amp;rsquor;|1:1|Sergio Batista']</t>
  </si>
  <si>
    <t>['4&amp;rsquor;|0:0|Marius Lăcătuș', '8&amp;rsquor;|0:0|Gheorghe Hagi', '32&amp;rsquor;|0:0|Ioan Lupescu']</t>
  </si>
  <si>
    <t>['53&amp;rsquor;|0:0|Ricardo Giusti|for Pedro Troglio', '60&amp;rsquor;|0:0|Gustavo Dezotti|for Jorge Burruchaga']</t>
  </si>
  <si>
    <t>['72&amp;rsquor;|1:1|Dănuț Lupu|for Gabi Balint', '82&amp;rsquor;|1:1|Dorin Mateuț|for Ioan Sabău']</t>
  </si>
  <si>
    <t>Soviet Union</t>
  </si>
  <si>
    <t>Valeriy Lobanovskyi</t>
  </si>
  <si>
    <t>Anatoliy Demyanenko</t>
  </si>
  <si>
    <t>Jose Ramiz Wright (Referee) · Pietro D Elia (AR1) · Kurt Roethlisberger (AR2)</t>
  </si>
  <si>
    <t>Oleh Protasov · 20|Andrei Zygmantovich · 29|Oleksandr Zavarov · 52|Igor Dobrovolski · 63</t>
  </si>
  <si>
    <t>['20&amp;rsquor;|0:1|Oleh Protasov', '29&amp;rsquor;|0:2|Andrei Zygmantovich', '52&amp;rsquor;|0:3|Oleksandr Zavarov', '63&amp;rsquor;|0:4|Igor Dobrovolski']</t>
  </si>
  <si>
    <t>['61&amp;rsquor;|0:3|André Kana-Biyik', '66&amp;rsquor;|0:4|Roger Milla']</t>
  </si>
  <si>
    <t>['75&amp;rsquor;|0:4|Oleh Protasov']</t>
  </si>
  <si>
    <t>['34&amp;rsquor;|0:2|Roger Milla|for Emmanuel Kundé', '56&amp;rsquor;|0:3|Jean-Claude Pagal|for Cyrille Makanaky']</t>
  </si>
  <si>
    <t>['46&amp;rsquor;|0:2|Oleksandr Zavarov|for Igor Shalimov', '72&amp;rsquor;|0:4|Ivan Yaremchuk|for Hennadiy Lytovchenko']</t>
  </si>
  <si>
    <t>Rabie Yassin</t>
  </si>
  <si>
    <t>Marcel Van Langenhove (Referee) · Joel Quiniou (AR1) · Rosario Lo Bello (AR2)</t>
  </si>
  <si>
    <t>Marcel Van Langenhove</t>
  </si>
  <si>
    <t>['51&amp;rsquor;|0:0|Chris Morris']</t>
  </si>
  <si>
    <t>['72&amp;rsquor;|0:0|Ahmed Shobair']</t>
  </si>
  <si>
    <t>['64&amp;rsquor;|0:0|Alan McLoughlin|for John Aldridge', '84&amp;rsquor;|0:0|Niall Quinn']</t>
  </si>
  <si>
    <t>['60&amp;rsquor;|0:0|Taher Abouzeid|for Magdy Tolba', '76&amp;rsquor;|0:0|Gamal Abdel-Hameed|for Ahmed El-Kass']</t>
  </si>
  <si>
    <t>Siegfried Kirschen (Referee) · Peter Mikkelsen (AR1) · Alexey Spirin (AR2)</t>
  </si>
  <si>
    <t>Lei Clijsters · 15|Enzo Scifo · 24|Jan Ceulemans · 47</t>
  </si>
  <si>
    <t>Pablo Bengoechea · 73</t>
  </si>
  <si>
    <t>['15&amp;rsquor;|1:0|Lei Clijsters', '24&amp;rsquor;|2:0|Enzo Scifo', '47&amp;rsquor;|3:0|Jan Ceulemans']</t>
  </si>
  <si>
    <t>['73&amp;rsquor;|3:1|Pablo Bengoechea']</t>
  </si>
  <si>
    <t>Eric Gerets · 42</t>
  </si>
  <si>
    <t>['35&amp;rsquor;|2:0|Eric Gerets']</t>
  </si>
  <si>
    <t>['40&amp;rsquor;|2:0|Rubén Sosa']</t>
  </si>
  <si>
    <t>['46&amp;rsquor;|2:0|Marc Emmers|for Lei Clijsters', '73&amp;rsquor;|3:1|Patrick Vervoort|for Bruno Versavel']</t>
  </si>
  <si>
    <t>['46&amp;rsquor;|2:0|Carlos Aguilera|for Antonio Alzamendi', '56&amp;rsquor;|3:0|Pablo Bengoechea|for Santiago Ostolaza']</t>
  </si>
  <si>
    <t>Dacia Arena, Udine</t>
  </si>
  <si>
    <t>Elias V. Jacome Guerrero (Referee) · Pierluigi Magni (AR1) · Juan Loustau (AR2)</t>
  </si>
  <si>
    <t>Elias V. Jacome Guerrero</t>
  </si>
  <si>
    <t>Hwangbo Kwan · 43</t>
  </si>
  <si>
    <t>Míchel · 23|Míchel · 61|Míchel · 81</t>
  </si>
  <si>
    <t>['43&amp;rsquor;|1:1|Hwangbo Kwan']</t>
  </si>
  <si>
    <t>['23&amp;rsquor;|0:1|Míchel', '61&amp;rsquor;|1:2|Míchel', '81&amp;rsquor;|1:3|Míchel']</t>
  </si>
  <si>
    <t>['28&amp;rsquor;|0:1|Chung Hae-won', '51&amp;rsquor;|1:1|Yoon Deok-yeo', '68&amp;rsquor;|1:2|Hwangbo Kwan']</t>
  </si>
  <si>
    <t>['52&amp;rsquor;|1:1|Noh Soo-jin|for Chung Hae-won', '68&amp;rsquor;|1:2|Chung Jong-soo|for Park Kyung-hoon']</t>
  </si>
  <si>
    <t>['76&amp;rsquor;|1:2|Fernando Gómez Colomer|for Emilio Butragueño', '81&amp;rsquor;|1:3|José Mari Bakero|for Roberto Fernández Bonillo']</t>
  </si>
  <si>
    <t>Neji Jouini (Referee) · Jean Fidele Diramba (AR1) · Jassim Mandi (AR2)</t>
  </si>
  <si>
    <t>Müller · 33</t>
  </si>
  <si>
    <t>['33&amp;rsquor;|1:0|Müller']</t>
  </si>
  <si>
    <t>['88&amp;rsquor;|1:0|Jorginho', '90&amp;rsquor;|1:0|Carlos Mozer']</t>
  </si>
  <si>
    <t>['16&amp;rsquor;|0:0|Claudio Jara', '59&amp;rsquor;|1:0|Róger Gómez']</t>
  </si>
  <si>
    <t>['83&amp;rsquor;|1:0|Bebeto|for Careca', '86&amp;rsquor;|1:0|Silas Pereira|for Valdo Filho']</t>
  </si>
  <si>
    <t>['71&amp;rsquor;|1:0|Roy Myers|for Claudio Jara', '78&amp;rsquor;|1:0|Alexandre Guimarães|for Juan Cayasso']</t>
  </si>
  <si>
    <t>Bryan Robson</t>
  </si>
  <si>
    <t>Zoran Petrovic (Referee) · Mohamed Hansal (AR1) · Edgardo Codesal Mendez (AR2)</t>
  </si>
  <si>
    <t>['59&amp;rsquor;|0:0|Steve Bull|for Chris Waddle', '64&amp;rsquor;|0:0|David Platt|for Bryan Robson']</t>
  </si>
  <si>
    <t>["74&amp;rsquor;|0:0|Wim Kieft|for John van 't Schip"]</t>
  </si>
  <si>
    <t>Carlos Maciel (Referee) · Vincent Mauro (AR1) · Michal Listkiewicz (AR2)</t>
  </si>
  <si>
    <t>Carlos Maciel</t>
  </si>
  <si>
    <t>Glenn Strömberg · 86</t>
  </si>
  <si>
    <t>Stuart McCall · 11</t>
  </si>
  <si>
    <t>['86&amp;rsquor;|1:2|Glenn Strömberg']</t>
  </si>
  <si>
    <t>['11&amp;rsquor;|0:1|Stuart McCall']</t>
  </si>
  <si>
    <t>Mo Johnston (P) · 81</t>
  </si>
  <si>
    <t>['59&amp;rsquor;|0:1|Jonas Thern']</t>
  </si>
  <si>
    <t>['68&amp;rsquor;|0:1|Dave McPherson']</t>
  </si>
  <si>
    <t>['62&amp;rsquor;|0:1|Johnny Ekström|for Stefan Pettersson', '75&amp;rsquor;|0:1|Glenn Strömberg|for Peter Larsson']</t>
  </si>
  <si>
    <t>['75&amp;rsquor;|0:1|Paul McStay|for Gordon Durie', '84&amp;rsquor;|0:2|Ally McCoist|for Robert Fleck']</t>
  </si>
  <si>
    <t>George Smith (Referee) · Richard Lorenc (AR1) · Jamal Al Sharif (AR2)</t>
  </si>
  <si>
    <t>George Smith</t>
  </si>
  <si>
    <t>Michal Bílek (P) · 31</t>
  </si>
  <si>
    <t>['22&amp;rsquor;|0:0|Robert Pecl', '71&amp;rsquor;|0:1|Manfred Zsak', '85&amp;rsquor;|0:1|Anton Pfeffer']</t>
  </si>
  <si>
    <t>['52&amp;rsquor;|0:1|Ľubomír Moravčík', '62&amp;rsquor;|0:1|Luboš Kubík']</t>
  </si>
  <si>
    <t>['46&amp;rsquor;|0:1|Andreas Ogris|for Peter Schöttel', '46&amp;rsquor;|0:1|Michael Streiter|for Kurt Russ']</t>
  </si>
  <si>
    <t>['31&amp;rsquor;|0:1|Július Bielik|for Jozef Chovanec', '82&amp;rsquor;|0:1|Vladimír Weiss|for Ivo Knoflíček']</t>
  </si>
  <si>
    <t>Alexey Spirin (Referee) · Shizuo Takada (AR1) · Pierluigi Pairetto (AR2)</t>
  </si>
  <si>
    <t>5–1</t>
  </si>
  <si>
    <t>Alexey Spirin</t>
  </si>
  <si>
    <t>Rudi Völler · 35|Jürgen Klinsmann · 37|Lothar Matthäus · 47|Uwe Bein · 58|Rudi Völler · 75</t>
  </si>
  <si>
    <t>Khalid Ismaïl · 46</t>
  </si>
  <si>
    <t>['35&amp;rsquor;|1:0|Rudi Völler', '37&amp;rsquor;|2:0|Jürgen Klinsmann', '47&amp;rsquor;|3:1|Lothar Matthäus', '58&amp;rsquor;|4:1|Uwe Bein', '75&amp;rsquor;|5:1|Rudi Völler']</t>
  </si>
  <si>
    <t>['46&amp;rsquor;|2:1|Khalid Ismaïl']</t>
  </si>
  <si>
    <t>['30&amp;rsquor;|0:0|Andreas Brehme']</t>
  </si>
  <si>
    <t>['26&amp;rsquor;|0:0|Yousuf Hussain', '30&amp;rsquor;|0:0|Hussain Ghuloum']</t>
  </si>
  <si>
    <t>['46&amp;rsquor;|2:1|Pierre Littbarski|for Thomas Berthold', '72&amp;rsquor;|4:1|Karl-Heinz Riedle|for Jürgen Klinsmann']</t>
  </si>
  <si>
    <t>['82&amp;rsquor;|5:1|Hassan Mohamed|for Khalid Ismaïl', '86&amp;rsquor;|5:1|Abdulrahman Al-Haddad|for Ibrahim Meer']</t>
  </si>
  <si>
    <t>Luigi Agnolin (Referee) · Neji Jouini (AR1) · Jean Fidele Diramba (AR2)</t>
  </si>
  <si>
    <t>Luigi Agnolin</t>
  </si>
  <si>
    <t>Davor Jozić · 75</t>
  </si>
  <si>
    <t>['75&amp;rsquor;|1:0|Davor Jozić']</t>
  </si>
  <si>
    <t>['85&amp;rsquor;|1:0|Dragan Stojković']</t>
  </si>
  <si>
    <t>['46&amp;rsquor;|0:0|Robert Jarni|for Srečko Katanec', '53&amp;rsquor;|0:0|Darko Pančev|for Zlatko Vujović']</t>
  </si>
  <si>
    <t>['68&amp;rsquor;|0:0|Rubén Darío Hernández|for Freddy Rincón', '78&amp;rsquor;|1:0|Carlos Estrada|for Bernardo Redín']</t>
  </si>
  <si>
    <t>Hernan Silva Arce (Referee) · Carlos Alberto Silva Valente (AR1) · Armando Perez Hoyos (AR2)</t>
  </si>
  <si>
    <t>Hernan Silva Arce</t>
  </si>
  <si>
    <t>Roger Milla · 76|Roger Milla · 86</t>
  </si>
  <si>
    <t>Gabi Balint · 88</t>
  </si>
  <si>
    <t>['76&amp;rsquor;|1:0|Roger Milla', '86&amp;rsquor;|2:0|Roger Milla']</t>
  </si>
  <si>
    <t>['88&amp;rsquor;|2:1|Gabi Balint']</t>
  </si>
  <si>
    <t>['20&amp;rsquor;|0:0|Jules Onana', "68&amp;rsquor;|0:0|Thomas N'Kono"]</t>
  </si>
  <si>
    <t>['44&amp;rsquor;|0:0|Michael Klein']</t>
  </si>
  <si>
    <t>['59&amp;rsquor;|0:0|Roger Milla|for Emmanuel Maboang', '69&amp;rsquor;|0:0|Jean-Claude Pagal|for Emmanuel Kundé']</t>
  </si>
  <si>
    <t>['56&amp;rsquor;|0:0|Ilie Dumitrescu|for Gheorghe Hagi', '63&amp;rsquor;|0:0|Gabi Balint|for Florin Răducioiu']</t>
  </si>
  <si>
    <t>Edgardo Codesal Mendez (Referee) · Juan Cardellino De San Vicente (AR1) · Berny Ulloa Morera (AR2)</t>
  </si>
  <si>
    <t>Giuseppe Giannini · 11</t>
  </si>
  <si>
    <t>['11&amp;rsquor;|1:0|Giuseppe Giannini']</t>
  </si>
  <si>
    <t>['68&amp;rsquor;|1:0|Riccardo Ferri']</t>
  </si>
  <si>
    <t>['62&amp;rsquor;|1:0|Jimmy Banks']</t>
  </si>
  <si>
    <t>['51&amp;rsquor;|1:0|Salvatore Schillaci|for Andrea Carnevale']</t>
  </si>
  <si>
    <t>['80&amp;rsquor;|1:0|John Stollmeyer|for Jimmy Banks', '82&amp;rsquor;|1:0|Christopher Sullivan|for Bruce Murray']</t>
  </si>
  <si>
    <t>Helmut Kohl (Referee) · Alexey Spirin (AR1) · Siegfried Kirschen (AR2)</t>
  </si>
  <si>
    <t>['10&amp;rsquor;|0:0|José Perdomo', '80&amp;rsquor;|0:0|Enzo Francescoli']</t>
  </si>
  <si>
    <t>['24&amp;rsquor;|0:0|Manuel Jiménez Abalo', '68&amp;rsquor;|0:0|Francisco Villarroya']</t>
  </si>
  <si>
    <t>['65&amp;rsquor;|0:0|Gabriel Correa|for Ruben Pereira', '65&amp;rsquor;|0:0|Carlos Aguilera|for Antonio Alzamendi']</t>
  </si>
  <si>
    <t>['79&amp;rsquor;|0:0|Alberto Górriz', '79&amp;rsquor;|0:0|Rafael Paz|for Manolo']</t>
  </si>
  <si>
    <t>Oleh Kuznetsov</t>
  </si>
  <si>
    <t>Erik Fredriksson (Referee) · Jose Ramiz Wright (AR1) · Jamal Al Sharif (AR2)</t>
  </si>
  <si>
    <t>Erik Fredriksson</t>
  </si>
  <si>
    <t>Pedro Troglio · 27|Jorge Burruchaga · 79</t>
  </si>
  <si>
    <t>['27&amp;rsquor;|1:0|Pedro Troglio', '79&amp;rsquor;|2:0|Jorge Burruchaga']</t>
  </si>
  <si>
    <t>Volodymyr Bezsonov · 48</t>
  </si>
  <si>
    <t>['55&amp;rsquor;|1:0|José Serrizuela', '57&amp;rsquor;|1:0|Claudio Caniggia', '70&amp;rsquor;|1:0|Diego Maradona', '73&amp;rsquor;|1:0|Jorge Burruchaga', '77&amp;rsquor;|1:0|Pedro Monzón']</t>
  </si>
  <si>
    <t>['51&amp;rsquor;|1:0|Andrei Zygmantovich']</t>
  </si>
  <si>
    <t>['11&amp;rsquor;|0:0|Sergio Goycochea|for Nery Pumpido', '78&amp;rsquor;|1:0|Néstor Lorenzo|for Pedro Monzón']</t>
  </si>
  <si>
    <t>['75&amp;rsquor;|1:0|Hennadiy Lytovchenko|for Oleh Protasov', '80&amp;rsquor;|2:0|Volodymyr Lyutyi|for Oleksandr Zavarov']</t>
  </si>
  <si>
    <t>Eric Gerets</t>
  </si>
  <si>
    <t>Chung Yong-hwan</t>
  </si>
  <si>
    <t>Vincent Mauro (Referee) · Alan Snoddy (AR1) · George Courtney (AR2)</t>
  </si>
  <si>
    <t>Vincent Mauro</t>
  </si>
  <si>
    <t>Marc Degryse · 53|Michel De Wolf · 64</t>
  </si>
  <si>
    <t>['53&amp;rsquor;|1:0|Marc Degryse', '64&amp;rsquor;|2:0|Michel De Wolf']</t>
  </si>
  <si>
    <t>['39&amp;rsquor;|0:0|Choi Soon-ho']</t>
  </si>
  <si>
    <t>['46&amp;rsquor;|0:0|Jan Ceulemans|for Marc Van Der Linden']</t>
  </si>
  <si>
    <t>['46&amp;rsquor;|0:0|Cho Min-kook|for Lee Young-jin', '62&amp;rsquor;|1:0|Lee Tae-ho|for Noh Soo-jin']</t>
  </si>
  <si>
    <t>Emilio Soriano Aladren (Referee) · Edgardo Codesal Mendez (AR1) · Juan Cardellino De San Vicente (AR2)</t>
  </si>
  <si>
    <t>Emilio Soriano Aladren</t>
  </si>
  <si>
    <t>Wim Kieft · 58</t>
  </si>
  <si>
    <t>['58&amp;rsquor;|1:0|Wim Kieft']</t>
  </si>
  <si>
    <t>Magdi Abdelghani (P) · 83</t>
  </si>
  <si>
    <t>['55&amp;rsquor;|0:0|Ahmed Ramzy']</t>
  </si>
  <si>
    <t>['46&amp;rsquor;|0:0|Wim Kieft|for Gerald Vanenburg', '70&amp;rsquor;|1:0|Richard Witschge']</t>
  </si>
  <si>
    <t>['70&amp;rsquor;|1:0|Magdy Tolba|for Ahmed Ramzy', '70&amp;rsquor;|1:0|Adel Abdelrahman|for Gamal Abdel-Hameed']</t>
  </si>
  <si>
    <t>Juan Loustau (Referee) · Carlos Maciel (AR1) · Elias V. Jacome Guerrero (AR2)</t>
  </si>
  <si>
    <t>Juan Cayasso · 49</t>
  </si>
  <si>
    <t>['49&amp;rsquor;|1:0|Juan Cayasso']</t>
  </si>
  <si>
    <t>['86&amp;rsquor;|1:0|Hernán Medford|for Claudio Jara']</t>
  </si>
  <si>
    <t>['46&amp;rsquor;|0:0|Stewart McKimmie|for Richard Gough', '73&amp;rsquor;|1:0|Ally McCoist|for Jim Bett']</t>
  </si>
  <si>
    <t>Aron Schmidhuber (Referee) · Erik Fredriksson (AR1) · Kurt Roethlisberger (AR2)</t>
  </si>
  <si>
    <t>Gary Lineker · 9</t>
  </si>
  <si>
    <t>Kevin Sheedy · 73</t>
  </si>
  <si>
    <t>['9&amp;rsquor;|1:0|Gary Lineker']</t>
  </si>
  <si>
    <t>['73&amp;rsquor;|1:1|Kevin Sheedy']</t>
  </si>
  <si>
    <t>['75&amp;rsquor;|1:1|Steve McMahon']</t>
  </si>
  <si>
    <t>['69&amp;rsquor;|1:0|Steve McMahon|for Peter Beardsley', '83&amp;rsquor;|1:1|Steve Bull|for Gary Lineker']</t>
  </si>
  <si>
    <t>['64&amp;rsquor;|1:0|Alan McLoughlin|for John Aldridge']</t>
  </si>
  <si>
    <t>Kurt Roethlisberger (Referee) · Marcel Van Langenhove (AR1) · Aron Schmidhuber (AR2)</t>
  </si>
  <si>
    <t>Paul Caligiuri · 60</t>
  </si>
  <si>
    <t>Tomáš Skuhravý · 26|Ivan Hašek · 50|Tomáš Skuhravý · 78|Milan Luhový · 90</t>
  </si>
  <si>
    <t>['60&amp;rsquor;|1:3|Paul Caligiuri']</t>
  </si>
  <si>
    <t>['26&amp;rsquor;|0:1|Tomáš Skuhravý', '50&amp;rsquor;|0:3|Ivan Hašek', '78&amp;rsquor;|1:4|Tomáš Skuhravý', '90&amp;rsquor;|1:5|Milan Luhový']</t>
  </si>
  <si>
    <t>Michal Bílek (P) · 40</t>
  </si>
  <si>
    <t>Eric Wynalda · 52</t>
  </si>
  <si>
    <t>['39&amp;rsquor;|0:1|Tony Meola', '44&amp;rsquor;|0:2|Steve Trittschuh']</t>
  </si>
  <si>
    <t>['30&amp;rsquor;|0:1|Luboš Kubík', '62&amp;rsquor;|1:3|Miroslav Kadlec']</t>
  </si>
  <si>
    <t>['64&amp;rsquor;|1:3|Marcelo Balboa|for John Stollmeyer', '77&amp;rsquor;|1:3|Christopher Sullivan|for Bruce Murray']</t>
  </si>
  <si>
    <t>['76&amp;rsquor;|1:3|Milan Luhový|for Ivo Knoflíček', '83&amp;rsquor;|1:4|Vladimír Weiss|for Ľubomír Moravčík']</t>
  </si>
  <si>
    <t>Peter Mikkelsen (Referee) · Jassim Mandi (AR1) · Michal Listkiewicz (AR2)</t>
  </si>
  <si>
    <t>Lothar Matthäus · 28|Jürgen Klinsmann · 39|Lothar Matthäus · 64|Rudi Völler · 70</t>
  </si>
  <si>
    <t>Davor Jozić · 55</t>
  </si>
  <si>
    <t>['28&amp;rsquor;|1:0|Lothar Matthäus', '39&amp;rsquor;|2:0|Jürgen Klinsmann', '64&amp;rsquor;|3:1|Lothar Matthäus', '70&amp;rsquor;|4:1|Rudi Völler']</t>
  </si>
  <si>
    <t>['55&amp;rsquor;|2:1|Davor Jozić']</t>
  </si>
  <si>
    <t>['6&amp;rsquor;|0:0|Andreas Brehme']</t>
  </si>
  <si>
    <t>['75&amp;rsquor;|4:1|Pierre Littbarski|for Uwe Bein', '75&amp;rsquor;|4:1|Andreas Möller|for Thomas Häßler']</t>
  </si>
  <si>
    <t>['55&amp;rsquor;|2:1|Dragoljub Brnović|for Dejan Savićević', '55&amp;rsquor;|2:1|Robert Prosinečki|for Safet Sušić']</t>
  </si>
  <si>
    <t>Tullio Lanese (Referee) · Michel Vautrot (AR1) · Neji Jouini (AR2)</t>
  </si>
  <si>
    <t>Careca · 40|Careca · 63</t>
  </si>
  <si>
    <t>Tomas Brolin · 79</t>
  </si>
  <si>
    <t>['40&amp;rsquor;|1:0|Careca', '63&amp;rsquor;|2:0|Careca']</t>
  </si>
  <si>
    <t>['79&amp;rsquor;|2:1|Tomas Brolin']</t>
  </si>
  <si>
    <t>['38&amp;rsquor;|0:0|Carlos Mozer', '60&amp;rsquor;|1:0|Branco', '88&amp;rsquor;|2:1|Dunga']</t>
  </si>
  <si>
    <t>['83&amp;rsquor;|2:1|Joakim Nilsson']</t>
  </si>
  <si>
    <t>['82&amp;rsquor;|2:1|Silas Pereira|for Valdo Filho']</t>
  </si>
  <si>
    <t>['46&amp;rsquor;|1:0|Stefan Pettersson|for Mats Magnusson', '70&amp;rsquor;|2:0|Glenn Strömberg|for Roger Ljung']</t>
  </si>
  <si>
    <t>Fahad Khamees</t>
  </si>
  <si>
    <t>George Courtney (Referee) · Shizuo Takada (AR1) · Alan Snoddy (AR2)</t>
  </si>
  <si>
    <t>Bernardo Redín · 50|Carlos Valderrama · 85</t>
  </si>
  <si>
    <t>['50&amp;rsquor;|0:1|Bernardo Redín', '85&amp;rsquor;|0:2|Carlos Valderrama']</t>
  </si>
  <si>
    <t>['5&amp;rsquor;|0:0|Eissa Meer', '55&amp;rsquor;|0:1|Yousuf Hussain', '70&amp;rsquor;|0:1|Ibrahim Meer']</t>
  </si>
  <si>
    <t>['57&amp;rsquor;|0:1|Zuhair Bakheet|for Fahad Khamees', '74&amp;rsquor;|0:1|Abdullah Ali Sultan|for Eissa Meer']</t>
  </si>
  <si>
    <t>['75&amp;rsquor;|0:1|Carlos Estrada']</t>
  </si>
  <si>
    <t>Rinat Dasayev</t>
  </si>
  <si>
    <t>Juan Cardellino De San Vicente (Referee) · Emilio Soriano Aladren (AR1) · Hernan Silva Arce (AR2)</t>
  </si>
  <si>
    <t>Juan Cardellino De San Vicente</t>
  </si>
  <si>
    <t>Marius Lăcătuș · 41</t>
  </si>
  <si>
    <t>['41&amp;rsquor;|0:1|Marius Lăcătuș']</t>
  </si>
  <si>
    <t>Marius Lăcătuș (P) · 55</t>
  </si>
  <si>
    <t>['11&amp;rsquor;|0:0|Vagiz Khidiyatullin']</t>
  </si>
  <si>
    <t>['44&amp;rsquor;|0:1|Marius Lăcătuș']</t>
  </si>
  <si>
    <t>['66&amp;rsquor;|0:2|Ivan Yaremchuk|for Hennadiy Lytovchenko', '71&amp;rsquor;|0:2|Aleksandr Borodyuk|for Igor Dobrovolski']</t>
  </si>
  <si>
    <t>['80&amp;rsquor;|0:2|Gabi Balint', '87&amp;rsquor;|0:2|Ilie Dumitrescu|for Marius Lăcătuș']</t>
  </si>
  <si>
    <t>Jose Ramiz Wright (Referee) · Armando Perez Hoyos (AR1) · Carlos Alberto Silva Valente (AR2)</t>
  </si>
  <si>
    <t>Salvatore Schillaci · 78</t>
  </si>
  <si>
    <t>['78&amp;rsquor;|1:0|Salvatore Schillaci']</t>
  </si>
  <si>
    <t>['6&amp;rsquor;|0:0|Andreas Herzog']</t>
  </si>
  <si>
    <t>['46&amp;rsquor;|0:0|Luigi De Agostini|for Carlo Ancelotti', '75&amp;rsquor;|0:0|Salvatore Schillaci|for Andrea Carnevale']</t>
  </si>
  <si>
    <t>['61&amp;rsquor;|0:0|Manfred Zsak|for Peter Artner', '77&amp;rsquor;|0:0|Alfred Hörtnagl|for Manfred Linzmaier']</t>
  </si>
  <si>
    <t>Michel Vautrot (Referee) · Vincent Mauro (AR1) · Michal Listkiewicz (AR2)</t>
  </si>
  <si>
    <t>François Omam-Biyik · 67</t>
  </si>
  <si>
    <t>['67&amp;rsquor;|0:1|François Omam-Biyik']</t>
  </si>
  <si>
    <t>André Kana-Biyik · 61|Benjamin Massing · 88</t>
  </si>
  <si>
    <t>['27&amp;rsquor;|0:0|Roberto Sensini']</t>
  </si>
  <si>
    <t>['9&amp;rsquor;|0:0|Benjamin Massing', "23&amp;rsquor;|0:0|Victor N'Dip", '53&amp;rsquor;|0:0|Émile Mbouh']</t>
  </si>
  <si>
    <t>['46&amp;rsquor;|0:0|Claudio Caniggia|for Oscar Ruggeri', '69&amp;rsquor;|0:1|Gabriel Calderón|for Roberto Sensini']</t>
  </si>
  <si>
    <t>["66&amp;rsquor;|0:0|Thomas Libiih|for Louis-Paul M'Fédé", '81&amp;rsquor;|0:1|Roger Milla|for Cyrille Makanaky']</t>
  </si>
  <si>
    <t>Karl-Heinz Rummenigge</t>
  </si>
  <si>
    <t>Estadio Azteca, Mexico City</t>
  </si>
  <si>
    <t>Romualdo Arppi Filho (Referee) · Erik Fredriksson (AR1) · Berny Ulloa Morera (AR2)</t>
  </si>
  <si>
    <t>Romualdo Arppi Filho</t>
  </si>
  <si>
    <t>José Luis Brown · 23|Jorge Valdano · 56|Jorge Burruchaga · 84</t>
  </si>
  <si>
    <t>Karl-Heinz Rummenigge · 74|Rudi Völler · 81</t>
  </si>
  <si>
    <t>['23&amp;rsquor;|1:0|José Luis Brown', '56&amp;rsquor;|2:0|Jorge Valdano', '84&amp;rsquor;|3:2|Jorge Burruchaga']</t>
  </si>
  <si>
    <t>['74&amp;rsquor;|2:1|Karl-Heinz Rummenigge', '81&amp;rsquor;|2:2|Rudi Völler']</t>
  </si>
  <si>
    <t>['17&amp;rsquor;|0:0|Diego Maradona', '77&amp;rsquor;|2:1|Julio Olarticoechea', '81&amp;rsquor;|2:2|Héctor Enrique', '85&amp;rsquor;|3:2|Nery Pumpido']</t>
  </si>
  <si>
    <t>['21&amp;rsquor;|0:0|Lothar Matthäus', '62&amp;rsquor;|2:0|Hans-Peter Briegel']</t>
  </si>
  <si>
    <t>['90&amp;rsquor;|3:2|Marcelo Trobbiani|for Jorge Burruchaga']</t>
  </si>
  <si>
    <t>['46&amp;rsquor;|1:0|Rudi Völler|for Klaus Allofs', '62&amp;rsquor;|2:0|Dieter Hoeneß|for Felix Magath']</t>
  </si>
  <si>
    <t>Patrick Battiston</t>
  </si>
  <si>
    <t>Cuauhtemoc, Puebla</t>
  </si>
  <si>
    <t>George Courtney (Referee) · Hernan Silva Arce (AR1) · Jamal Al Sharif (AR2)</t>
  </si>
  <si>
    <t>Jean-Marc Ferreri · 27|Jean-Pierre Papin · 43|Bernard Genghini · 104</t>
  </si>
  <si>
    <t>Jan Ceulemans · 11|Nico Claesen · 73</t>
  </si>
  <si>
    <t>['27&amp;rsquor;|1:1|Jean-Marc Ferreri', '43&amp;rsquor;|2:1|Jean-Pierre Papin', '104&amp;rsquor;|3:2|Bernard Genghini']</t>
  </si>
  <si>
    <t>['11&amp;rsquor;|0:1|Jan Ceulemans', '73&amp;rsquor;|2:2|Nico Claesen']</t>
  </si>
  <si>
    <t>Manuel Amoros (P) · 111</t>
  </si>
  <si>
    <t>['63&amp;rsquor;|2:1|Jean-Marie Pfaff']</t>
  </si>
  <si>
    <t>['55&amp;rsquor;|2:1|Maxime Bossis|for Yvon Le Roux', '83&amp;rsquor;|2:2|Thierry Tusseau|for Jean Tigana']</t>
  </si>
  <si>
    <t>['46&amp;rsquor;|2:1|Franky Van der Elst|for Michel Renquin', '64&amp;rsquor;|2:1|Leo Van der Elst']</t>
  </si>
  <si>
    <t>Michel Platini</t>
  </si>
  <si>
    <t>Jalisco, Guadalajara</t>
  </si>
  <si>
    <t>Luigi Agnolin (Referee) · Zoran Petrovic (AR1) · Lajos Nemeth (AR2)</t>
  </si>
  <si>
    <t>Andreas Brehme · 9|Rudi Völler · 90</t>
  </si>
  <si>
    <t>['9&amp;rsquor;|0:1|Andreas Brehme', '90&amp;rsquor;|0:2|Rudi Völler']</t>
  </si>
  <si>
    <t>['89&amp;rsquor;|0:1|Luis Fernández']</t>
  </si>
  <si>
    <t>['59&amp;rsquor;|0:1|Felix Magath']</t>
  </si>
  <si>
    <t>['66&amp;rsquor;|0:1|Daniel Xuereb|for Bruno Bellone', '72&amp;rsquor;|0:1|Philippe Vercruysse|for Alain Giresse']</t>
  </si>
  <si>
    <t>['57&amp;rsquor;|0:1|Rudi Völler|for Karl-Heinz Rummenigge']</t>
  </si>
  <si>
    <t>Antonio Marquez Ramirez (Referee) · Romulo Mendez Molina (AR1) · Carlos Alberto Silva Valente (AR2)</t>
  </si>
  <si>
    <t>Antonio Marquez Ramirez</t>
  </si>
  <si>
    <t>Diego Maradona · 51|Diego Maradona · 63</t>
  </si>
  <si>
    <t>['51&amp;rsquor;|1:0|Diego Maradona', '63&amp;rsquor;|2:0|Diego Maradona']</t>
  </si>
  <si>
    <t>['33&amp;rsquor;|0:0|Jorge Valdano']</t>
  </si>
  <si>
    <t>['27&amp;rsquor;|0:0|Daniel Veyt']</t>
  </si>
  <si>
    <t>['85&amp;rsquor;|2:0|Ricardo Bochini|for Jorge Burruchaga']</t>
  </si>
  <si>
    <t>['54&amp;rsquor;|1:0|Philippe Desmet|for Michel Renquin']</t>
  </si>
  <si>
    <t>Ali Bennaceur (Referee) · Berny Ulloa Morera (AR1) · Bogdan Dotchev (AR2)</t>
  </si>
  <si>
    <t>Ali Bennaceur</t>
  </si>
  <si>
    <t>Diego Maradona · 51|Diego Maradona · 55</t>
  </si>
  <si>
    <t>Gary Lineker · 81</t>
  </si>
  <si>
    <t>['51&amp;rsquor;|1:0|Diego Maradona', '55&amp;rsquor;|2:0|Diego Maradona']</t>
  </si>
  <si>
    <t>['81&amp;rsquor;|2:1|Gary Lineker']</t>
  </si>
  <si>
    <t>['60&amp;rsquor;|2:0|Sergio Batista']</t>
  </si>
  <si>
    <t>['9&amp;rsquor;|0:0|Terry Fenwick']</t>
  </si>
  <si>
    <t>['75&amp;rsquor;|2:0|Carlos Daniel Tapia']</t>
  </si>
  <si>
    <t>['69&amp;rsquor;|2:0|Chris Waddle|for Peter Reid', '74&amp;rsquor;|2:0|John Barnes|for Trevor Steven']</t>
  </si>
  <si>
    <t>Miguel Munoz</t>
  </si>
  <si>
    <t>Siegfried Kirschen (Referee) · Edgardo Codesal Mendez (AR1) · Horst Brummeier (AR2)</t>
  </si>
  <si>
    <t>(4) 1–1 (5)</t>
  </si>
  <si>
    <t>Belgium won on penalty kicks following extra time</t>
  </si>
  <si>
    <t>Juan Antonio Señor · 85</t>
  </si>
  <si>
    <t>Jan Ceulemans · 35</t>
  </si>
  <si>
    <t>['85&amp;rsquor;|1:1|Juan Antonio Señor']</t>
  </si>
  <si>
    <t>['35&amp;rsquor;|0:1|Jan Ceulemans']</t>
  </si>
  <si>
    <t>['1|1:0|Juan Antonio Señor', '5|2:2|Chendo', '7|3:3|Emilio Butragueño', '9|4:4|Víctor Muñoz']</t>
  </si>
  <si>
    <t>['2|1:1|Nico Claesen', '4|1:2|Enzo Scifo', '6|2:3|Hugo Broos', '8|3:4|Patrick Vervoort', '10|4:5|Leo Van der Elst']</t>
  </si>
  <si>
    <t>['3|1:1|Eloy Olaya']</t>
  </si>
  <si>
    <t>['39&amp;rsquor;|0:1|Tomás Reñones', '44&amp;rsquor;|0:1|Ramón Calderé']</t>
  </si>
  <si>
    <t>['24&amp;rsquor;|0:0|Stéphane Demol', '115&amp;rsquor;|1:1|Georges Grün']</t>
  </si>
  <si>
    <t>['46&amp;rsquor;|0:1|Juan Antonio Señor|for Tomás Reñones', '63&amp;rsquor;|0:1|Eloy Olaya|for Julio Salinas']</t>
  </si>
  <si>
    <t>['82&amp;rsquor;|0:1|Hugo Broos', '105&amp;rsquor;|1:1|Leo Van der Elst|for Franky Vercauteren']</t>
  </si>
  <si>
    <t>Tele Santana</t>
  </si>
  <si>
    <t>Edinho</t>
  </si>
  <si>
    <t>Ioan Igna (Referee) · Lajos Nemeth (AR1) · Vojtech Christov (AR2)</t>
  </si>
  <si>
    <t>Ioan Igna</t>
  </si>
  <si>
    <t>Careca · 17</t>
  </si>
  <si>
    <t>Michel Platini · 41</t>
  </si>
  <si>
    <t>['17&amp;rsquor;|1:0|Careca']</t>
  </si>
  <si>
    <t>['41&amp;rsquor;|1:1|Michel Platini']</t>
  </si>
  <si>
    <t>['3|1:1|Alemão', '5|2:2|Zico', '7|3:3|Branco']</t>
  </si>
  <si>
    <t>['2|0:1|Yannick Stopyra', '4|1:2|Manuel Amoros', '6|2:3|Bruno Bellone', '10|3:4|Luis Fernández']</t>
  </si>
  <si>
    <t>['1|0:0|Sócrates', '9|3:3|Júlio César']</t>
  </si>
  <si>
    <t>['8|3:3|Michel Platini']</t>
  </si>
  <si>
    <t>['71&amp;rsquor;|1:1|Zico|for Müller', '91&amp;rsquor;|1:1|Silas Pereira|for Leovegildo Lins da Gama Júnior']</t>
  </si>
  <si>
    <t>['84&amp;rsquor;|1:1|Jean-Marc Ferreri|for Alain Giresse', '99&amp;rsquor;|1:1|Bruno Bellone']</t>
  </si>
  <si>
    <t>Tomás Boy</t>
  </si>
  <si>
    <t>Estadio Universitario, Monterrey</t>
  </si>
  <si>
    <t>Jesus Diaz Palacio (Referee) · Christopher Bambridge (AR1) · Alan Snoddy (AR2)</t>
  </si>
  <si>
    <t>(4) 0–0 (1)</t>
  </si>
  <si>
    <t>Jesus Diaz Palacio</t>
  </si>
  <si>
    <t>['1|1:0|Klaus Allofs', '3|2:1|Andreas Brehme', '5|3:1|Lothar Matthäus', '7|4:1|Pierre Littbarski']</t>
  </si>
  <si>
    <t>['2|1:1|Manuel Negrete Arias']</t>
  </si>
  <si>
    <t>['4|2:1|Fernando Quirarte', '6|3:1|Raúl Servín']</t>
  </si>
  <si>
    <t>Thomas Berthold · 65</t>
  </si>
  <si>
    <t>Javier Aguirre · 100</t>
  </si>
  <si>
    <t>['27&amp;rsquor;|0:0|Klaus Allofs', '56&amp;rsquor;|0:0|Karlheinz Förster', '86&amp;rsquor;|0:0|Lothar Matthäus']</t>
  </si>
  <si>
    <t>['20&amp;rsquor;|0:0|Javier Aguirre', '27&amp;rsquor;|0:0|Fernando Quirarte', '75&amp;rsquor;|0:0|Carlos de los Cobos', '83&amp;rsquor;|0:0|Raúl Servín', '94&amp;rsquor;|0:0|Hugo Sánchez']</t>
  </si>
  <si>
    <t>['58&amp;rsquor;|0:0|Dieter Hoeneß|for Karl-Heinz Rummenigge', '115&amp;rsquor;|0:0|Pierre Littbarski|for Norbert Eder']</t>
  </si>
  <si>
    <t>['32&amp;rsquor;|0:0|Carlos de los Cobos|for Tomás Boy', '70&amp;rsquor;|0:0|Francisco Javier Cruz|for Rafael Amador']</t>
  </si>
  <si>
    <t>Cayetano Re</t>
  </si>
  <si>
    <t>Rogelio Delgado</t>
  </si>
  <si>
    <t>Jamal Al Sharif (Referee) · Alexis Ponnet (AR1) · Fallaj Khuzam Al Shanar (AR2)</t>
  </si>
  <si>
    <t>Gary Lineker · 31|Peter Beardsley · 56|Gary Lineker · 72</t>
  </si>
  <si>
    <t>['31&amp;rsquor;|1:0|Gary Lineker', '56&amp;rsquor;|2:0|Peter Beardsley', '72&amp;rsquor;|3:0|Gary Lineker']</t>
  </si>
  <si>
    <t>['37&amp;rsquor;|1:0|Alvin Martin', '67&amp;rsquor;|2:0|Steve Hodge']</t>
  </si>
  <si>
    <t>['60&amp;rsquor;|2:0|Jorge Amado Nunes']</t>
  </si>
  <si>
    <t>['58&amp;rsquor;|2:0|Gary Stevens|for Peter Reid', '80&amp;rsquor;|3:0|Mark Hateley|for Peter Beardsley']</t>
  </si>
  <si>
    <t>['64&amp;rsquor;|2:0|Jorge Guasch|for Juan Torales']</t>
  </si>
  <si>
    <t>Sepp Piontek</t>
  </si>
  <si>
    <t>Estadio Corregidora, Queretaro</t>
  </si>
  <si>
    <t>Jan Keizer (Referee) · Ali Bennaceur (AR1) · Bogdan Dotchev (AR2)</t>
  </si>
  <si>
    <t>Jan Keizer</t>
  </si>
  <si>
    <t>Emilio Butragueño · 43|Emilio Butragueño · 57|Emilio Butragueño · 80</t>
  </si>
  <si>
    <t>['43&amp;rsquor;|1:1|Emilio Butragueño', '57&amp;rsquor;|1:2|Emilio Butragueño', '80&amp;rsquor;|1:4|Emilio Butragueño']</t>
  </si>
  <si>
    <t>Jesper Olsen (P) · 33</t>
  </si>
  <si>
    <t>Andoni Goikoetxea (P) · 68|Emilio Butragueño (P) · 89</t>
  </si>
  <si>
    <t>['26&amp;rsquor;|0:0|Henrik Andersen']</t>
  </si>
  <si>
    <t>['27&amp;rsquor;|0:0|Andoni Goikoetxea', '32&amp;rsquor;|0:0|José Antonio Camacho', '60&amp;rsquor;|1:2|Míchel']</t>
  </si>
  <si>
    <t>['60&amp;rsquor;|1:2|John Eriksen', '71&amp;rsquor;|1:3|Jan Mølby|for Jesper Olsen']</t>
  </si>
  <si>
    <t>['46&amp;rsquor;|1:1|Eloy Olaya|for Julio Salinas', '83&amp;rsquor;|1:4|Francisco|for Míchel']</t>
  </si>
  <si>
    <t>Enzo Bearzot</t>
  </si>
  <si>
    <t>Gaetano Scirea</t>
  </si>
  <si>
    <t>Estadio Olï¿½mpico Universitario, Mexico City</t>
  </si>
  <si>
    <t>Carlos Esposito (Referee) · Jose Luis Martinez Bazan (AR1) · Jesus Diaz Palacio (AR2)</t>
  </si>
  <si>
    <t>Carlos Esposito</t>
  </si>
  <si>
    <t>Michel Platini · 15|Yannick Stopyra · 57</t>
  </si>
  <si>
    <t>['15&amp;rsquor;|0:1|Michel Platini', '57&amp;rsquor;|0:2|Yannick Stopyra']</t>
  </si>
  <si>
    <t>['16&amp;rsquor;|0:1|Fernando De Napoli', '67&amp;rsquor;|0:2|Antonio Di Gennaro']</t>
  </si>
  <si>
    <t>['40&amp;rsquor;|0:1|William Ayache']</t>
  </si>
  <si>
    <t>['46&amp;rsquor;|0:1|Antonio Di Gennaro|for Giuseppe Baresi', '58&amp;rsquor;|0:2|Gianluca Vialli|for Giuseppe Galderisi']</t>
  </si>
  <si>
    <t>['73&amp;rsquor;|0:2|Thierry Tusseau|for Luis Fernández', '85&amp;rsquor;|0:2|Jean-Marc Ferreri|for Michel Platini']</t>
  </si>
  <si>
    <t>Jose Faria</t>
  </si>
  <si>
    <t>Ezzaki Badou</t>
  </si>
  <si>
    <t>Zoran Petrovic (Referee) · Lajos Nemeth (AR1) · Horst Brummeier (AR2)</t>
  </si>
  <si>
    <t>Lothar Matthäus · 88</t>
  </si>
  <si>
    <t>['88&amp;rsquor;|0:1|Lothar Matthäus']</t>
  </si>
  <si>
    <t>['29&amp;rsquor;|0:0|Abdelmajid Lamriss', '65&amp;rsquor;|0:0|Labid Khalifa']</t>
  </si>
  <si>
    <t>['73&amp;rsquor;|0:0|Pierre Littbarski|for Rudi Völler']</t>
  </si>
  <si>
    <t>Antoni Piechniczek</t>
  </si>
  <si>
    <t>Zbigniew Boniek</t>
  </si>
  <si>
    <t>Volker Roth (Referee) · Antonio Marquez Ramirez (AR1) · Alan Snoddy (AR2)</t>
  </si>
  <si>
    <t>Volker Roth</t>
  </si>
  <si>
    <t>Josimar · 55|Edinho · 79</t>
  </si>
  <si>
    <t>['55&amp;rsquor;|2:0|Josimar', '79&amp;rsquor;|3:0|Edinho']</t>
  </si>
  <si>
    <t>Sócrates (P) · 30|Careca (P) · 83</t>
  </si>
  <si>
    <t>['36&amp;rsquor;|1:0|Careca', '83&amp;rsquor;|4:0|Edinho']</t>
  </si>
  <si>
    <t>['13&amp;rsquor;|0:0|Dariusz Dziekanowski', '30&amp;rsquor;|1:0|Zbigniew Boniek', '32&amp;rsquor;|1:0|Włodzimierz Smolarek']</t>
  </si>
  <si>
    <t>['69&amp;rsquor;|2:0|Zico', '73&amp;rsquor;|2:0|Silas Pereira|for Müller']</t>
  </si>
  <si>
    <t>['59&amp;rsquor;|2:0|Jan Furtok|for Kazimierz Przybyś', '83&amp;rsquor;|4:0|Władysław Żmuda|for Jan Urban']</t>
  </si>
  <si>
    <t>Omar Borras</t>
  </si>
  <si>
    <t>Jorge Barrios</t>
  </si>
  <si>
    <t>Luigi Agnolin (Referee) · George Courtney (AR1) · Carlos Alberto Silva Valente (AR2)</t>
  </si>
  <si>
    <t>Pedro Pasculli · 42</t>
  </si>
  <si>
    <t>['42&amp;rsquor;|1:0|Pedro Pasculli']</t>
  </si>
  <si>
    <t>['30&amp;rsquor;|0:0|Oscar Garré', '49&amp;rsquor;|1:0|José Luis Brown', '83&amp;rsquor;|1:0|Nery Pumpido']</t>
  </si>
  <si>
    <t>['35&amp;rsquor;|0:0|Enzo Francescoli', '58&amp;rsquor;|1:0|Eduardo Acevedo', '68&amp;rsquor;|1:0|Sergio Santín', '85&amp;rsquor;|1:0|Jorge Orosmán da Silva']</t>
  </si>
  <si>
    <t>['85&amp;rsquor;|1:0|Julio Olarticoechea|for Sergio Batista']</t>
  </si>
  <si>
    <t>['46&amp;rsquor;|1:0|Jorge Orosmán da Silva|for Wilmar Cabrera', '61&amp;rsquor;|1:0|Rubén Paz|for Eduardo Acevedo']</t>
  </si>
  <si>
    <t>Ivan Vutsov</t>
  </si>
  <si>
    <t>Georgi Dimitrov</t>
  </si>
  <si>
    <t>Romualdo Arppi Filho (Referee) · Romulo Mendez Molina (AR1) · Ioan Igna (AR2)</t>
  </si>
  <si>
    <t>Manuel Negrete Arias · 34|Raúl Servín · 61</t>
  </si>
  <si>
    <t>['34&amp;rsquor;|1:0|Manuel Negrete Arias', '61&amp;rsquor;|2:0|Raúl Servín']</t>
  </si>
  <si>
    <t>['58&amp;rsquor;|1:0|Nikolay Arabov']</t>
  </si>
  <si>
    <t>['79&amp;rsquor;|2:0|Carlos de los Cobos|for Tomás Boy']</t>
  </si>
  <si>
    <t>['59&amp;rsquor;|1:0|Nasko Sirakov|for Plamen Getov', '70&amp;rsquor;|2:0|Bozhidar Iskrenov|for Atanas Pashev']</t>
  </si>
  <si>
    <t>Nou Camp - Estadio Leï¿½n, Leon</t>
  </si>
  <si>
    <t>Erik Fredriksson (Referee) · Victoriano Sanchez Arminio (AR1) · David Socha (AR2)</t>
  </si>
  <si>
    <t>3–4</t>
  </si>
  <si>
    <t>Igor Belanov · 27|Igor Belanov · 70</t>
  </si>
  <si>
    <t>Enzo Scifo · 56|Jan Ceulemans · 77|Stéphane Demol · 102|Nico Claesen · 110</t>
  </si>
  <si>
    <t>['27&amp;rsquor;|1:0|Igor Belanov', '70&amp;rsquor;|2:1|Igor Belanov']</t>
  </si>
  <si>
    <t>['56&amp;rsquor;|1:1|Enzo Scifo', '77&amp;rsquor;|2:2|Jan Ceulemans', '102&amp;rsquor;|2:3|Stéphane Demol', '110&amp;rsquor;|2:4|Nico Claesen']</t>
  </si>
  <si>
    <t>Igor Belanov (P) · 111</t>
  </si>
  <si>
    <t>['65&amp;rsquor;|1:1|Michel Renquin']</t>
  </si>
  <si>
    <t>['72&amp;rsquor;|2:1|Sergey Rodionov|for Oleksandr Zavarov', '79&amp;rsquor;|2:2|Vadym Yevtushenko|for Pavlo Yakovenko']</t>
  </si>
  <si>
    <t>['99&amp;rsquor;|2:2|Lei Clijsters|for Georges Grün', '112&amp;rsquor;|3:4|Leo Van der Elst|for Eric Gerets']</t>
  </si>
  <si>
    <t>Alex Ferguson</t>
  </si>
  <si>
    <t>Willie Miller</t>
  </si>
  <si>
    <t>Neza, Nezahualcoyotl</t>
  </si>
  <si>
    <t>Joel Quiniou (Referee) · Jesus Diaz Palacio (AR1) · Ali Bennaceur (AR2)</t>
  </si>
  <si>
    <t>José Batista · 1</t>
  </si>
  <si>
    <t>['48&amp;rsquor;|0:0|David Narey', '62&amp;rsquor;|0:0|Steve Nicol']</t>
  </si>
  <si>
    <t>['32&amp;rsquor;|0:0|Wilmar Cabrera', '72&amp;rsquor;|0:0|Víctor Diogo', '87&amp;rsquor;|0:0|Fernando Álvez']</t>
  </si>
  <si>
    <t>['70&amp;rsquor;|0:0|Charlie Nicholas', '70&amp;rsquor;|0:0|Davie Cooper|for Steve Nicol']</t>
  </si>
  <si>
    <t>['70&amp;rsquor;|0:0|Mario Saralegui|for Venancio Ramos', '84&amp;rsquor;|0:0|Antonio Alzamendi|for Enzo Francescoli']</t>
  </si>
  <si>
    <t>Harald Schumacher</t>
  </si>
  <si>
    <t>Alexis Ponnet (Referee) · Christopher Bambridge (AR1) · Erik Fredriksson (AR2)</t>
  </si>
  <si>
    <t>Alexis Ponnet</t>
  </si>
  <si>
    <t>John Eriksen · 62</t>
  </si>
  <si>
    <t>['62&amp;rsquor;|2:0|John Eriksen']</t>
  </si>
  <si>
    <t>Jesper Olsen (P) · 43</t>
  </si>
  <si>
    <t>Frank Arnesen · 88</t>
  </si>
  <si>
    <t>['36&amp;rsquor;|0:0|Frank Arnesen']</t>
  </si>
  <si>
    <t>['48&amp;rsquor;|1:0|Norbert Eder', '51&amp;rsquor;|1:0|Ditmar Jakobs']</t>
  </si>
  <si>
    <t>['46&amp;rsquor;|1:0|John Eriksen|for Preben Elkjær', '71&amp;rsquor;|2:0|Allan Simonsen|for Jesper Olsen']</t>
  </si>
  <si>
    <t>['46&amp;rsquor;|1:0|Pierre Littbarski|for Wolfgang Rolff', '71&amp;rsquor;|2:0|Karl-Heinz Rummenigge|for Karlheinz Förster']</t>
  </si>
  <si>
    <t>Rabah Saadane</t>
  </si>
  <si>
    <t>Mahmoud Guendouz</t>
  </si>
  <si>
    <t>Tecnologico, Monterrey</t>
  </si>
  <si>
    <t>Shizuo Takada (Referee) · Edwin Picon-Ackong (AR1) · Carlos Esposito (AR2)</t>
  </si>
  <si>
    <t>Ramón Calderé · 15|Ramón Calderé · 68|Eloy Olaya · 70</t>
  </si>
  <si>
    <t>['15&amp;rsquor;|0:1|Ramón Calderé', '68&amp;rsquor;|0:2|Ramón Calderé', '70&amp;rsquor;|0:3|Eloy Olaya']</t>
  </si>
  <si>
    <t>['33&amp;rsquor;|0:1|Rabah Madjer']</t>
  </si>
  <si>
    <t>['89&amp;rsquor;|0:3|Andoni Goikoetxea']</t>
  </si>
  <si>
    <t>['20&amp;rsquor;|0:1|Larbi El Hadi|for Nacerdine Drid', '58&amp;rsquor;|0:1|Djamel Menad|for Djamel Zidane']</t>
  </si>
  <si>
    <t>['46&amp;rsquor;|0:1|Eloy Olaya|for Emilio Butragueño', '63&amp;rsquor;|0:1|Juan Antonio Señor']</t>
  </si>
  <si>
    <t>Billy Bingham</t>
  </si>
  <si>
    <t>Sammy McIlroy</t>
  </si>
  <si>
    <t>Siegfried Kirschen (Referee) · Idrissa Traore (AR1) · George Courtney (AR2)</t>
  </si>
  <si>
    <t>Careca · 15|Josimar · 42|Careca · 87</t>
  </si>
  <si>
    <t>['15&amp;rsquor;|0:1|Careca', '42&amp;rsquor;|0:2|Josimar', '87&amp;rsquor;|0:3|Careca']</t>
  </si>
  <si>
    <t>['12&amp;rsquor;|0:0|Mal Donaghy']</t>
  </si>
  <si>
    <t>['67&amp;rsquor;|0:2|Billy Hamilton|for Norman Whiteside', '71&amp;rsquor;|0:2|Gerry Armstrong|for David Campbell']</t>
  </si>
  <si>
    <t>['27&amp;rsquor;|0:1|Walter Casagrande|for Müller', '68&amp;rsquor;|0:2|Zico|for Sócrates']</t>
  </si>
  <si>
    <t>Bombonera - Estadio Nemesio Diez, Toluca</t>
  </si>
  <si>
    <t>Bogdan Dotchev (Referee) · Ali Bennaceur (AR1) · Hernan Silva Arce (AR2)</t>
  </si>
  <si>
    <t>Bogdan Dotchev</t>
  </si>
  <si>
    <t>Roberto Cabañas · 50|Roberto Cabañas · 76</t>
  </si>
  <si>
    <t>Franky Vercauteren · 30|Daniel Veyt · 59</t>
  </si>
  <si>
    <t>['50&amp;rsquor;|1:1|Roberto Cabañas', '76&amp;rsquor;|2:2|Roberto Cabañas']</t>
  </si>
  <si>
    <t>['30&amp;rsquor;|0:1|Franky Vercauteren', '59&amp;rsquor;|1:2|Daniel Veyt']</t>
  </si>
  <si>
    <t>['55&amp;rsquor;|1:1|Julio César Romero']</t>
  </si>
  <si>
    <t>['55&amp;rsquor;|1:1|Jan Ceulemans']</t>
  </si>
  <si>
    <t>['68&amp;rsquor;|1:2|Ramón Hicks|for Alfredo Mendoza']</t>
  </si>
  <si>
    <t>['89&amp;rsquor;|2:2|Franky Van der Elst']</t>
  </si>
  <si>
    <t>Evaristo</t>
  </si>
  <si>
    <t>Khalil Allawi</t>
  </si>
  <si>
    <t>Zoran Petrovic (Referee) · Lajos Nemeth (AR1) · Luigi Agnolin (AR2)</t>
  </si>
  <si>
    <t>Fernando Quirarte · 54</t>
  </si>
  <si>
    <t>['54&amp;rsquor;|0:1|Fernando Quirarte']</t>
  </si>
  <si>
    <t>['30&amp;rsquor;|0:0|Karim Saddam', '73&amp;rsquor;|0:1|Khalil Allawi']</t>
  </si>
  <si>
    <t>['60&amp;rsquor;|0:1|Rahim Hameed|for Natik Hashim', '70&amp;rsquor;|0:1|Shaker Mahmoud|for Anad Abid']</t>
  </si>
  <si>
    <t>['62&amp;rsquor;|0:1|Alejandro Domínguez|for Rafael Amador', '79&amp;rsquor;|0:1|Francisco Javier Cruz|for Carlos de los Cobos']</t>
  </si>
  <si>
    <t>Andre Daina (Referee) · Horst Brummeier (AR1) · Vojtech Christov (AR2)</t>
  </si>
  <si>
    <t>Andre Daina</t>
  </si>
  <si>
    <t>Gary Lineker · 9|Gary Lineker · 14|Gary Lineker · 34</t>
  </si>
  <si>
    <t>['9&amp;rsquor;|1:0|Gary Lineker', '14&amp;rsquor;|2:0|Gary Lineker', '34&amp;rsquor;|3:0|Gary Lineker']</t>
  </si>
  <si>
    <t>['52&amp;rsquor;|3:0|Terry Fenwick']</t>
  </si>
  <si>
    <t>['75&amp;rsquor;|3:0|Chris Waddle', '86&amp;rsquor;|3:0|Kerry Dixon|for Gary Lineker']</t>
  </si>
  <si>
    <t>['22&amp;rsquor;|2:0|Jan Karaś|for Ryszard Komornicki', '46&amp;rsquor;|3:0|Andrzej Buncol|for Waldemar Matysik']</t>
  </si>
  <si>
    <t>Jose Torres</t>
  </si>
  <si>
    <t>Fernando Gomes</t>
  </si>
  <si>
    <t>Tres de Marzo, Guadalajara</t>
  </si>
  <si>
    <t>Alan Snoddy (Referee) · Valeri Butenko (AR1) · Volker Roth (AR2)</t>
  </si>
  <si>
    <t>Diamantino Miranda · 79</t>
  </si>
  <si>
    <t>Abderrazak Khairi · 19|Abderrazak Khairi · 27|Abdelkrim Merry · 62</t>
  </si>
  <si>
    <t>['79&amp;rsquor;|1:3|Diamantino Miranda']</t>
  </si>
  <si>
    <t>['19&amp;rsquor;|0:1|Abderrazak Khairi', '27&amp;rsquor;|0:2|Abderrazak Khairi', '62&amp;rsquor;|0:3|Abdelkrim Merry']</t>
  </si>
  <si>
    <t>['64&amp;rsquor;|0:3|Fernando Gomes']</t>
  </si>
  <si>
    <t>['55&amp;rsquor;|0:2|Rui Águas|for Álvaro Magalhães', '69&amp;rsquor;|0:3|Diamantino Miranda|for António Sousa']</t>
  </si>
  <si>
    <t>['71&amp;rsquor;|0:3|Abdelaziz Souleimani']</t>
  </si>
  <si>
    <t>Berny Ulloa Morera (Referee) · Romualdo Arppi Filho (AR1) · Jose Luis Martinez Bazan (AR2)</t>
  </si>
  <si>
    <t>Berny Ulloa Morera</t>
  </si>
  <si>
    <t>Jorge Valdano · 3|Jorge Burruchaga · 76</t>
  </si>
  <si>
    <t>['3&amp;rsquor;|1:0|Jorge Valdano', '76&amp;rsquor;|2:0|Jorge Burruchaga']</t>
  </si>
  <si>
    <t>['25&amp;rsquor;|1:0|José Luis Cuciuffo']</t>
  </si>
  <si>
    <t>['46&amp;rsquor;|1:0|Héctor Enrique|for Claudio Borghi', '46&amp;rsquor;|1:0|Julio Olarticoechea|for Sergio Batista']</t>
  </si>
  <si>
    <t>['52&amp;rsquor;|1:0|Boycho Velichkov|for Stoycho Mladenov', '71&amp;rsquor;|1:0|Radoslav Zdravkov']</t>
  </si>
  <si>
    <t>Jung Nam Kim</t>
  </si>
  <si>
    <t>Park Chang-sun</t>
  </si>
  <si>
    <t>David Socha (Referee) · Joaquin Urrea (AR1) · Jamal Al Sharif (AR2)</t>
  </si>
  <si>
    <t>David Socha</t>
  </si>
  <si>
    <t>Choi Soon-ho · 62|Huh Jung-moo · 83</t>
  </si>
  <si>
    <t>Alessandro Altobelli · 17|Alessandro Altobelli · 73</t>
  </si>
  <si>
    <t>['62&amp;rsquor;|1:1|Choi Soon-ho', '83&amp;rsquor;|2:3|Huh Jung-moo']</t>
  </si>
  <si>
    <t>['17&amp;rsquor;|0:1|Alessandro Altobelli', '73&amp;rsquor;|1:2|Alessandro Altobelli']</t>
  </si>
  <si>
    <t>Cho Kwang-rae (OG) · 82</t>
  </si>
  <si>
    <t>['17&amp;rsquor;|0:0|Kim Joo-sung', '35&amp;rsquor;|0:1|Park Kyung-hoon', '71&amp;rsquor;|1:1|Cho Young-jeung']</t>
  </si>
  <si>
    <t>['31&amp;rsquor;|0:1|Salvatore Bagni', '65&amp;rsquor;|1:1|Gaetano Scirea', '70&amp;rsquor;|1:1|Pietro Vierchowod']</t>
  </si>
  <si>
    <t>['46&amp;rsquor;|0:1|Chung Jong-soo|for Kim Joo-sung', '70&amp;rsquor;|1:1|Kim Jong-boo|for Byun Byung-joo']</t>
  </si>
  <si>
    <t>['67&amp;rsquor;|1:1|Giuseppe Baresi', '88&amp;rsquor;|2:3|Gianluca Vialli|for Giuseppe Galderisi']</t>
  </si>
  <si>
    <t>Tony Waiters</t>
  </si>
  <si>
    <t>Bruce Wilson</t>
  </si>
  <si>
    <t>Estadio Irapuato, Irapuato</t>
  </si>
  <si>
    <t>Idrissa Traore (Referee) · Fallaj Khuzam Al Shanar (AR1) · Gabriel Gonzalez Roa (AR2)</t>
  </si>
  <si>
    <t>Idrissa Traore</t>
  </si>
  <si>
    <t>Oleh Blokhin · 58|Oleksandr Zavarov · 74</t>
  </si>
  <si>
    <t>['58&amp;rsquor;|1:0|Oleh Blokhin', '74&amp;rsquor;|2:0|Oleksandr Zavarov']</t>
  </si>
  <si>
    <t>['57&amp;rsquor;|0:0|Igor Belanov|for Oleh Protasov', '62&amp;rsquor;|1:0|Oleksandr Zavarov|for Oleh Blokhin']</t>
  </si>
  <si>
    <t>['64&amp;rsquor;|1:0|Branko Šegota|for Paul James', '69&amp;rsquor;|1:0|George Pakos|for Gerry Gray']</t>
  </si>
  <si>
    <t>Gyorgy Mezey</t>
  </si>
  <si>
    <t>Imre Garaba</t>
  </si>
  <si>
    <t>Carlos Alberto Silva Valente (Referee) · Alexis Ponnet (AR1) · Andre Daina (AR2)</t>
  </si>
  <si>
    <t>Yannick Stopyra · 29|Jean Tigana · 62|Dominique Rocheteau · 84</t>
  </si>
  <si>
    <t>['29&amp;rsquor;|0:1|Yannick Stopyra', '62&amp;rsquor;|0:2|Jean Tigana', '84&amp;rsquor;|0:3|Dominique Rocheteau']</t>
  </si>
  <si>
    <t>['41&amp;rsquor;|0:1|William Ayache', '69&amp;rsquor;|0:2|Dominique Rocheteau']</t>
  </si>
  <si>
    <t>['46&amp;rsquor;|0:1|Antal Nagy|for Péter Hannich', '65&amp;rsquor;|0:2|György Bognár|for Kálmán Kovács']</t>
  </si>
  <si>
    <t>['61&amp;rsquor;|0:1|Dominique Rocheteau|for Jean-Pierre Papin', '71&amp;rsquor;|0:2|Jean-Marc Ferreri|for Yannick Stopyra']</t>
  </si>
  <si>
    <t>Graeme Souness</t>
  </si>
  <si>
    <t>Ioan Igna (Referee) · Bogdan Dotchev (AR1) · Alan Snoddy (AR2)</t>
  </si>
  <si>
    <t>Rudi Völler · 22|Klaus Allofs · 50</t>
  </si>
  <si>
    <t>Gordon Strachan · 18</t>
  </si>
  <si>
    <t>['22&amp;rsquor;|1:1|Rudi Völler', '50&amp;rsquor;|2:1|Klaus Allofs']</t>
  </si>
  <si>
    <t>['18&amp;rsquor;|0:1|Gordon Strachan']</t>
  </si>
  <si>
    <t>['30&amp;rsquor;|1:1|Steve Archibald', '44&amp;rsquor;|1:1|Eamonn Bannon', '74&amp;rsquor;|2:1|Maurice Malpas']</t>
  </si>
  <si>
    <t>['63&amp;rsquor;|2:1|Ditmar Jakobs|for Hans-Peter Briegel', '76&amp;rsquor;|2:1|Karl-Heinz Rummenigge|for Pierre Littbarski']</t>
  </si>
  <si>
    <t>['60&amp;rsquor;|2:1|Frank McAvennie|for Steve Nicol', '74&amp;rsquor;|2:1|Davie Cooper|for Eamonn Bannon']</t>
  </si>
  <si>
    <t>Raad Hammoudi</t>
  </si>
  <si>
    <t>Jesus Diaz Palacio (Referee) · Vojtech Christov (AR1) · Victoriano Sanchez Arminio (AR2)</t>
  </si>
  <si>
    <t>Ahmed Radhi · 59</t>
  </si>
  <si>
    <t>Enzo Scifo · 16</t>
  </si>
  <si>
    <t>['59&amp;rsquor;|1:2|Ahmed Radhi']</t>
  </si>
  <si>
    <t>['16&amp;rsquor;|0:1|Enzo Scifo']</t>
  </si>
  <si>
    <t>Nico Claesen (P) · 21</t>
  </si>
  <si>
    <t>Basil Gorgis · 52</t>
  </si>
  <si>
    <t>['1&amp;rsquor;|0:0|Basil Gorgis', '20&amp;rsquor;|0:1|Raad Hammoudi', '29&amp;rsquor;|0:2|Nadhum Shaker', '42&amp;rsquor;|0:2|Haris Mohammed', '48&amp;rsquor;|0:2|Samir Shaker', '65&amp;rsquor;|1:2|Natik Hashim']</t>
  </si>
  <si>
    <t>['16&amp;rsquor;|0:1|Nico Claesen']</t>
  </si>
  <si>
    <t>['81&amp;rsquor;|1:2|Rahim Hameed|for Karim Saddam']</t>
  </si>
  <si>
    <t>['67&amp;rsquor;|1:2|Lei Clijsters|for Enzo Scifo', '69&amp;rsquor;|1:2|Georges Grün|for Stéphane Demol']</t>
  </si>
  <si>
    <t>Eduardo Acevedo</t>
  </si>
  <si>
    <t>Antonio Marquez Ramirez (Referee) · Jan Keizer (AR1) · Romualdo Arppi Filho (AR2)</t>
  </si>
  <si>
    <t>Preben Elkjær · 11|Søren Lerby · 41|Michael Laudrup · 52|Preben Elkjær · 67|Preben Elkjær · 80|Jesper Olsen · 88</t>
  </si>
  <si>
    <t>['11&amp;rsquor;|1:0|Preben Elkjær', '41&amp;rsquor;|2:0|Søren Lerby', '52&amp;rsquor;|3:1|Michael Laudrup', '67&amp;rsquor;|4:1|Preben Elkjær', '80&amp;rsquor;|5:1|Preben Elkjær', '88&amp;rsquor;|6:1|Jesper Olsen']</t>
  </si>
  <si>
    <t>Enzo Francescoli (P) · 45</t>
  </si>
  <si>
    <t>Miguel Bossio · 19</t>
  </si>
  <si>
    <t>['7&amp;rsquor;|0:0|Ivan Nielsen']</t>
  </si>
  <si>
    <t>['13&amp;rsquor;|1:0|Miguel Bossio', '35&amp;rsquor;|1:0|Jorge Orosmán da Silva']</t>
  </si>
  <si>
    <t>['57&amp;rsquor;|3:1|Jan Mølby|for Jens Jørn Bertelsen', '81&amp;rsquor;|5:1|Jesper Olsen|for Michael Laudrup']</t>
  </si>
  <si>
    <t>['57&amp;rsquor;|3:1|José Zalazar|for Sergio Santín', '57&amp;rsquor;|3:1|Venancio Ramos|for Antonio Alzamendi']</t>
  </si>
  <si>
    <t>George Courtney (Referee) · Erik Fredriksson (AR1) · Ioan Igna (AR2)</t>
  </si>
  <si>
    <t>Luis Flores · 3</t>
  </si>
  <si>
    <t>Julio César Romero · 85</t>
  </si>
  <si>
    <t>['3&amp;rsquor;|1:0|Luis Flores']</t>
  </si>
  <si>
    <t>['85&amp;rsquor;|1:1|Julio César Romero']</t>
  </si>
  <si>
    <t>['26&amp;rsquor;|1:0|Manuel Negrete Arias', '75&amp;rsquor;|1:0|Hugo Sánchez', '80&amp;rsquor;|1:0|Mario Trejo']</t>
  </si>
  <si>
    <t>['5&amp;rsquor;|1:0|Alfredo Mendoza', '30&amp;rsquor;|1:0|Vladimiro Schettina']</t>
  </si>
  <si>
    <t>['58&amp;rsquor;|1:0|Miguel España|for Tomás Boy', '77&amp;rsquor;|1:0|Francisco Javier Cruz|for Luis Flores']</t>
  </si>
  <si>
    <t>['62&amp;rsquor;|1:0|Jorge Guasch|for Alfredo Mendoza', '80&amp;rsquor;|1:0|Ramón Hicks|for Juan Torales']</t>
  </si>
  <si>
    <t>Horst Brummeier (Referee) · Luigi Agnolin (AR1) · Lajos Nemeth (AR2)</t>
  </si>
  <si>
    <t>Horst Brummeier</t>
  </si>
  <si>
    <t>Colin Clarke · 47</t>
  </si>
  <si>
    <t>Emilio Butragueño · 2|Julio Salinas · 18</t>
  </si>
  <si>
    <t>['47&amp;rsquor;|1:2|Colin Clarke']</t>
  </si>
  <si>
    <t>['2&amp;rsquor;|0:1|Emilio Butragueño', '18&amp;rsquor;|0:2|Julio Salinas']</t>
  </si>
  <si>
    <t>['85&amp;rsquor;|1:2|Billy Hamilton']</t>
  </si>
  <si>
    <t>['50&amp;rsquor;|1:2|Víctor Muñoz']</t>
  </si>
  <si>
    <t>['54&amp;rsquor;|1:2|Ian Stewart|for Steve Penney', '70&amp;rsquor;|1:2|Billy Hamilton']</t>
  </si>
  <si>
    <t>['54&amp;rsquor;|1:2|Ramón Calderé|for Rafael Gordillo', '78&amp;rsquor;|1:2|Juan Antonio Señor|for Julio Salinas']</t>
  </si>
  <si>
    <t>Ali Bennaceur (Referee) · Edwin Picon-Ackong (AR1) · Shizuo Takada (AR2)</t>
  </si>
  <si>
    <t>Włodzimierz Smolarek · 68</t>
  </si>
  <si>
    <t>['68&amp;rsquor;|1:0|Włodzimierz Smolarek']</t>
  </si>
  <si>
    <t>['46&amp;rsquor;|0:0|Roman Wójcicki', '89&amp;rsquor;|1:0|Dariusz Dziekanowski']</t>
  </si>
  <si>
    <t>['57&amp;rsquor;|0:0|Jan Karaś|for Ryszard Komornicki', '74&amp;rsquor;|1:0|Andrzej Zgutczyński']</t>
  </si>
  <si>
    <t>['46&amp;rsquor;|0:0|Paulo Futre|for Fernando Gomes', '72&amp;rsquor;|1:0|Jaime Magalhães|for António André']</t>
  </si>
  <si>
    <t>Romulo Mendez Molina (Referee) · Jose Luis Martinez Bazan (AR1) · Joel Quiniou (AR2)</t>
  </si>
  <si>
    <t>Romulo Mendez Molina</t>
  </si>
  <si>
    <t>Careca · 66</t>
  </si>
  <si>
    <t>['66&amp;rsquor;|1:0|Careca']</t>
  </si>
  <si>
    <t>['10&amp;rsquor;|0:0|Paulo Roberto Falcão|for Édson Boaro', '59&amp;rsquor;|0:0|Müller|for Walter Casagrande']</t>
  </si>
  <si>
    <t>['68&amp;rsquor;|1:0|Tedj Bensaoula|for Salah Assad', '80&amp;rsquor;|1:0|Djamel Zidane|for Lakhdar Belloumi']</t>
  </si>
  <si>
    <t>Antal Nagy</t>
  </si>
  <si>
    <t>Jamal Al Sharif (Referee) · Zoran Petrovic (AR1) · Christopher Bambridge (AR2)</t>
  </si>
  <si>
    <t>Márton Esterházy · 2|Lajos Détári · 75</t>
  </si>
  <si>
    <t>['2&amp;rsquor;|1:0|Márton Esterházy', '75&amp;rsquor;|2:0|Lajos Détári']</t>
  </si>
  <si>
    <t>Mike Sweeney · 85</t>
  </si>
  <si>
    <t>['52&amp;rsquor;|1:0|Mike Sweeney', '83&amp;rsquor;|2:0|Bob Lenarduzzi']</t>
  </si>
  <si>
    <t>['28&amp;rsquor;|1:0|Antal Róth|for Győző Burcsa', '62&amp;rsquor;|1:0|László Dajka']</t>
  </si>
  <si>
    <t>['41&amp;rsquor;|1:0|Mike Sweeney|for Bruce Wilson', '53&amp;rsquor;|1:0|Branko Šegota|for Paul James']</t>
  </si>
  <si>
    <t>Gabriel Gonzalez Roa (Referee) · Carlos Esposito (AR1) · Siegfried Kirschen (AR2)</t>
  </si>
  <si>
    <t>Gabriel Gonzalez Roa</t>
  </si>
  <si>
    <t>Ray Wilkins · 42</t>
  </si>
  <si>
    <t>['40&amp;rsquor;|0:0|Ray Wilkins', '68&amp;rsquor;|0:0|Mark Hateley']</t>
  </si>
  <si>
    <t>['50&amp;rsquor;|0:0|Labid Khalifa', '76&amp;rsquor;|0:0|Abderrazak Khairi']</t>
  </si>
  <si>
    <t>['41&amp;rsquor;|0:0|Steve Hodge|for Bryan Robson', '76&amp;rsquor;|0:0|Gary Stevens']</t>
  </si>
  <si>
    <t>['73&amp;rsquor;|0:0|Lahcen Ouadani|for Abdelmajid Lamriss', '87&amp;rsquor;|0:0|Abdelaziz Souleimani|for Mustafa Merry']</t>
  </si>
  <si>
    <t>Jan Keizer (Referee) · Antonio Marquez Ramirez (AR1) · Alan Snoddy (AR2)</t>
  </si>
  <si>
    <t>Diego Maradona · 34</t>
  </si>
  <si>
    <t>['34&amp;rsquor;|1:1|Diego Maradona']</t>
  </si>
  <si>
    <t>Alessandro Altobelli (P) · 6</t>
  </si>
  <si>
    <t>['54&amp;rsquor;|1:1|Giuseppe Bergomi']</t>
  </si>
  <si>
    <t>['58&amp;rsquor;|1:1|Ricardo Giusti', '65&amp;rsquor;|1:1|Oscar Garré']</t>
  </si>
  <si>
    <t>['65&amp;rsquor;|1:1|Gianluca Vialli|for Bruno Conti', '87&amp;rsquor;|1:1|Giuseppe Baresi|for Fernando De Napoli']</t>
  </si>
  <si>
    <t>['59&amp;rsquor;|1:1|Julio Olarticoechea|for Sergio Batista', '74&amp;rsquor;|1:1|Héctor Enrique|for Claudio Borghi']</t>
  </si>
  <si>
    <t>Romualdo Arppi Filho (Referee) · Victoriano Sanchez Arminio (AR1) · Shizuo Takada (AR2)</t>
  </si>
  <si>
    <t>Luis Fernández · 62</t>
  </si>
  <si>
    <t>Vasyl Rats · 53</t>
  </si>
  <si>
    <t>['62&amp;rsquor;|1:1|Luis Fernández']</t>
  </si>
  <si>
    <t>['53&amp;rsquor;|0:1|Vasyl Rats']</t>
  </si>
  <si>
    <t>['40&amp;rsquor;|0:0|Luis Fernández', '43&amp;rsquor;|0:0|Manuel Amoros']</t>
  </si>
  <si>
    <t>['30&amp;rsquor;|0:0|Vasyl Rats', '33&amp;rsquor;|0:0|Igor Belanov']</t>
  </si>
  <si>
    <t>['76&amp;rsquor;|1:1|Bruno Bellone|for Jean-Pierre Papin', '83&amp;rsquor;|1:1|Philippe Vercruysse|for Alain Giresse']</t>
  </si>
  <si>
    <t>['58&amp;rsquor;|0:1|Oleh Blokhin|for Oleksandr Zavarov', '68&amp;rsquor;|1:1|Sergey Rodionov']</t>
  </si>
  <si>
    <t>Fallaj Khuzam Al Shanar (Referee) · Ioan Igna (AR1) · Valeri Butenko (AR2)</t>
  </si>
  <si>
    <t>Fallaj Khuzam Al Shanar</t>
  </si>
  <si>
    <t>Kim Jong-boo · 70</t>
  </si>
  <si>
    <t>Plamen Getov · 11</t>
  </si>
  <si>
    <t>['70&amp;rsquor;|1:1|Kim Jong-boo']</t>
  </si>
  <si>
    <t>['11&amp;rsquor;|0:1|Plamen Getov']</t>
  </si>
  <si>
    <t>['31&amp;rsquor;|0:1|Kim Joo-sung', '60&amp;rsquor;|0:1|Cho Young-jeung']</t>
  </si>
  <si>
    <t>['49&amp;rsquor;|0:1|Zhivko Gospodinov']</t>
  </si>
  <si>
    <t>['46&amp;rsquor;|0:1|Kim Jong-boo|for Noh Soo-jin', '72&amp;rsquor;|1:1|Cho Min-kook|for Cho Kwang-rae']</t>
  </si>
  <si>
    <t>['46&amp;rsquor;|0:1|Kostadin Kostadinov|for Bozhidar Iskrenov', '58&amp;rsquor;|0:1|Andrey Zhelyazkov|for Plamen Getov']</t>
  </si>
  <si>
    <t>Edwin Picon-Ackong (Referee) · Berny Ulloa Morera (AR1) · David Socha (AR2)</t>
  </si>
  <si>
    <t>Edwin Picon-Ackong</t>
  </si>
  <si>
    <t>Julio César Romero · 35</t>
  </si>
  <si>
    <t>['35&amp;rsquor;|1:0|Julio César Romero']</t>
  </si>
  <si>
    <t>['45&amp;rsquor;|1:0|Vladimiro Schettina']</t>
  </si>
  <si>
    <t>['29&amp;rsquor;|0:0|Samir Shaker']</t>
  </si>
  <si>
    <t>['88&amp;rsquor;|1:0|Jorge Guasch|for Alfredo Mendoza']</t>
  </si>
  <si>
    <t>['67&amp;rsquor;|1:0|Rahim Hameed|for Haris Mohammed', '81&amp;rsquor;|1:0|Basim Qasim|for Basil Gorgis']</t>
  </si>
  <si>
    <t>Vojtech Christov (Referee) · Hernan Silva Arce (AR1) · Carlos Alberto Silva Valente (AR2)</t>
  </si>
  <si>
    <t>Vojtech Christov</t>
  </si>
  <si>
    <t>Antonio Alzamendi · 4</t>
  </si>
  <si>
    <t>Klaus Allofs · 84</t>
  </si>
  <si>
    <t>['4&amp;rsquor;|1:0|Antonio Alzamendi']</t>
  </si>
  <si>
    <t>['84&amp;rsquor;|1:1|Klaus Allofs']</t>
  </si>
  <si>
    <t>['28&amp;rsquor;|1:0|Víctor Diogo', '62&amp;rsquor;|1:0|Mario Saralegui']</t>
  </si>
  <si>
    <t>['56&amp;rsquor;|1:0|Mario Saralegui|for Jorge Barrios', '80&amp;rsquor;|1:0|Venancio Ramos|for Antonio Alzamendi']</t>
  </si>
  <si>
    <t>['46&amp;rsquor;|1:0|Pierre Littbarski|for Andreas Brehme', '70&amp;rsquor;|1:0|Karl-Heinz Rummenigge|for Lothar Matthäus']</t>
  </si>
  <si>
    <t>Lajos Nemeth (Referee) · Siegfried Kirschen (AR1) · Fallaj Khuzam Al Shanar (AR2)</t>
  </si>
  <si>
    <t>Lajos Nemeth</t>
  </si>
  <si>
    <t>Preben Elkjær · 57</t>
  </si>
  <si>
    <t>['57&amp;rsquor;|0:1|Preben Elkjær']</t>
  </si>
  <si>
    <t>['84&amp;rsquor;|0:1|Klaus Berggreen']</t>
  </si>
  <si>
    <t>['61&amp;rsquor;|0:1|Frank McAvennie|for Paul Sturrock', '74&amp;rsquor;|0:1|Eamonn Bannon|for Gordon Strachan']</t>
  </si>
  <si>
    <t>['74&amp;rsquor;|0:1|John Sivebæk|for Frank Arnesen', '80&amp;rsquor;|0:1|Jan Mølby|for Jesper Olsen']</t>
  </si>
  <si>
    <t>Carlos Esposito (Referee) · Carlos Alberto Silva Valente (AR1) · Romulo Mendez Molina (AR2)</t>
  </si>
  <si>
    <t>Erwin Vandenbergh · 45</t>
  </si>
  <si>
    <t>Fernando Quirarte · 23|Hugo Sánchez · 39</t>
  </si>
  <si>
    <t>['45&amp;rsquor;|1:2|Erwin Vandenbergh']</t>
  </si>
  <si>
    <t>['23&amp;rsquor;|0:1|Fernando Quirarte', '39&amp;rsquor;|0:2|Hugo Sánchez']</t>
  </si>
  <si>
    <t>['56&amp;rsquor;|1:2|Franky Van der Elst']</t>
  </si>
  <si>
    <t>['23&amp;rsquor;|0:1|Hugo Sánchez', '83&amp;rsquor;|1:2|Carlos Muñoz']</t>
  </si>
  <si>
    <t>['60&amp;rsquor;|1:2|Nico Claesen|for Philippe Desmet', '66&amp;rsquor;|1:2|Stéphane Demol|for Erwin Vandenbergh']</t>
  </si>
  <si>
    <t>['69&amp;rsquor;|1:2|Miguel España|for Tomás Boy', '79&amp;rsquor;|1:2|Francisco Javier Cruz|for Luis Flores']</t>
  </si>
  <si>
    <t>Valeri Butenko (Referee) · Andre Daina (AR1) · Zoran Petrovic (AR2)</t>
  </si>
  <si>
    <t>Valeri Butenko</t>
  </si>
  <si>
    <t>Djamel Zidane · 59</t>
  </si>
  <si>
    <t>Norman Whiteside · 6</t>
  </si>
  <si>
    <t>['59&amp;rsquor;|1:1|Djamel Zidane']</t>
  </si>
  <si>
    <t>['6&amp;rsquor;|0:1|Norman Whiteside']</t>
  </si>
  <si>
    <t>['36&amp;rsquor;|0:1|Faouzi Mansouri']</t>
  </si>
  <si>
    <t>['58&amp;rsquor;|0:1|Nigel Worthington', '78&amp;rsquor;|1:1|Sammy McIlroy', '79&amp;rsquor;|1:1|Norman Whiteside']</t>
  </si>
  <si>
    <t>['33&amp;rsquor;|0:1|Rachid Harkouk|for Rabah Madjer', '71&amp;rsquor;|1:1|Lakhdar Belloumi']</t>
  </si>
  <si>
    <t>['67&amp;rsquor;|1:1|Ian Stewart|for Steve Penney', '81&amp;rsquor;|1:1|Colin Clarke|for Norman Whiteside']</t>
  </si>
  <si>
    <t>Manuel Bento</t>
  </si>
  <si>
    <t>Volker Roth (Referee) · Bogdan Dotchev (AR1) · Jamal Al Sharif (AR2)</t>
  </si>
  <si>
    <t>Carlos Manuel · 75</t>
  </si>
  <si>
    <t>['75&amp;rsquor;|1:0|Carlos Manuel']</t>
  </si>
  <si>
    <t>['88&amp;rsquor;|1:0|Jaime Pacheco']</t>
  </si>
  <si>
    <t>['17&amp;rsquor;|0:0|Terry Fenwick', '78&amp;rsquor;|1:0|Terry Butcher']</t>
  </si>
  <si>
    <t>['73&amp;rsquor;|0:0|Paulo Futre|for Fernando Gomes', '82&amp;rsquor;|1:0|José António Bargiela|for Diamantino Miranda']</t>
  </si>
  <si>
    <t>['80&amp;rsquor;|1:0|Steve Hodge|for Chris Waddle', '80&amp;rsquor;|1:0|Peter Beardsley|for Bryan Robson']</t>
  </si>
  <si>
    <t>Luigi Agnolin (Referee) · George Courtney (AR1) · Horst Brummeier (AR2)</t>
  </si>
  <si>
    <t>Pavlo Yakovenko · 2|Sergei Aleinikov · 4|Ivan Yaremchuk · 66|Sergey Rodionov · 80</t>
  </si>
  <si>
    <t>['2&amp;rsquor;|1:0|Pavlo Yakovenko', '4&amp;rsquor;|2:0|Sergei Aleinikov', '66&amp;rsquor;|4:0|Ivan Yaremchuk', '80&amp;rsquor;|6:0|Sergey Rodionov']</t>
  </si>
  <si>
    <t>László Dajka (OG) · 73</t>
  </si>
  <si>
    <t>Igor Belanov (P) · 24</t>
  </si>
  <si>
    <t>['69&amp;rsquor;|4:0|Sergey Rodionov', '72&amp;rsquor;|4:0|Vadym Yevtushenko|for Pavlo Yakovenko']</t>
  </si>
  <si>
    <t>['13&amp;rsquor;|2:0|Győző Burcsa|for Antal Róth', '62&amp;rsquor;|3:0|László Dajka|for Zoltán Péter']</t>
  </si>
  <si>
    <t>Victoriano Sanchez Arminio (Referee) · Gabriel Gonzalez Roa (AR1) · Jesus Diaz Palacio (AR2)</t>
  </si>
  <si>
    <t>Victoriano Sanchez Arminio</t>
  </si>
  <si>
    <t>Jorge Valdano · 6|Oscar Ruggeri · 18|Jorge Valdano · 46</t>
  </si>
  <si>
    <t>Park Chang-sun · 73</t>
  </si>
  <si>
    <t>['6&amp;rsquor;|1:0|Jorge Valdano', '18&amp;rsquor;|2:0|Oscar Ruggeri', '46&amp;rsquor;|3:0|Jorge Valdano']</t>
  </si>
  <si>
    <t>['73&amp;rsquor;|3:1|Park Chang-sun']</t>
  </si>
  <si>
    <t>['44&amp;rsquor;|2:0|Huh Jung-moo', '50&amp;rsquor;|3:0|Park Chang-sun']</t>
  </si>
  <si>
    <t>['74&amp;rsquor;|3:1|Carlos Daniel Tapia|for Pedro Pasculli', '75&amp;rsquor;|3:1|Julio Olarticoechea|for Sergio Batista']</t>
  </si>
  <si>
    <t>['23&amp;rsquor;|2:0|Cho Kwang-rae|for Kim Pyung-seok', '46&amp;rsquor;|3:0|Byun Byung-joo|for Kim Yong-se']</t>
  </si>
  <si>
    <t>Jose Luis Martinez Bazan (Referee) · Joel Quiniou (AR1) · Idrissa Traore (AR2)</t>
  </si>
  <si>
    <t>Jose Luis Martinez Bazan</t>
  </si>
  <si>
    <t>['33&amp;rsquor;|0:0|Mohamed Timoumi']</t>
  </si>
  <si>
    <t>['87&amp;rsquor;|0:0|Abdelaziz Souleimani|for Mustafa El Haddaoui', '88&amp;rsquor;|0:0|Abderrazak Khairi|for Mohamed Timoumi']</t>
  </si>
  <si>
    <t>['46&amp;rsquor;|0:0|Kazimierz Przybyś|for Dariusz Kubicki', '56&amp;rsquor;|0:0|Jan Urban|for Dariusz Dziekanowski']</t>
  </si>
  <si>
    <t>Christopher Bambridge (Referee) · David Socha (AR1) · Jan Keizer (AR2)</t>
  </si>
  <si>
    <t>Christopher Bambridge</t>
  </si>
  <si>
    <t>Sócrates · 62</t>
  </si>
  <si>
    <t>['62&amp;rsquor;|0:1|Sócrates']</t>
  </si>
  <si>
    <t>['4&amp;rsquor;|0:0|Julio Alberto Moreno']</t>
  </si>
  <si>
    <t>['82&amp;rsquor;|0:1|Branco']</t>
  </si>
  <si>
    <t>['82&amp;rsquor;|0:1|Juan Antonio Señor|for Francisco']</t>
  </si>
  <si>
    <t>['66&amp;rsquor;|0:1|Müller|for Walter Casagrande', '79&amp;rsquor;|0:1|Paulo Roberto Falcão|for Leovegildo Lins da Gama Júnior']</t>
  </si>
  <si>
    <t>Hernan Silva Arce (Referee) · Romulo Mendez Molina (AR1) · Berny Ulloa Morera (AR2)</t>
  </si>
  <si>
    <t>Jean-Pierre Papin · 79</t>
  </si>
  <si>
    <t>['79&amp;rsquor;|0:1|Jean-Pierre Papin']</t>
  </si>
  <si>
    <t>['54&amp;rsquor;|0:0|Jamie Lowery|for Mike Sweeney', '81&amp;rsquor;|0:1|Branko Šegota|for Paul James']</t>
  </si>
  <si>
    <t>['70&amp;rsquor;|0:0|Yannick Stopyra|for Dominique Rocheteau']</t>
  </si>
  <si>
    <t>Erik Fredriksson (Referee) · Edgardo Codesal Mendez (AR1) · Volker Roth (AR2)</t>
  </si>
  <si>
    <t>Nasko Sirakov · 85</t>
  </si>
  <si>
    <t>Alessandro Altobelli · 43</t>
  </si>
  <si>
    <t>['85&amp;rsquor;|1:1|Nasko Sirakov']</t>
  </si>
  <si>
    <t>['43&amp;rsquor;|0:1|Alessandro Altobelli']</t>
  </si>
  <si>
    <t>['51&amp;rsquor;|0:1|Aleksandar Markov']</t>
  </si>
  <si>
    <t>['48&amp;rsquor;|0:1|Giuseppe Bergomi', '64&amp;rsquor;|0:1|Antonio Cabrini']</t>
  </si>
  <si>
    <t>['65&amp;rsquor;|0:1|Kostadin Kostadinov|for Bozhidar Iskrenov', '74&amp;rsquor;|0:1|Andrey Zhelyazkov']</t>
  </si>
  <si>
    <t>['65&amp;rsquor;|0:1|Gianluca Vialli|for Bruno Conti']</t>
  </si>
  <si>
    <t>Dino Zoff</t>
  </si>
  <si>
    <t>Jupp Derwall</t>
  </si>
  <si>
    <t>Santiago Bernabeu, Madrid</t>
  </si>
  <si>
    <t>Arnaldo Coelho (Referee) · Abraham Klein (AR1) · Vojtech Christov (AR2)</t>
  </si>
  <si>
    <t>Arnaldo Coelho</t>
  </si>
  <si>
    <t>Paolo Rossi · 57|Marco Tardelli · 69|Alessandro Altobelli · 81</t>
  </si>
  <si>
    <t>Paul Breitner · 83</t>
  </si>
  <si>
    <t>['57&amp;rsquor;|1:0|Paolo Rossi', '69&amp;rsquor;|2:0|Marco Tardelli', '81&amp;rsquor;|3:0|Alessandro Altobelli']</t>
  </si>
  <si>
    <t>['83&amp;rsquor;|3:1|Paul Breitner']</t>
  </si>
  <si>
    <t>['31&amp;rsquor;|0:0|Bruno Conti', '73&amp;rsquor;|2:0|Gabriele Oriali']</t>
  </si>
  <si>
    <t>['61&amp;rsquor;|1:0|Wolfgang Dremmler', '73&amp;rsquor;|2:0|Uli Stielike', '88&amp;rsquor;|3:1|Pierre Littbarski']</t>
  </si>
  <si>
    <t>['7&amp;rsquor;|0:0|Alessandro Altobelli|for Francesco Graziani', '89&amp;rsquor;|3:1|Franco Causio|for Alessandro Altobelli']</t>
  </si>
  <si>
    <t>['62&amp;rsquor;|1:0|Horst Hrubesch|for Wolfgang Dremmler', '70&amp;rsquor;|2:0|Hansi Müller']</t>
  </si>
  <si>
    <t>Władysław Żmuda</t>
  </si>
  <si>
    <t>Michel Hidalgo</t>
  </si>
  <si>
    <t>Marius Trésor</t>
  </si>
  <si>
    <t>Jose Rico Perez, Alicante</t>
  </si>
  <si>
    <t>Antonio Garrido (Referee) · Mario Rubio Vazquez (AR1) · Belaid Lacarne (AR2)</t>
  </si>
  <si>
    <t>Antonio Garrido</t>
  </si>
  <si>
    <t>Andrzej Szarmach · 40|Stefan Majewski · 44|Janusz Kupcewicz · 46</t>
  </si>
  <si>
    <t>René Girard · 13|Alain Couriol · 72</t>
  </si>
  <si>
    <t>['40&amp;rsquor;|1:1|Andrzej Szarmach', '44&amp;rsquor;|2:1|Stefan Majewski', '46&amp;rsquor;|3:1|Janusz Kupcewicz']</t>
  </si>
  <si>
    <t>['13&amp;rsquor;|0:1|René Girard', '72&amp;rsquor;|3:2|Alain Couriol']</t>
  </si>
  <si>
    <t>['62&amp;rsquor;|3:1|Andrzej Buncol', '71&amp;rsquor;|3:1|Roman Wójcicki']</t>
  </si>
  <si>
    <t>['79&amp;rsquor;|3:2|Gérard Soler']</t>
  </si>
  <si>
    <t>['46&amp;rsquor;|3:1|Roman Wójcicki|for Waldemar Matysik']</t>
  </si>
  <si>
    <t>['66&amp;rsquor;|3:1|Christian Lopez|for Gérard Janvion', '83&amp;rsquor;|3:2|Didier Six|for Jean Tigana']</t>
  </si>
  <si>
    <t>Camp Nou, Barcelona</t>
  </si>
  <si>
    <t>Juan Cardellino De San Vicente (Referee) · David Socha (AR1) · Gilberto Aristizabal Murcia (AR2)</t>
  </si>
  <si>
    <t>Paolo Rossi · 22|Paolo Rossi · 73</t>
  </si>
  <si>
    <t>['22&amp;rsquor;|0:1|Paolo Rossi', '73&amp;rsquor;|0:2|Paolo Rossi']</t>
  </si>
  <si>
    <t>['43&amp;rsquor;|0:1|Stefan Majewski', '51&amp;rsquor;|0:1|Władysław Żmuda', '57&amp;rsquor;|0:1|Włodzimierz Smolarek']</t>
  </si>
  <si>
    <t>['57&amp;rsquor;|0:1|Fulvio Collovati']</t>
  </si>
  <si>
    <t>['46&amp;rsquor;|0:1|Andrzej Pałasz|for Włodzimierz Ciołek', '77&amp;rsquor;|0:2|Marek Kusto|for Włodzimierz Smolarek']</t>
  </si>
  <si>
    <t>['28&amp;rsquor;|0:1|Gianpiero Marini|for Giancarlo Antognoni', '70&amp;rsquor;|0:1|Alessandro Altobelli|for Francesco Graziani']</t>
  </si>
  <si>
    <t>Manfred Kaltz</t>
  </si>
  <si>
    <t>Ramon Sanchez Pizjuan, Seville</t>
  </si>
  <si>
    <t>Charles Corver (Referee) · Bruno Galler (AR1) · Robert Valentine (AR2)</t>
  </si>
  <si>
    <t>(5) 3–3 (4)</t>
  </si>
  <si>
    <t>Charles Corver</t>
  </si>
  <si>
    <t>Pierre Littbarski · 17|Karl-Heinz Rummenigge · 102|Klaus Fischer · 108</t>
  </si>
  <si>
    <t>Marius Trésor · 92|Alain Giresse · 98</t>
  </si>
  <si>
    <t>['17&amp;rsquor;|1:0|Pierre Littbarski', '102&amp;rsquor;|2:3|Karl-Heinz Rummenigge', '108&amp;rsquor;|3:3|Klaus Fischer']</t>
  </si>
  <si>
    <t>['92&amp;rsquor;|1:2|Marius Trésor', '98&amp;rsquor;|1:3|Alain Giresse']</t>
  </si>
  <si>
    <t>Michel Platini (P) · 26</t>
  </si>
  <si>
    <t>['2|1:1|Manfred Kaltz', '4|2:2|Paul Breitner', '8|3:3|Pierre Littbarski', '10|4:4|Karl-Heinz Rummenigge', '12|5:4|Horst Hrubesch']</t>
  </si>
  <si>
    <t>['1|0:1|Alain Giresse', '3|1:2|Manuel Amoros', '5|2:3|Dominique Rocheteau', '9|3:4|Michel Platini']</t>
  </si>
  <si>
    <t>['6|2:3|Uli Stielike']</t>
  </si>
  <si>
    <t>['7|2:3|Didier Six', '11|4:4|Maxime Bossis']</t>
  </si>
  <si>
    <t>['46&amp;rsquor;|1:1|Bernd Förster']</t>
  </si>
  <si>
    <t>['35&amp;rsquor;|1:1|Alain Giresse', '40&amp;rsquor;|1:1|Bernard Genghini']</t>
  </si>
  <si>
    <t>['73&amp;rsquor;|1:1|Horst Hrubesch|for Felix Magath', '97&amp;rsquor;|1:2|Karl-Heinz Rummenigge|for Hans-Peter Briegel']</t>
  </si>
  <si>
    <t>['50&amp;rsquor;|1:1|Patrick Battiston|for Bernard Genghini', '60&amp;rsquor;|1:1|Christian Lopez|for Patrick Battiston']</t>
  </si>
  <si>
    <t>Sócrates</t>
  </si>
  <si>
    <t>Sarria, Barcelona</t>
  </si>
  <si>
    <t>Abraham Klein (Referee) · Thomson Tam Sun Chan (AR1) · Bogdan Dotchev (AR2)</t>
  </si>
  <si>
    <t>Second group stage</t>
  </si>
  <si>
    <t>Abraham Klein</t>
  </si>
  <si>
    <t>Paolo Rossi · 5|Paolo Rossi · 25|Paolo Rossi · 74</t>
  </si>
  <si>
    <t>Sócrates · 12|Paulo Roberto Falcão · 68</t>
  </si>
  <si>
    <t>['5&amp;rsquor;|1:0|Paolo Rossi', '25&amp;rsquor;|2:1|Paolo Rossi', '74&amp;rsquor;|3:2|Paolo Rossi']</t>
  </si>
  <si>
    <t>['12&amp;rsquor;|1:1|Sócrates', '68&amp;rsquor;|2:2|Paulo Roberto Falcão']</t>
  </si>
  <si>
    <t>['13&amp;rsquor;|1:1|Claudio Gentile', '78&amp;rsquor;|3:2|Gabriele Oriali']</t>
  </si>
  <si>
    <t>['34&amp;rsquor;|2:1|Giuseppe Bergomi|for Fulvio Collovati', '75&amp;rsquor;|3:2|Gianpiero Marini|for Marco Tardelli']</t>
  </si>
  <si>
    <t>['69&amp;rsquor;|2:2|Paulo Isidoro|for Serginho Chulapa']</t>
  </si>
  <si>
    <t>Jose Santamaria</t>
  </si>
  <si>
    <t>Luis Arconada</t>
  </si>
  <si>
    <t>Ron Greenwood</t>
  </si>
  <si>
    <t>Mick Mills</t>
  </si>
  <si>
    <t>Alexis Ponnet (Referee) · Michel Vautrot (AR1) · Belaid Lacarne (AR2)</t>
  </si>
  <si>
    <t>['15&amp;rsquor;|0:0|Ray Wilkins']</t>
  </si>
  <si>
    <t>['67&amp;rsquor;|0:0|Pedro Uralde|for Enrique Saura', '73&amp;rsquor;|0:0|Antonio Maceda|for Miguel Tendillo']</t>
  </si>
  <si>
    <t>['63&amp;rsquor;|0:0|Trevor Brooking|for Graham Rix', '64&amp;rsquor;|0:0|Kevin Keegan|for Tony Woodcock']</t>
  </si>
  <si>
    <t>Martin O'Neill</t>
  </si>
  <si>
    <t>Vicente Calderon, Madrid</t>
  </si>
  <si>
    <t>Alojzy Jarguz (Referee) · Nicolae Rainea (AR1) · Yusef Mohamed El Ghoul (AR2)</t>
  </si>
  <si>
    <t>Alojzy Jarguz</t>
  </si>
  <si>
    <t>Alain Giresse · 33|Dominique Rocheteau · 46|Dominique Rocheteau · 68|Alain Giresse · 80</t>
  </si>
  <si>
    <t>Gerry Armstrong · 75</t>
  </si>
  <si>
    <t>['33&amp;rsquor;|1:0|Alain Giresse', '46&amp;rsquor;|2:0|Dominique Rocheteau', '68&amp;rsquor;|3:0|Dominique Rocheteau', '80&amp;rsquor;|4:1|Alain Giresse']</t>
  </si>
  <si>
    <t>['75&amp;rsquor;|3:1|Gerry Armstrong']</t>
  </si>
  <si>
    <t>['57&amp;rsquor;|2:0|Jean Tigana']</t>
  </si>
  <si>
    <t>['59&amp;rsquor;|2:0|Billy Hamilton']</t>
  </si>
  <si>
    <t>['63&amp;rsquor;|2:0|Didier Six|for Gérard Soler', '83&amp;rsquor;|4:1|Alain Couriol|for Dominique Rocheteau']</t>
  </si>
  <si>
    <t>["86&amp;rsquor;|4:1|John O'Neill|for David McCreery"]</t>
  </si>
  <si>
    <t>Konstantin Beskov</t>
  </si>
  <si>
    <t>Aleksandre Chivadze</t>
  </si>
  <si>
    <t>Robert Valentine (Referee) · Henning Lund-Sorensen (AR1) · Clive White (AR2)</t>
  </si>
  <si>
    <t>Robert Valentine</t>
  </si>
  <si>
    <t>['65&amp;rsquor;|0:0|Andrzej Buncol', '88&amp;rsquor;|0:0|Zbigniew Boniek']</t>
  </si>
  <si>
    <t>['1&amp;rsquor;|0:0|Aleksandre Chivadze', '87&amp;rsquor;|0:0|Sergei Borovsky', '90&amp;rsquor;|0:0|Sergei Pavlovich Baltacha']</t>
  </si>
  <si>
    <t>['52&amp;rsquor;|0:0|Włodzimierz Ciołek|for Janusz Kupcewicz']</t>
  </si>
  <si>
    <t>['57&amp;rsquor;|0:0|Sergey Andreyev|for Ramaz Shengelia', '78&amp;rsquor;|0:0|Vitaly Daraselia|for Yuri Gavrilov']</t>
  </si>
  <si>
    <t>Cesar Luis Menotti</t>
  </si>
  <si>
    <t>Mario Rubio Vazquez (Referee) · Gilberto Aristizabal Murcia (AR1) · Gaston Castro (AR2)</t>
  </si>
  <si>
    <t>Mario Rubio Vazquez</t>
  </si>
  <si>
    <t>Ramón Díaz · 89</t>
  </si>
  <si>
    <t>Zico · 11|Serginho Chulapa · 66|Leovegildo Lins da Gama Júnior · 75</t>
  </si>
  <si>
    <t>['89&amp;rsquor;|1:3|Ramón Díaz']</t>
  </si>
  <si>
    <t>['11&amp;rsquor;|0:1|Zico', '66&amp;rsquor;|0:2|Serginho Chulapa', '75&amp;rsquor;|0:3|Leovegildo Lins da Gama Júnior']</t>
  </si>
  <si>
    <t>Diego Maradona · 85</t>
  </si>
  <si>
    <t>['33&amp;rsquor;|0:1|Daniel Passarella']</t>
  </si>
  <si>
    <t>['77&amp;rsquor;|0:3|Waldir Peres', '85&amp;rsquor;|0:3|Paulo Roberto Falcão']</t>
  </si>
  <si>
    <t>['46&amp;rsquor;|0:1|Ramón Díaz|for Mario Kempes', '64&amp;rsquor;|0:1|Santiago Santamaría|for Daniel Bertoni']</t>
  </si>
  <si>
    <t>['82&amp;rsquor;|0:3|Edevaldo de Freitas|for José Leandro Ferreira', '83&amp;rsquor;|0:3|João Batista da Silva|for Zico']</t>
  </si>
  <si>
    <t>Paolo Casarin (Referee) · Franz Woehrer (AR1) · Karoly Palotai (AR2)</t>
  </si>
  <si>
    <t>Paolo Casarin</t>
  </si>
  <si>
    <t>Pierre Littbarski · 50|Klaus Fischer · 75</t>
  </si>
  <si>
    <t>Jesús María Zamora · 82</t>
  </si>
  <si>
    <t>['50&amp;rsquor;|1:0|Pierre Littbarski', '75&amp;rsquor;|2:0|Klaus Fischer']</t>
  </si>
  <si>
    <t>['82&amp;rsquor;|2:1|Jesús María Zamora']</t>
  </si>
  <si>
    <t>['1&amp;rsquor;|0:0|Klaus Fischer', '84&amp;rsquor;|2:1|Hans-Peter Briegel']</t>
  </si>
  <si>
    <t>['9&amp;rsquor;|0:0|José Ramón Alexanko', '83&amp;rsquor;|2:1|José Antonio Camacho', '84&amp;rsquor;|2:1|José Sanchez']</t>
  </si>
  <si>
    <t>['46&amp;rsquor;|0:0|Uwe Reinders|for Karl-Heinz Rummenigge']</t>
  </si>
  <si>
    <t>['46&amp;rsquor;|0:0|Roberto López Ufarte|for Juanito', '65&amp;rsquor;|1:0|José Sanchez|for Quini']</t>
  </si>
  <si>
    <t>Georg Schmidt</t>
  </si>
  <si>
    <t>Erich Obermayer</t>
  </si>
  <si>
    <t>Adolf Prokop (Referee) · Erik Fredriksson (AR1) · Walter Eschweiler (AR2)</t>
  </si>
  <si>
    <t>Adolf Prokop</t>
  </si>
  <si>
    <t>Bruno Pezzey · 50|Reinhold Hintermaier · 68</t>
  </si>
  <si>
    <t>Billy Hamilton · 27|Billy Hamilton · 75</t>
  </si>
  <si>
    <t>['50&amp;rsquor;|1:1|Bruno Pezzey', '68&amp;rsquor;|2:1|Reinhold Hintermaier']</t>
  </si>
  <si>
    <t>['27&amp;rsquor;|0:1|Billy Hamilton', '75&amp;rsquor;|2:2|Billy Hamilton']</t>
  </si>
  <si>
    <t>['86&amp;rsquor;|2:2|Anton Pichler']</t>
  </si>
  <si>
    <t>['46&amp;rsquor;|0:1|Reinhold Hintermaier|for Johann Pregesbauer', '46&amp;rsquor;|0:1|Kurt Welzl|for Max Hagmayr']</t>
  </si>
  <si>
    <t>['68&amp;rsquor;|2:1|Noel Brotherston|for Norman Whiteside']</t>
  </si>
  <si>
    <t>Walter Meeuws</t>
  </si>
  <si>
    <t>Michel Vautrot (Referee) · Charles Corver (AR1) · Antonio Garrido (AR2)</t>
  </si>
  <si>
    <t>Khoren Oganesian · 48</t>
  </si>
  <si>
    <t>['48&amp;rsquor;|0:1|Khoren Oganesian']</t>
  </si>
  <si>
    <t>['1&amp;rsquor;|0:0|Volodymyr Bezsonov']</t>
  </si>
  <si>
    <t>['65&amp;rsquor;|0:1|Marc Millecamps|for Maurits De Schrijver', '67&amp;rsquor;|0:1|Alexandre Czerniatynski|for Guy Vandersmissen']</t>
  </si>
  <si>
    <t>['87&amp;rsquor;|0:1|Vitaly Daraselia|for Andriy Bal', '89&amp;rsquor;|0:1|Sergey Rodionov']</t>
  </si>
  <si>
    <t>Nicolae Rainea (Referee) · Bruno Galler (AR1) · Belaid Lacarne (AR2)</t>
  </si>
  <si>
    <t>Nicolae Rainea</t>
  </si>
  <si>
    <t>Marco Tardelli · 57|Antonio Cabrini · 67</t>
  </si>
  <si>
    <t>Daniel Passarella · 83</t>
  </si>
  <si>
    <t>['57&amp;rsquor;|1:0|Marco Tardelli', '67&amp;rsquor;|2:0|Antonio Cabrini']</t>
  </si>
  <si>
    <t>['83&amp;rsquor;|2:1|Daniel Passarella']</t>
  </si>
  <si>
    <t>Américo Gallego · 84</t>
  </si>
  <si>
    <t>['1&amp;rsquor;|0:0|Claudio Gentile', '15&amp;rsquor;|0:0|Paolo Rossi']</t>
  </si>
  <si>
    <t>['32&amp;rsquor;|0:0|Mario Kempes', '35&amp;rsquor;|0:0|Diego Maradona', '39&amp;rsquor;|0:0|Osvaldo Ardiles']</t>
  </si>
  <si>
    <t>['75&amp;rsquor;|2:0|Gianpiero Marini|for Gabriele Oriali', '80&amp;rsquor;|2:0|Alessandro Altobelli|for Paolo Rossi']</t>
  </si>
  <si>
    <t>['58&amp;rsquor;|1:0|José Daniel Valencia', '58&amp;rsquor;|1:0|Gabriel Calderón|for Mario Kempes']</t>
  </si>
  <si>
    <t>Arnaldo Coelho (Referee) · Hector Ortiz (AR1) · Romulo Mendez Molina (AR2)</t>
  </si>
  <si>
    <t>['68&amp;rsquor;|0:0|Uli Stielike']</t>
  </si>
  <si>
    <t>['63&amp;rsquor;|0:0|Pierre Littbarski|for Uwe Reinders', '74&amp;rsquor;|0:0|Klaus Fischer|for Hansi Müller']</t>
  </si>
  <si>
    <t>['77&amp;rsquor;|0:0|Tony Woodcock|for Trevor Francis']</t>
  </si>
  <si>
    <t>Karoly Palotai (Referee) · Vojtech Christov (AR1) · Damir Matovinovic (AR2)</t>
  </si>
  <si>
    <t>Karoly Palotai</t>
  </si>
  <si>
    <t>Bernard Genghini · 39</t>
  </si>
  <si>
    <t>['39&amp;rsquor;|0:1|Bernard Genghini']</t>
  </si>
  <si>
    <t>['60&amp;rsquor;|0:1|Erich Obermayer']</t>
  </si>
  <si>
    <t>['46&amp;rsquor;|0:1|Ernst Baumeister|for Josef Degeorgi', '46&amp;rsquor;|0:1|Kurt Welzl|for Kurt Jara']</t>
  </si>
  <si>
    <t>['15&amp;rsquor;|0:0|Dominique Rocheteau|for Bernard Lacombe', '85&amp;rsquor;|0:1|René Girard']</t>
  </si>
  <si>
    <t>Jesus Paulino Siles (Referee) · Enrique Labo Revoredo (AR1) · Gaston Castro (AR2)</t>
  </si>
  <si>
    <t>Jesus Paulino Siles</t>
  </si>
  <si>
    <t>Zbigniew Boniek · 4|Zbigniew Boniek · 26|Zbigniew Boniek · 53</t>
  </si>
  <si>
    <t>['4&amp;rsquor;|1:0|Zbigniew Boniek', '26&amp;rsquor;|2:0|Zbigniew Boniek', '53&amp;rsquor;|3:0|Zbigniew Boniek']</t>
  </si>
  <si>
    <t>['48&amp;rsquor;|2:0|Włodzimierz Smolarek']</t>
  </si>
  <si>
    <t>['82&amp;rsquor;|3:0|Włodzimierz Ciołek|for Janusz Kupcewicz']</t>
  </si>
  <si>
    <t>['46&amp;rsquor;|2:0|François Van der Elst|for Wilfried Van Moer', '88&amp;rsquor;|3:0|Marc Baecke']</t>
  </si>
  <si>
    <t>Saad Al-Houti</t>
  </si>
  <si>
    <t>San Mames, Bilbao</t>
  </si>
  <si>
    <t>Gilberto Aristizabal Murcia (Referee) · Henning Lund-Sorensen (AR1) · Jose L. Garcia Carrion (AR2)</t>
  </si>
  <si>
    <t>First group stage</t>
  </si>
  <si>
    <t>Gilberto Aristizabal Murcia</t>
  </si>
  <si>
    <t>Trevor Francis · 27</t>
  </si>
  <si>
    <t>['27&amp;rsquor;|1:0|Trevor Francis']</t>
  </si>
  <si>
    <t>['43&amp;rsquor;|1:0|Paul Mariner']</t>
  </si>
  <si>
    <t>['44&amp;rsquor;|1:0|Naeem Saad']</t>
  </si>
  <si>
    <t>['76&amp;rsquor;|1:0|Hamoud Al-Shemmari|for Waleed Al-Jasem']</t>
  </si>
  <si>
    <t>El Molinon, Gijon</t>
  </si>
  <si>
    <t>Robert Valentine (Referee) · Ebrahim Al Doy (AR1) · Arnaldo Coelho (AR2)</t>
  </si>
  <si>
    <t>Horst Hrubesch · 10</t>
  </si>
  <si>
    <t>['10&amp;rsquor;|1:0|Horst Hrubesch']</t>
  </si>
  <si>
    <t>['32&amp;rsquor;|1:0|Walter Schachner', '32&amp;rsquor;|1:0|Reinhold Hintermaier']</t>
  </si>
  <si>
    <t>['66&amp;rsquor;|1:0|Lothar Matthäus|for Karl-Heinz Rummenigge', '69&amp;rsquor;|1:0|Klaus Fischer|for Horst Hrubesch']</t>
  </si>
  <si>
    <t>Luis Casanova, Valencia</t>
  </si>
  <si>
    <t>Hector Ortiz (Referee) · Enrique Labo Revoredo (AR1) · Alexis Ponnet (AR2)</t>
  </si>
  <si>
    <t>Hector Ortiz</t>
  </si>
  <si>
    <t>Gerry Armstrong · 47</t>
  </si>
  <si>
    <t>['47&amp;rsquor;|1:0|Gerry Armstrong']</t>
  </si>
  <si>
    <t>Mal Donaghy · 62</t>
  </si>
  <si>
    <t>['41&amp;rsquor;|0:0|Billy Hamilton', '42&amp;rsquor;|0:0|Sammy McIlroy']</t>
  </si>
  <si>
    <t>['20&amp;rsquor;|0:0|Juanito']</t>
  </si>
  <si>
    <t>['50&amp;rsquor;|1:0|Tommy Cassidy|for Sammy McIlroy', '73&amp;rsquor;|1:0|Sammy Nelson|for Norman Whiteside']</t>
  </si>
  <si>
    <t>['46&amp;rsquor;|0:0|Quini|for Jesús María Satrústegui', '78&amp;rsquor;|1:0|Ricardo Gallego|for Roberto López Ufarte']</t>
  </si>
  <si>
    <t>Zdeněk Nehoda</t>
  </si>
  <si>
    <t>Jose Zorrilla, Valladolid</t>
  </si>
  <si>
    <t>Paolo Casarin (Referee) · Benjamin Dwomoh (AR1) · Karoly Palotai (AR2)</t>
  </si>
  <si>
    <t>Didier Six · 66</t>
  </si>
  <si>
    <t>['66&amp;rsquor;|1:0|Didier Six']</t>
  </si>
  <si>
    <t>Antonín Panenka (P) · 84</t>
  </si>
  <si>
    <t>Ladislav Vízek · 87</t>
  </si>
  <si>
    <t>['47&amp;rsquor;|0:0|Manuel Amoros']</t>
  </si>
  <si>
    <t>['75&amp;rsquor;|1:0|Antonín Panenka']</t>
  </si>
  <si>
    <t>['70&amp;rsquor;|1:0|Alain Couriol|for Bernard Lacombe', '89&amp;rsquor;|1:1|René Girard|for Gérard Soler']</t>
  </si>
  <si>
    <t>['31&amp;rsquor;|0:0|Marián Masný|for Tomáš Kříž', '70&amp;rsquor;|1:0|Antonín Panenka|for Petr Janečka']</t>
  </si>
  <si>
    <t>Rachid Mekhloufi</t>
  </si>
  <si>
    <t>Ali Fergani</t>
  </si>
  <si>
    <t>Luis Alberto Santibanez</t>
  </si>
  <si>
    <t>Elías Figueroa</t>
  </si>
  <si>
    <t>Carlos Tartiere, Oviedo</t>
  </si>
  <si>
    <t>Romulo Mendez Molina (Referee) · Erik Fredriksson (AR1) · Arnaldo Coelho (AR2)</t>
  </si>
  <si>
    <t>Salah Assad · 7|Salah Assad · 31|Tedj Bensaoula · 35</t>
  </si>
  <si>
    <t>Juan Carlos Letelier · 73</t>
  </si>
  <si>
    <t>['7&amp;rsquor;|1:0|Salah Assad', '31&amp;rsquor;|2:0|Salah Assad', '35&amp;rsquor;|3:0|Tedj Bensaoula']</t>
  </si>
  <si>
    <t>['73&amp;rsquor;|3:2|Juan Carlos Letelier']</t>
  </si>
  <si>
    <t>Miguel Ángel Neira (P) · 59</t>
  </si>
  <si>
    <t>['1&amp;rsquor;|0:0|Juan Carlos Letelier']</t>
  </si>
  <si>
    <t>['31&amp;rsquor;|2:0|Hocine Yahi|for Abdelmajid Bourebbou', '75&amp;rsquor;|3:2|Mustapha Dahleb|for Faouzi Mansouri']</t>
  </si>
  <si>
    <t>['37&amp;rsquor;|3:0|Mario Soto|for Eduardo Bonvallet', '58&amp;rsquor;|3:0|Juan Carlos Letelier']</t>
  </si>
  <si>
    <t>Jose De La Paz</t>
  </si>
  <si>
    <t>Ramón Maradiaga</t>
  </si>
  <si>
    <t>Miljan Miljanic</t>
  </si>
  <si>
    <t>Ivica Šurjak</t>
  </si>
  <si>
    <t>La Romareda, Zaragoza</t>
  </si>
  <si>
    <t>Gaston Castro (Referee) · Jesus Paulino Siles (AR1) · Arturo Andres Ithurralde (AR2)</t>
  </si>
  <si>
    <t>Gaston Castro</t>
  </si>
  <si>
    <t>Vladimir Petrović (P) · 88</t>
  </si>
  <si>
    <t>Gilberto Yearwood · 89</t>
  </si>
  <si>
    <t>['85&amp;rsquor;|0:0|Ramón Maradiaga']</t>
  </si>
  <si>
    <t>['81&amp;rsquor;|0:0|Zlatko Krmpotić']</t>
  </si>
  <si>
    <t>['65&amp;rsquor;|0:0|Eduardo Laing|for Juan Cruz Murillo']</t>
  </si>
  <si>
    <t>['46&amp;rsquor;|0:0|Vahid Halilhodžić|for Nikola Jovanović', '62&amp;rsquor;|0:0|Miloš Šestić|for Zlatko Vujović']</t>
  </si>
  <si>
    <t>Jean Vincent</t>
  </si>
  <si>
    <t>Thomas N'Kono</t>
  </si>
  <si>
    <t>Estadio Municipal de Balaï¿½dos, Vigo</t>
  </si>
  <si>
    <t>Bogdan Dotchev (Referee) · Emilio Soriano Aladren (AR1) · Victoriano Sanchez Arminio (AR2)</t>
  </si>
  <si>
    <t>Francesco Graziani · 60</t>
  </si>
  <si>
    <t>Grégoire M'Bida · 61</t>
  </si>
  <si>
    <t>['60&amp;rsquor;|1:0|Francesco Graziani']</t>
  </si>
  <si>
    <t>["61&amp;rsquor;|1:1|Grégoire M'Bida"]</t>
  </si>
  <si>
    <t>['36&amp;rsquor;|0:0|Giancarlo Antognoni']</t>
  </si>
  <si>
    <t>["36&amp;rsquor;|0:0|René N'Djeya"]</t>
  </si>
  <si>
    <t>Mauricio Rodriguez</t>
  </si>
  <si>
    <t>Norberto Huezo</t>
  </si>
  <si>
    <t>Luis Barrancos (Referee) · Augusto Lamo Castillo (AR1) · Belaid Lacarne (AR2)</t>
  </si>
  <si>
    <t>Luis Barrancos</t>
  </si>
  <si>
    <t>Daniel Bertoni · 54</t>
  </si>
  <si>
    <t>['54&amp;rsquor;|2:0|Daniel Bertoni']</t>
  </si>
  <si>
    <t>Daniel Passarella (P) · 22</t>
  </si>
  <si>
    <t>['31&amp;rsquor;|1:0|Jorge Olguín', '44&amp;rsquor;|1:0|Américo Gallego']</t>
  </si>
  <si>
    <t>['20&amp;rsquor;|0:0|Francisco Osorto', '26&amp;rsquor;|1:0|Luis Ramírez Zapata', '45&amp;rsquor;|1:0|Carlos Recinos']</t>
  </si>
  <si>
    <t>['67&amp;rsquor;|2:0|Ramón Díaz|for Daniel Bertoni', '78&amp;rsquor;|2:0|Santiago Santamaría|for Gabriel Calderón']</t>
  </si>
  <si>
    <t>['33&amp;rsquor;|1:0|Miguel Ángel Díaz|for Francisco Osorto', '78&amp;rsquor;|2:0|Mauricio Alfaro|for Joaquín Ventura']</t>
  </si>
  <si>
    <t>John Adshead</t>
  </si>
  <si>
    <t>Steve Sumner</t>
  </si>
  <si>
    <t>Benito Villamarin, Seville</t>
  </si>
  <si>
    <t>Damir Matovinovic (Referee) · Abraham Klein (AR1) · Charles Corver (AR2)</t>
  </si>
  <si>
    <t>Damir Matovinovic</t>
  </si>
  <si>
    <t>Zico · 28|Zico · 31|Paulo Roberto Falcão · 64|Serginho Chulapa · 70</t>
  </si>
  <si>
    <t>['28&amp;rsquor;|1:0|Zico', '31&amp;rsquor;|2:0|Zico', '64&amp;rsquor;|3:0|Paulo Roberto Falcão', '70&amp;rsquor;|4:0|Serginho Chulapa']</t>
  </si>
  <si>
    <t>['75&amp;rsquor;|4:0|Paulo Isidoro|for Serginho Chulapa', '75&amp;rsquor;|4:0|Edinho|for Oscar']</t>
  </si>
  <si>
    <t>['78&amp;rsquor;|4:0|Brian Turner|for Kenny Cresswell', '78&amp;rsquor;|4:0|Duncan Cole|for Wynton Rufer']</t>
  </si>
  <si>
    <t>Tim</t>
  </si>
  <si>
    <t>Rubén Toribio Díaz</t>
  </si>
  <si>
    <t>Riazor, La Coruï¿½A</t>
  </si>
  <si>
    <t>Mario Rubio Vazquez (Referee) · Emilio Soriano Aladren (AR1) · Victoriano Sanchez Arminio (AR2)</t>
  </si>
  <si>
    <t>Włodzimierz Smolarek · 55|Grzegorz Lato · 58|Zbigniew Boniek · 61|Andrzej Buncol · 68|Włodzimierz Ciołek · 76</t>
  </si>
  <si>
    <t>Guillermo La Rosa · 83</t>
  </si>
  <si>
    <t>['55&amp;rsquor;|1:0|Włodzimierz Smolarek', '58&amp;rsquor;|2:0|Grzegorz Lato', '61&amp;rsquor;|3:0|Zbigniew Boniek', '68&amp;rsquor;|4:0|Andrzej Buncol', '76&amp;rsquor;|5:0|Włodzimierz Ciołek']</t>
  </si>
  <si>
    <t>['83&amp;rsquor;|5:1|Guillermo La Rosa']</t>
  </si>
  <si>
    <t>['31&amp;rsquor;|0:0|José Velásquez']</t>
  </si>
  <si>
    <t>['26&amp;rsquor;|0:0|Marek Dziuba|for Jan Jałocha', '74&amp;rsquor;|4:0|Włodzimierz Ciołek|for Włodzimierz Smolarek']</t>
  </si>
  <si>
    <t>['50&amp;rsquor;|0:0|Gerónimo Barbadillo|for Juan Carlos Oblitas', '50&amp;rsquor;|0:0|Julio César Uribe|for Teófilo Cubillas']</t>
  </si>
  <si>
    <t>Kalman Meszoly</t>
  </si>
  <si>
    <t>Tibor Nyilasi</t>
  </si>
  <si>
    <t>Nuevo Estadio, Elche</t>
  </si>
  <si>
    <t>Clive White (Referee) · Walter Eschweiler (AR1) · Belaid Lacarne (AR2)</t>
  </si>
  <si>
    <t>Clive White</t>
  </si>
  <si>
    <t>Alexandre Czerniatynski · 76</t>
  </si>
  <si>
    <t>József Varga · 27</t>
  </si>
  <si>
    <t>['76&amp;rsquor;|1:1|Alexandre Czerniatynski']</t>
  </si>
  <si>
    <t>['27&amp;rsquor;|0:1|József Varga']</t>
  </si>
  <si>
    <t>['65&amp;rsquor;|0:1|Jean-Marie Pfaff', '79&amp;rsquor;|1:1|Walter Meeuws']</t>
  </si>
  <si>
    <t>['46&amp;rsquor;|0:1|Wilfried Van Moer|for Guy Vandersmissen', '62&amp;rsquor;|0:1|Gerard Plessers|for Eric Gerets']</t>
  </si>
  <si>
    <t>['67&amp;rsquor;|0:1|Sándor Sallai|for Sándor Müller', '70&amp;rsquor;|0:1|Ferenc Csongrádi']</t>
  </si>
  <si>
    <t>Jock Stein</t>
  </si>
  <si>
    <t>La Rosaleda, Malaga</t>
  </si>
  <si>
    <t>Nicolae Rainea (Referee) · Alojzy Jarguz (AR1) · Alexis Ponnet (AR2)</t>
  </si>
  <si>
    <t>Aleksandre Chivadze · 59|Ramaz Shengelia · 84</t>
  </si>
  <si>
    <t>Joe Jordan · 15|Graeme Souness · 86</t>
  </si>
  <si>
    <t>['59&amp;rsquor;|1:1|Aleksandre Chivadze', '84&amp;rsquor;|2:1|Ramaz Shengelia']</t>
  </si>
  <si>
    <t>['15&amp;rsquor;|0:1|Joe Jordan', '86&amp;rsquor;|2:2|Graeme Souness']</t>
  </si>
  <si>
    <t>['5&amp;rsquor;|0:0|Graeme Souness']</t>
  </si>
  <si>
    <t>['88&amp;rsquor;|2:2|Sergey Andreyev|for Ramaz Shengelia']</t>
  </si>
  <si>
    <t>['71&amp;rsquor;|1:1|Danny McGrain|for Gordon Strachan', '71&amp;rsquor;|1:1|Alan Brazil|for Joe Jordan']</t>
  </si>
  <si>
    <t>Tony Boskovic (Referee) · Vojtech Christov (AR1) · Ebrahim Al Doy (AR2)</t>
  </si>
  <si>
    <t>Tony Boskovic</t>
  </si>
  <si>
    <t>Walter Schachner · 55|Hans Krankl · 67</t>
  </si>
  <si>
    <t>['55&amp;rsquor;|0:1|Walter Schachner', '67&amp;rsquor;|0:2|Hans Krankl']</t>
  </si>
  <si>
    <t>['67&amp;rsquor;|0:2|Faouzi Mansouri']</t>
  </si>
  <si>
    <t>['65&amp;rsquor;|0:1|Tedj Bensaoula|for Lakhdar Belloumi', '76&amp;rsquor;|0:2|Djamel Tlemçani|for Mustapha Dahleb']</t>
  </si>
  <si>
    <t>['46&amp;rsquor;|0:0|Kurt Welzl|for Ernst Baumeister', '80&amp;rsquor;|0:2|Heribert Weber|for Herbert Prohaska']</t>
  </si>
  <si>
    <t>Miroslav Stupar (Referee) · Erik Fredriksson (AR1) · Damir Matovinovic (AR2)</t>
  </si>
  <si>
    <t>Miroslav Stupar</t>
  </si>
  <si>
    <t>Bernard Genghini · 31|Michel Platini · 43|Didier Six · 48|Maxime Bossis · 89</t>
  </si>
  <si>
    <t>Abdullah Al-Buloushi · 75</t>
  </si>
  <si>
    <t>['31&amp;rsquor;|1:0|Bernard Genghini', '43&amp;rsquor;|2:0|Michel Platini', '48&amp;rsquor;|3:0|Didier Six', '89&amp;rsquor;|4:1|Maxime Bossis']</t>
  </si>
  <si>
    <t>['75&amp;rsquor;|3:1|Abdullah Al-Buloushi']</t>
  </si>
  <si>
    <t>['68&amp;rsquor;|3:0|Manuel Amoros']</t>
  </si>
  <si>
    <t>['30&amp;rsquor;|0:0|Abdulaziz Al-Anberi', '85&amp;rsquor;|3:1|Fathi Kameel']</t>
  </si>
  <si>
    <t>['59&amp;rsquor;|3:0|Christian Lopez|for Gérard Janvion', '81&amp;rsquor;|3:1|René Girard|for Michel Platini']</t>
  </si>
  <si>
    <t>['46&amp;rsquor;|2:0|Fathi Kameel|for Mohammed Karam', '78&amp;rsquor;|3:1|Hamoud Al-Shemmari|for Waleed Al-Jasem']</t>
  </si>
  <si>
    <t>Thomson Tam Sun Chan (Referee) · Enrique Labo Revoredo (AR1) · Paolo Casarin (AR2)</t>
  </si>
  <si>
    <t>Thomson Tam Sun Chan</t>
  </si>
  <si>
    <t>Eduardo Laing · 60</t>
  </si>
  <si>
    <t>Gerry Armstrong · 9</t>
  </si>
  <si>
    <t>['60&amp;rsquor;|1:1|Eduardo Laing']</t>
  </si>
  <si>
    <t>['9&amp;rsquor;|0:1|Gerry Armstrong']</t>
  </si>
  <si>
    <t>['58&amp;rsquor;|0:1|Eduardo Laing|for Prudencio Norales']</t>
  </si>
  <si>
    <t>['66&amp;rsquor;|1:1|Noel Brotherston|for Norman Whiteside', "78&amp;rsquor;|1:1|Felix Healy|for Martin O'Neill"]</t>
  </si>
  <si>
    <t>Bruno Galler (Referee) · Vojtech Christov (AR1) · Tony Boskovic (AR2)</t>
  </si>
  <si>
    <t>Bruno Galler</t>
  </si>
  <si>
    <t>Karl-Heinz Rummenigge · 9|Karl-Heinz Rummenigge · 57|Karl-Heinz Rummenigge · 66|Uwe Reinders · 83</t>
  </si>
  <si>
    <t>Gustavo Moscoso · 90</t>
  </si>
  <si>
    <t>['9&amp;rsquor;|1:0|Karl-Heinz Rummenigge', '57&amp;rsquor;|2:0|Karl-Heinz Rummenigge', '66&amp;rsquor;|3:0|Karl-Heinz Rummenigge', '83&amp;rsquor;|4:0|Uwe Reinders']</t>
  </si>
  <si>
    <t>['90&amp;rsquor;|4:1|Gustavo Moscoso']</t>
  </si>
  <si>
    <t>['11&amp;rsquor;|1:0|Rodolfo Dubó', '29&amp;rsquor;|1:0|Miguel Ángel Gamboa']</t>
  </si>
  <si>
    <t>['61&amp;rsquor;|2:0|Lothar Matthäus|for Paul Breitner', '79&amp;rsquor;|3:0|Uwe Reinders|for Pierre Littbarski']</t>
  </si>
  <si>
    <t>['46&amp;rsquor;|1:0|Juan Carlos Letelier|for Mario Soto', '66&amp;rsquor;|3:0|Miguel Ángel Neira|for Miguel Ángel Gamboa']</t>
  </si>
  <si>
    <t>Charles Corver (Referee) · Bogdan Dotchev (AR1) · Gilberto Aristizabal Murcia (AR2)</t>
  </si>
  <si>
    <t>Trevor Francis · 62</t>
  </si>
  <si>
    <t>['62&amp;rsquor;|1:0|Trevor Francis']</t>
  </si>
  <si>
    <t>Jozef Barmoš (OG) · 66</t>
  </si>
  <si>
    <t>['40&amp;rsquor;|0:0|Pavel Chaloupka']</t>
  </si>
  <si>
    <t>['46&amp;rsquor;|0:0|Glenn Hoddle|for Bryan Robson']</t>
  </si>
  <si>
    <t>['75&amp;rsquor;|2:0|Karel Stromšík|for Stanislav Seman', '77&amp;rsquor;|2:0|Marián Masný|for Petr Janečka']</t>
  </si>
  <si>
    <t>Henning Lund-Sorensen (Referee) · Antonio Garrido (AR1) · Arturo Andres Ithurralde (AR2)</t>
  </si>
  <si>
    <t>Henning Lund-Sorensen</t>
  </si>
  <si>
    <t>Enrique Saura · 66</t>
  </si>
  <si>
    <t>Ivan Gudelj · 10</t>
  </si>
  <si>
    <t>['66&amp;rsquor;|2:1|Enrique Saura']</t>
  </si>
  <si>
    <t>['10&amp;rsquor;|0:1|Ivan Gudelj']</t>
  </si>
  <si>
    <t>Juanito (P) · 14</t>
  </si>
  <si>
    <t>['80&amp;rsquor;|2:1|Jesús María Zamora', '87&amp;rsquor;|2:1|Rafael Gordillo']</t>
  </si>
  <si>
    <t>['35&amp;rsquor;|1:1|Nenad Stojković', '78&amp;rsquor;|2:1|Edhem Šljivo']</t>
  </si>
  <si>
    <t>['63&amp;rsquor;|1:1|Enrique Saura|for José Sanchez', '63&amp;rsquor;|1:1|Quini|for Jesús María Satrústegui']</t>
  </si>
  <si>
    <t>['74&amp;rsquor;|2:1|Vahid Halilhodžić', '83&amp;rsquor;|2:1|Miloš Šestić|for Zlatko Vujović']</t>
  </si>
  <si>
    <t>Alexis Ponnet (Referee) · Walter Eschweiler (AR1) · Mario Rubio Vazquez (AR2)</t>
  </si>
  <si>
    <t>['34&amp;rsquor;|0:0|Andrzej Pałasz']</t>
  </si>
  <si>
    <t>['40&amp;rsquor;|0:0|Ibrahim Aoudou', '80&amp;rsquor;|0:0|Roger Milla']</t>
  </si>
  <si>
    <t>['25&amp;rsquor;|0:0|Andrzej Szarmach|for Andrzej Iwan', '66&amp;rsquor;|0:0|Marek Kusto|for Andrzej Pałasz']</t>
  </si>
  <si>
    <t>["46&amp;rsquor;|0:0|Jean-Pierre Tokoto|for Jacques N'Guea"]</t>
  </si>
  <si>
    <t>Yusef Mohamed El Ghoul (Referee) · Emilio Soriano Aladren (AR1) · Clive White (AR2)</t>
  </si>
  <si>
    <t>Yusef Mohamed El Ghoul</t>
  </si>
  <si>
    <t>Yuri Gavrilov · 24|Oleh Blokhin · 48|Sergei Pavlovich Baltacha · 68</t>
  </si>
  <si>
    <t>['24&amp;rsquor;|1:0|Yuri Gavrilov', '48&amp;rsquor;|2:0|Oleh Blokhin', '68&amp;rsquor;|3:0|Sergei Pavlovich Baltacha']</t>
  </si>
  <si>
    <t>['46&amp;rsquor;|1:0|Khoren Oganesian|for Vitaly Daraselia', '79&amp;rsquor;|3:0|Sergey Rodionov|for Yuri Gavrilov']</t>
  </si>
  <si>
    <t>Malcolm Moffatt (Referee) · Gaston Castro (AR1) · Alojzy Jarguz (AR2)</t>
  </si>
  <si>
    <t>Malcolm Moffatt</t>
  </si>
  <si>
    <t>Ludo Coeck · 19</t>
  </si>
  <si>
    <t>['19&amp;rsquor;|1:0|Ludo Coeck']</t>
  </si>
  <si>
    <t>['17&amp;rsquor;|0:0|Francisco Osorto', '74&amp;rsquor;|1:0|Ramón Fagoaga']</t>
  </si>
  <si>
    <t>['46&amp;rsquor;|1:0|François Van der Elst|for Guy Vandersmissen', '80&amp;rsquor;|1:0|Wilfried Van Moer|for Jan Ceulemans']</t>
  </si>
  <si>
    <t>['46&amp;rsquor;|1:0|Miguel Ángel Díaz|for Francisco Osorto']</t>
  </si>
  <si>
    <t>Walter Eschweiler (Referee) · Mario Rubio Vazquez (AR1) · Abraham Klein (AR2)</t>
  </si>
  <si>
    <t>Walter Eschweiler</t>
  </si>
  <si>
    <t>Bruno Conti · 18</t>
  </si>
  <si>
    <t>Rubén Toribio Díaz · 83</t>
  </si>
  <si>
    <t>['18&amp;rsquor;|1:0|Bruno Conti']</t>
  </si>
  <si>
    <t>['83&amp;rsquor;|1:1|Rubén Toribio Díaz']</t>
  </si>
  <si>
    <t>['52&amp;rsquor;|1:0|Marco Tardelli']</t>
  </si>
  <si>
    <t>['76&amp;rsquor;|1:0|Jaime Duarte']</t>
  </si>
  <si>
    <t>['46&amp;rsquor;|1:0|Franco Causio|for Paolo Rossi']</t>
  </si>
  <si>
    <t>['65&amp;rsquor;|1:0|Germán Leguía|for Julio César Uribe', '65&amp;rsquor;|1:0|Guillermo La Rosa|for Gerónimo Barbadillo']</t>
  </si>
  <si>
    <t>Jesus Paulino Siles (Referee) · Thomson Tam Sun Chan (AR1) · Adolf Prokop (AR2)</t>
  </si>
  <si>
    <t>Zico · 33|Oscar · 48|Éder Aleixo de Assis · 63|Paulo Roberto Falcão · 87</t>
  </si>
  <si>
    <t>David Narey · 18</t>
  </si>
  <si>
    <t>['33&amp;rsquor;|1:1|Zico', '48&amp;rsquor;|2:1|Oscar', '63&amp;rsquor;|3:1|Éder Aleixo de Assis', '87&amp;rsquor;|4:1|Paulo Roberto Falcão']</t>
  </si>
  <si>
    <t>['18&amp;rsquor;|0:1|David Narey']</t>
  </si>
  <si>
    <t>['80&amp;rsquor;|3:1|Paulo Isidoro']</t>
  </si>
  <si>
    <t>['65&amp;rsquor;|3:1|Kenny Dalglish|for Gordon Strachan', '68&amp;rsquor;|3:1|Alex McLeish|for Asa Hartford']</t>
  </si>
  <si>
    <t>Belaid Lacarne (Referee) · Michel Vautrot (AR1) · Nicolae Rainea (AR2)</t>
  </si>
  <si>
    <t>Belaid Lacarne</t>
  </si>
  <si>
    <t>Daniel Bertoni · 26|Diego Maradona · 28|Diego Maradona · 57|Osvaldo Ardiles · 60</t>
  </si>
  <si>
    <t>Gábor Pölöskei · 76</t>
  </si>
  <si>
    <t>['26&amp;rsquor;|1:0|Daniel Bertoni', '28&amp;rsquor;|2:0|Diego Maradona', '57&amp;rsquor;|3:0|Diego Maradona', '60&amp;rsquor;|4:0|Osvaldo Ardiles']</t>
  </si>
  <si>
    <t>['76&amp;rsquor;|4:1|Gábor Pölöskei']</t>
  </si>
  <si>
    <t>['24&amp;rsquor;|0:0|Gabriel Calderón|for Jorge Valdano', '51&amp;rsquor;|2:0|Juan Barbas|for Alberto Tarantini']</t>
  </si>
  <si>
    <t>['46&amp;rsquor;|2:0|László Fazekas|for Győző Martos', '61&amp;rsquor;|4:0|Lázár Szentes|for László Kiss']</t>
  </si>
  <si>
    <t>Juan Cardellino De San Vicente (Referee) · Paolo Casarin (AR1) · Gilberto Aristizabal Murcia (AR2)</t>
  </si>
  <si>
    <t>Walter Schachner · 22</t>
  </si>
  <si>
    <t>['22&amp;rsquor;|0:1|Walter Schachner']</t>
  </si>
  <si>
    <t>['29&amp;rsquor;|0:1|Lizardo Garrido']</t>
  </si>
  <si>
    <t>['12&amp;rsquor;|0:0|Josef Degeorgi', '66&amp;rsquor;|0:1|Roland Hattenberger']</t>
  </si>
  <si>
    <t>['69&amp;rsquor;|0:1|Miguel Ángel Gamboa|for Gustavo Moscoso', '71&amp;rsquor;|0:1|Manuel Rojas|for Miguel Ángel Neira']</t>
  </si>
  <si>
    <t>['78&amp;rsquor;|0:1|Ernst Baumeister', '79&amp;rsquor;|0:1|Gernot Jurtin|for Heribert Weber']</t>
  </si>
  <si>
    <t>Benjamin Dwomoh (Referee) · Romulo Mendez Molina (AR1) · Robert Valentine (AR2)</t>
  </si>
  <si>
    <t>Benjamin Dwomoh</t>
  </si>
  <si>
    <t>Faisal Al-Dakhil · 57</t>
  </si>
  <si>
    <t>['57&amp;rsquor;|1:1|Faisal Al-Dakhil']</t>
  </si>
  <si>
    <t>Antonín Panenka (P) · 21</t>
  </si>
  <si>
    <t>['61&amp;rsquor;|1:1|Přemysl Bičovský|for Tomáš Kříž', '68&amp;rsquor;|1:1|Vlastimil Petržela|for Petr Janečka']</t>
  </si>
  <si>
    <t>['57&amp;rsquor;|1:1|Fathi Kameel|for Mohammed Karam']</t>
  </si>
  <si>
    <t>Erik Fredriksson (Referee) · Bruno Galler (AR1) · Karoly Palotai (AR2)</t>
  </si>
  <si>
    <t>['1&amp;rsquor;|0:0|Norman Whiteside']</t>
  </si>
  <si>
    <t>Antonio Garrido (Referee) · Gaston Castro (AR1) · Arnaldo Coelho (AR2)</t>
  </si>
  <si>
    <t>Bryan Robson · 1|Bryan Robson · 67|Paul Mariner · 83</t>
  </si>
  <si>
    <t>Gérard Soler · 24</t>
  </si>
  <si>
    <t>['1&amp;rsquor;|1:0|Bryan Robson', '67&amp;rsquor;|2:1|Bryan Robson', '83&amp;rsquor;|3:1|Paul Mariner']</t>
  </si>
  <si>
    <t>['24&amp;rsquor;|1:1|Gérard Soler']</t>
  </si>
  <si>
    <t>['34&amp;rsquor;|1:1|Terry Butcher']</t>
  </si>
  <si>
    <t>['90&amp;rsquor;|3:1|Phil Neal|for Kenny Sansom']</t>
  </si>
  <si>
    <t>['71&amp;rsquor;|2:1|Didier Six|for Dominique Rocheteau', '74&amp;rsquor;|2:1|Jean Tigana|for Jean-François Larios']</t>
  </si>
  <si>
    <t>Enrique Labo Revoredo (Referee) · Gilberto Aristizabal Murcia (AR1) · Paolo Casarin (AR2)</t>
  </si>
  <si>
    <t>Enrique Labo Revoredo</t>
  </si>
  <si>
    <t>Karl-Heinz Rummenigge · 67</t>
  </si>
  <si>
    <t>Rabah Madjer · 54|Lakhdar Belloumi · 68</t>
  </si>
  <si>
    <t>['67&amp;rsquor;|1:1|Karl-Heinz Rummenigge']</t>
  </si>
  <si>
    <t>['54&amp;rsquor;|0:1|Rabah Madjer', '68&amp;rsquor;|1:2|Lakhdar Belloumi']</t>
  </si>
  <si>
    <t>['57&amp;rsquor;|0:1|Horst Hrubesch']</t>
  </si>
  <si>
    <t>['83&amp;rsquor;|1:2|Rabah Madjer']</t>
  </si>
  <si>
    <t>['83&amp;rsquor;|1:2|Klaus Fischer|for Felix Magath']</t>
  </si>
  <si>
    <t>['64&amp;rsquor;|0:1|Tedj Bensaoula|for Djamel Zidane', '88&amp;rsquor;|1:2|Salah Larbès|for Rabah Madjer']</t>
  </si>
  <si>
    <t>Arturo Andres Ithurralde (Referee) · Bogdan Dotchev (AR1) · Luis Barrancos (AR2)</t>
  </si>
  <si>
    <t>Arturo Andres Ithurralde</t>
  </si>
  <si>
    <t>Héctor Zelaya · 7</t>
  </si>
  <si>
    <t>['7&amp;rsquor;|0:1|Héctor Zelaya']</t>
  </si>
  <si>
    <t>Roberto López Ufarte (P) · 65</t>
  </si>
  <si>
    <t>['46&amp;rsquor;|0:1|Enrique Saura|for Joaquín', '46&amp;rsquor;|0:1|José Sanchez|for Juanito']</t>
  </si>
  <si>
    <t>['69&amp;rsquor;|1:1|Carlos Orlando Caballero|for Prudencio Norales']</t>
  </si>
  <si>
    <t>Franz Woehrer (Referee) · Nicolae Rainea (AR1) · Adolf Prokop (AR2)</t>
  </si>
  <si>
    <t>Franz Woehrer</t>
  </si>
  <si>
    <t>["80&amp;rsquor;|0:0|Thomas N'Kono"]</t>
  </si>
  <si>
    <t>['57&amp;rsquor;|0:0|Gerónimo Barbadillo|for Teófilo Cubillas', '57&amp;rsquor;|0:0|Guillermo La Rosa|for Germán Leguía']</t>
  </si>
  <si>
    <t>["73&amp;rsquor;|0:0|Paul Bahoken|for Jacques N'Guea", '89&amp;rsquor;|0:0|Jean-Pierre Tokoto|for Roger Milla']</t>
  </si>
  <si>
    <t>Ebrahim Al Doy (Referee) · Charles Corver (AR1) · Henning Lund-Sorensen (AR2)</t>
  </si>
  <si>
    <t>10–1 </t>
  </si>
  <si>
    <t>Ebrahim Al Doy</t>
  </si>
  <si>
    <t>Tibor Nyilasi · 4|Gábor Pölöskei · 11|László Fazekas · 23|József Tóth · 50|László Fazekas · 54|László Kiss · 69|Lázár Szentes · 70|László Kiss · 72|László Kiss · 76|Tibor Nyilasi · 83</t>
  </si>
  <si>
    <t>Luis Ramírez Zapata · 64</t>
  </si>
  <si>
    <t>['4&amp;rsquor;|1:0|Tibor Nyilasi', '11&amp;rsquor;|2:0|Gábor Pölöskei', '23&amp;rsquor;|3:0|László Fazekas', '50&amp;rsquor;|4:0|József Tóth', '54&amp;rsquor;|5:0|László Fazekas', '69&amp;rsquor;|6:1|László Kiss', '70&amp;rsquor;|7:1|Lázár Szentes', '72&amp;rsquor;|8:1|László Kiss', '76&amp;rsquor;|9:1|László Kiss', '83&amp;rsquor;|10:1|Tibor Nyilasi']</t>
  </si>
  <si>
    <t>['64&amp;rsquor;|5:1|Luis Ramírez Zapata']</t>
  </si>
  <si>
    <t>['1&amp;rsquor;|0:0|Tibor Nyilasi', '32&amp;rsquor;|3:0|László Fazekas']</t>
  </si>
  <si>
    <t>['56&amp;rsquor;|5:0|László Kiss|for András Törőcsik', '68&amp;rsquor;|5:1|Lázár Szentes|for Sándor Müller']</t>
  </si>
  <si>
    <t>['26&amp;rsquor;|3:0|Luis Ramírez Zapata|for José Luis Rugamas', '79&amp;rsquor;|9:1|Ramón Fagoaga']</t>
  </si>
  <si>
    <t>Danny McGrain</t>
  </si>
  <si>
    <t>David Socha (Referee) · Thomson Tam Sun Chan (AR1) · Yusef Mohamed El Ghoul (AR2)</t>
  </si>
  <si>
    <t>Kenny Dalglish · 18|John Wark · 29|John Wark · 32|John Robertson · 73|Steve Archibald · 79</t>
  </si>
  <si>
    <t>Steve Sumner · 54|Steve Wooddin · 64</t>
  </si>
  <si>
    <t>['18&amp;rsquor;|1:0|Kenny Dalglish', '29&amp;rsquor;|2:0|John Wark', '32&amp;rsquor;|3:0|John Wark', '73&amp;rsquor;|4:2|John Robertson', '79&amp;rsquor;|5:2|Steve Archibald']</t>
  </si>
  <si>
    <t>['54&amp;rsquor;|3:1|Steve Sumner', '64&amp;rsquor;|3:2|Steve Wooddin']</t>
  </si>
  <si>
    <t>['53&amp;rsquor;|3:0|Steve Archibald|for Alan Brazil', '83&amp;rsquor;|5:2|David Narey|for Gordon Strachan']</t>
  </si>
  <si>
    <t>['66&amp;rsquor;|3:2|Ricki Herbert|for Bobby Almond', '77&amp;rsquor;|4:2|Duncan Cole|for Sam Malcolmson']</t>
  </si>
  <si>
    <t>Michel Vautrot (Referee) · Adolf Prokop (AR1) · Nicolae Rainea (AR2)</t>
  </si>
  <si>
    <t>['1&amp;rsquor;|0:0|Gianpiero Marini', '47&amp;rsquor;|0:0|Gaetano Scirea']</t>
  </si>
  <si>
    <t>['10&amp;rsquor;|0:0|Zbigniew Boniek']</t>
  </si>
  <si>
    <t>['72&amp;rsquor;|0:0|Marek Kusto|for Andrzej Iwan']</t>
  </si>
  <si>
    <t>Augusto Lamo Castillo (Referee) · Victoriano Sanchez Arminio (AR1) · Jose L. Garcia Carrion (AR2)</t>
  </si>
  <si>
    <t>Augusto Lamo Castillo</t>
  </si>
  <si>
    <t>Sócrates · 75|Éder Aleixo de Assis · 88</t>
  </si>
  <si>
    <t>Andriy Bal · 34</t>
  </si>
  <si>
    <t>['75&amp;rsquor;|1:1|Sócrates', '88&amp;rsquor;|2:1|Éder Aleixo de Assis']</t>
  </si>
  <si>
    <t>['34&amp;rsquor;|0:1|Andriy Bal']</t>
  </si>
  <si>
    <t>['46&amp;rsquor;|0:1|Paulo Isidoro|for Dirceu']</t>
  </si>
  <si>
    <t>['74&amp;rsquor;|0:1|Yuri Susloparov|for Yuri Gavrilov', '88&amp;rsquor;|2:1|Sergey Andreyev|for Ramaz Shengelia']</t>
  </si>
  <si>
    <t>Vojtech Christov (Referee) · Karoly Palotai (AR1) · Alojzy Jarguz (AR2)</t>
  </si>
  <si>
    <t>Erwin Vandenbergh · 62</t>
  </si>
  <si>
    <t>['62&amp;rsquor;|0:1|Erwin Vandenbergh']</t>
  </si>
  <si>
    <t>['55&amp;rsquor;|0:0|Daniel Bertoni']</t>
  </si>
  <si>
    <t>['50&amp;rsquor;|0:0|Luc Millecamps']</t>
  </si>
  <si>
    <t>['63&amp;rsquor;|0:1|Jorge Valdano|for Ramón Díaz']</t>
  </si>
  <si>
    <t>Ernst Happel</t>
  </si>
  <si>
    <t>Ruud Krol</t>
  </si>
  <si>
    <t>El Monumental - Estadio Monumental Antonio Vespuci, Buenos Aires</t>
  </si>
  <si>
    <t>Sergio Gonella (Referee) · Ramon Barreto Ruiz (AR1) · Erich Linemayr (AR2)</t>
  </si>
  <si>
    <t>Sergio Gonella</t>
  </si>
  <si>
    <t>Mario Kempes · 38|Mario Kempes · 105|Daniel Bertoni · 115</t>
  </si>
  <si>
    <t>Dick Nanninga · 82</t>
  </si>
  <si>
    <t>['38&amp;rsquor;|1:0|Mario Kempes', '105&amp;rsquor;|2:1|Mario Kempes', '115&amp;rsquor;|3:1|Daniel Bertoni']</t>
  </si>
  <si>
    <t>['82&amp;rsquor;|1:1|Dick Nanninga']</t>
  </si>
  <si>
    <t>['40&amp;rsquor;|1:0|Osvaldo Ardiles', '93&amp;rsquor;|1:1|Omar Larrosa']</t>
  </si>
  <si>
    <t>['15&amp;rsquor;|0:0|Ruud Krol', '94&amp;rsquor;|1:1|Wim Suurbier', '96&amp;rsquor;|1:1|Johan Neeskens']</t>
  </si>
  <si>
    <t>['65&amp;rsquor;|1:0|Omar Larrosa|for Osvaldo Ardiles', '74&amp;rsquor;|1:0|René Houseman|for Oscar Alberto Ortiz']</t>
  </si>
  <si>
    <t>['59&amp;rsquor;|1:0|Dick Nanninga|for Johnny Rep', '72&amp;rsquor;|1:0|Wim Suurbier|for Wim Jansen']</t>
  </si>
  <si>
    <t>Claudio Coutinho</t>
  </si>
  <si>
    <t>Émerson Leão</t>
  </si>
  <si>
    <t>Abraham Klein (Referee) · Alfonso Gonzalez Archundia (AR1) · Karoly Palotai (AR2)</t>
  </si>
  <si>
    <t>Nelinho · 64|Dirceu · 72</t>
  </si>
  <si>
    <t>Franco Causio · 38</t>
  </si>
  <si>
    <t>['64&amp;rsquor;|1:1|Nelinho', '72&amp;rsquor;|2:1|Dirceu']</t>
  </si>
  <si>
    <t>['38&amp;rsquor;|0:1|Franco Causio']</t>
  </si>
  <si>
    <t>['35&amp;rsquor;|0:0|Nelinho', '44&amp;rsquor;|0:1|João Batista da Silva']</t>
  </si>
  <si>
    <t>['72&amp;rsquor;|2:1|Claudio Gentile']</t>
  </si>
  <si>
    <t>['46&amp;rsquor;|0:1|José Reinaldo de Lima|for Gilberto Alves', '64&amp;rsquor;|1:1|Rivellino|for Toninho Cerezo']</t>
  </si>
  <si>
    <t>['78&amp;rsquor;|2:1|Claudio Sala|for Giancarlo Antognoni']</t>
  </si>
  <si>
    <t>Angel Martinez (Referee) · Luis Pestarino (AR1) · Cesar Orozco Guerrero (AR2)</t>
  </si>
  <si>
    <t>Second round</t>
  </si>
  <si>
    <t>Angel Martinez</t>
  </si>
  <si>
    <t>Ernie Brandts · 50|Arie Haan · 75</t>
  </si>
  <si>
    <t>['50&amp;rsquor;|1:1|Ernie Brandts', '75&amp;rsquor;|2:1|Arie Haan']</t>
  </si>
  <si>
    <t>Ernie Brandts (OG) · 18</t>
  </si>
  <si>
    <t>['35&amp;rsquor;|0:1|Johnny Rep', '50&amp;rsquor;|1:1|Arie Haan']</t>
  </si>
  <si>
    <t>['40&amp;rsquor;|0:1|Romeo Benetti', '65&amp;rsquor;|1:1|Antonio Cabrini', '70&amp;rsquor;|1:1|Marco Tardelli']</t>
  </si>
  <si>
    <t>['21&amp;rsquor;|0:1|Jan Jongbloed|for Piet Schrijvers', '65&amp;rsquor;|1:1|Adrie van Kraay|for Johnny Rep']</t>
  </si>
  <si>
    <t>['46&amp;rsquor;|0:1|Claudio Sala|for Franco Causio', '77&amp;rsquor;|2:1|Francesco Graziani|for Romeo Benetti']</t>
  </si>
  <si>
    <t>Helmut Senekowitsch</t>
  </si>
  <si>
    <t>Robert Sara</t>
  </si>
  <si>
    <t>Helmut Schoen</t>
  </si>
  <si>
    <t>Estadio Olï¿½mpico Chateau Carreras, Cordoba</t>
  </si>
  <si>
    <t>Abraham Klein (Referee) · Alojzy Jarguz (AR1) · Antonio Garrido (AR2)</t>
  </si>
  <si>
    <t>Hans Krankl · 66|Hans Krankl · 87</t>
  </si>
  <si>
    <t>Karl-Heinz Rummenigge · 19|Bernd Hölzenbein · 68</t>
  </si>
  <si>
    <t>['66&amp;rsquor;|2:1|Hans Krankl', '87&amp;rsquor;|3:2|Hans Krankl']</t>
  </si>
  <si>
    <t>['19&amp;rsquor;|0:1|Karl-Heinz Rummenigge', '68&amp;rsquor;|2:2|Bernd Hölzenbein']</t>
  </si>
  <si>
    <t>Berti Vogts (OG) · 59</t>
  </si>
  <si>
    <t>['1&amp;rsquor;|0:0|Robert Sara', '1&amp;rsquor;|0:0|Herbert Prohaska']</t>
  </si>
  <si>
    <t>['1&amp;rsquor;|0:0|Rüdiger Abramczik']</t>
  </si>
  <si>
    <t>['71&amp;rsquor;|2:2|Franz Oberacher|for Walter Schachner']</t>
  </si>
  <si>
    <t>['46&amp;rsquor;|0:1|Hansi Müller|for Erich Beer', '60&amp;rsquor;|1:1|Klaus Fischer|for Dieter Müller']</t>
  </si>
  <si>
    <t>Jacek Gmoch</t>
  </si>
  <si>
    <t>Kazimierz Deyna</t>
  </si>
  <si>
    <t>San Martin, Mendoza</t>
  </si>
  <si>
    <t>Juan Silvagno Cavanna (Referee) · Anatoly Ivanov (AR1) · Alfonso Gonzalez Archundia (AR2)</t>
  </si>
  <si>
    <t>Juan Silvagno Cavanna</t>
  </si>
  <si>
    <t>Nelinho · 12|Roberto Dinamite · 57|Roberto Dinamite · 63</t>
  </si>
  <si>
    <t>Grzegorz Lato · 45</t>
  </si>
  <si>
    <t>['12&amp;rsquor;|1:0|Nelinho', '57&amp;rsquor;|2:1|Roberto Dinamite', '63&amp;rsquor;|3:1|Roberto Dinamite']</t>
  </si>
  <si>
    <t>['45&amp;rsquor;|1:1|Grzegorz Lato']</t>
  </si>
  <si>
    <t>['50&amp;rsquor;|1:1|Jorge Mendonça', '53&amp;rsquor;|1:1|Toninho Cerezo']</t>
  </si>
  <si>
    <t>['7&amp;rsquor;|0:0|Jorge Mendonça|for Zico', '77&amp;rsquor;|3:1|Rivellino|for Toninho Cerezo']</t>
  </si>
  <si>
    <t>['64&amp;rsquor;|3:1|Włodzimierz Lubański']</t>
  </si>
  <si>
    <t>Marcos Calderon</t>
  </si>
  <si>
    <t>Héctor Chumpitaz</t>
  </si>
  <si>
    <t>Arroyito - Estadio Dr. Lisandro de la Torre, Rosario</t>
  </si>
  <si>
    <t>Robert Wurtz (Referee) · Ferdinand Biwersi (AR1) · Sergio Gonella (AR2)</t>
  </si>
  <si>
    <t>Robert Wurtz</t>
  </si>
  <si>
    <t>Mario Kempes · 21|Alberto Tarantini · 43|Mario Kempes · 48|Leopoldo Luque · 50|René Houseman · 67|Leopoldo Luque · 72</t>
  </si>
  <si>
    <t>['21&amp;rsquor;|1:0|Mario Kempes', '43&amp;rsquor;|2:0|Alberto Tarantini', '48&amp;rsquor;|3:0|Mario Kempes', '50&amp;rsquor;|4:0|Leopoldo Luque', '67&amp;rsquor;|5:0|René Houseman', '72&amp;rsquor;|6:0|Leopoldo Luque']</t>
  </si>
  <si>
    <t>['1&amp;rsquor;|0:0|José Velásquez', '1&amp;rsquor;|0:0|Alfredo Quesada']</t>
  </si>
  <si>
    <t>['64&amp;rsquor;|4:0|René Houseman', '85&amp;rsquor;|6:0|Miguel Oviedo|for Américo Gallego']</t>
  </si>
  <si>
    <t>['51&amp;rsquor;|4:0|Raúl Gorriti|for José Velásquez']</t>
  </si>
  <si>
    <t>Pat Partridge (Referee) · Thomas Clive (AR1) · Charles Corver (AR2)</t>
  </si>
  <si>
    <t>Pat Partridge</t>
  </si>
  <si>
    <t>Andrzej Szarmach · 65</t>
  </si>
  <si>
    <t>['65&amp;rsquor;|1:0|Andrzej Szarmach']</t>
  </si>
  <si>
    <t>['1&amp;rsquor;|0:0|Zbigniew Boniek', '1&amp;rsquor;|0:0|Jerzy Gorgoń']</t>
  </si>
  <si>
    <t>['1&amp;rsquor;|0:0|Rodolfo Manzo', '89&amp;rsquor;|1:0|Ramón Quiroga']</t>
  </si>
  <si>
    <t>['46&amp;rsquor;|0:0|Henryk Kasperczak|for Bohdan Masztaler', '86&amp;rsquor;|1:0|Włodzimierz Lubański|for Zbigniew Boniek']</t>
  </si>
  <si>
    <t>['46&amp;rsquor;|0:0|Percy Rojas|for Juan José Muñante', '74&amp;rsquor;|1:0|Hugo Sotil']</t>
  </si>
  <si>
    <t>Ramon Barreto Ruiz (Referee) · Miguel Comesana (AR1) · Arnaldo Coelho (AR2)</t>
  </si>
  <si>
    <t>Ramon Barreto Ruiz</t>
  </si>
  <si>
    <t>Rüdiger Abramczik · 3|Dieter Müller · 70</t>
  </si>
  <si>
    <t>Arie Haan · 27|René van de Kerkhof · 84</t>
  </si>
  <si>
    <t>['3&amp;rsquor;|1:0|Rüdiger Abramczik', '70&amp;rsquor;|2:1|Dieter Müller']</t>
  </si>
  <si>
    <t>['27&amp;rsquor;|1:1|Arie Haan', '84&amp;rsquor;|2:2|René van de Kerkhof']</t>
  </si>
  <si>
    <t>Dick Nanninga · 88</t>
  </si>
  <si>
    <t>['1&amp;rsquor;|0:0|Sepp Maier']</t>
  </si>
  <si>
    <t>['1&amp;rsquor;|0:0|Dick Nanninga', '6&amp;rsquor;|1:0|Willy van de Kerkhof']</t>
  </si>
  <si>
    <t>['79&amp;rsquor;|2:1|Dick Nanninga|for Piet Wildschut']</t>
  </si>
  <si>
    <t>Francis Rion (Referee) · Norberto Angel Coerezza (AR1) · Youssou Ndiaye (AR2)</t>
  </si>
  <si>
    <t>Francis Rion</t>
  </si>
  <si>
    <t>Paolo Rossi · 14</t>
  </si>
  <si>
    <t>['14&amp;rsquor;|1:0|Paolo Rossi']</t>
  </si>
  <si>
    <t>['46&amp;rsquor;|1:0|Antonello Cuccureddu|for Mauro Bellugi', '72&amp;rsquor;|1:0|Francesco Graziani|for Roberto Bettega']</t>
  </si>
  <si>
    <t>['63&amp;rsquor;|1:0|Hans Pirkner|for Walter Schachner']</t>
  </si>
  <si>
    <t>Karoly Palotai (Referee) · Erich Linemayr (AR1) · Adolf Prokop (AR2)</t>
  </si>
  <si>
    <t>['1&amp;rsquor;|0:0|Ricardo Villa']</t>
  </si>
  <si>
    <t>['1&amp;rsquor;|0:0|Edinho', '1&amp;rsquor;|0:0|Zico', '1&amp;rsquor;|0:0|Chicão']</t>
  </si>
  <si>
    <t>['46&amp;rsquor;|0:0|Ricardo Villa|for Osvaldo Ardiles', '60&amp;rsquor;|0:0|Norberto Alonso']</t>
  </si>
  <si>
    <t>['34&amp;rsquor;|0:0|Edinho|for José Rodrigues Neto', '67&amp;rsquor;|0:0|Zico|for Jorge Mendonça']</t>
  </si>
  <si>
    <t>John Gordon (Referee) · Arturo Andres Ithurralde (AR1) · Farouk Bouzo (AR2)</t>
  </si>
  <si>
    <t>John Gordon</t>
  </si>
  <si>
    <t>Ernie Brandts · 6|Johnny Rep · 36|Johnny Rep · 53|Willy van de Kerkhof · 82</t>
  </si>
  <si>
    <t>Erich Obermayer · 79</t>
  </si>
  <si>
    <t>['6&amp;rsquor;|1:0|Ernie Brandts', '36&amp;rsquor;|3:0|Johnny Rep', '53&amp;rsquor;|4:0|Johnny Rep', '82&amp;rsquor;|5:1|Willy van de Kerkhof']</t>
  </si>
  <si>
    <t>['79&amp;rsquor;|4:1|Erich Obermayer']</t>
  </si>
  <si>
    <t>Rob Rensenbrink (P) · 35</t>
  </si>
  <si>
    <t>['60&amp;rsquor;|4:0|Dick Schoenaker|for René van de Kerkhof', '66&amp;rsquor;|4:0|Adrie van Kraay|for Ernie Brandts']</t>
  </si>
  <si>
    <t>Dusan Maksimovic (Referee) · Alfonso Gonzalez Archundia (AR1) · Miguel Comesana (AR2)</t>
  </si>
  <si>
    <t>Dusan Maksimovic</t>
  </si>
  <si>
    <t>['53&amp;rsquor;|0:0|Harald Konopka|for Herbert Zimmermann', '68&amp;rsquor;|0:0|Erich Beer|for Heinz Flohe']</t>
  </si>
  <si>
    <t>['46&amp;rsquor;|0:0|Renato Zaccarelli|for Giancarlo Antognoni']</t>
  </si>
  <si>
    <t>Nicolae Rainea (Referee) · Jean Dubach (AR1) · Werner Winsemann (AR2)</t>
  </si>
  <si>
    <t>Dirceu · 15|Dirceu · 28</t>
  </si>
  <si>
    <t>['15&amp;rsquor;|1:0|Dirceu', '28&amp;rsquor;|2:0|Dirceu']</t>
  </si>
  <si>
    <t>Zico (P) · 73</t>
  </si>
  <si>
    <t>['80&amp;rsquor;|3:0|Roberto Dinamite']</t>
  </si>
  <si>
    <t>['75&amp;rsquor;|3:0|José Velásquez']</t>
  </si>
  <si>
    <t>['70&amp;rsquor;|2:0|Zico|for Gilberto Alves', '76&amp;rsquor;|3:0|Chicão|for Antônio Dias dos Santos']</t>
  </si>
  <si>
    <t>['11&amp;rsquor;|0:0|José Navarro|for Rubén Toribio Díaz', '46&amp;rsquor;|2:0|Percy Rojas|for Juan Carlos Oblitas']</t>
  </si>
  <si>
    <t>Ulf Eriksson (Referee) · Jafar Namdar (AR1) · Tesfaye Gebreyesus Difue (AR2)</t>
  </si>
  <si>
    <t>Ulf Eriksson</t>
  </si>
  <si>
    <t>Mario Kempes · 16|Mario Kempes · 71</t>
  </si>
  <si>
    <t>['16&amp;rsquor;|1:0|Mario Kempes', '71&amp;rsquor;|2:0|Mario Kempes']</t>
  </si>
  <si>
    <t>['80&amp;rsquor;|2:0|Américo Gallego']</t>
  </si>
  <si>
    <t>['75&amp;rsquor;|2:0|Henryk Maculewicz']</t>
  </si>
  <si>
    <t>['46&amp;rsquor;|1:0|Ricardo Villa|for José Daniel Valencia', '83&amp;rsquor;|2:0|Oscar Alberto Ortiz']</t>
  </si>
  <si>
    <t>['64&amp;rsquor;|1:0|Włodzimierz Mazur|for Bohdan Masztaler']</t>
  </si>
  <si>
    <t>Estadio Josï¿½ Marï¿½a Minella, Mar Del Plata</t>
  </si>
  <si>
    <t>Robert Wurtz (Referee) · Farouk Bouzo (AR1) · Tesfaye Gebreyesus Difue (AR2)</t>
  </si>
  <si>
    <t>First round</t>
  </si>
  <si>
    <t>Roberto Dinamite · 40</t>
  </si>
  <si>
    <t>['40&amp;rsquor;|1:0|Roberto Dinamite']</t>
  </si>
  <si>
    <t>['71&amp;rsquor;|1:0|Chicão|for Toninho Cerezo', '84&amp;rsquor;|1:0|Zico|for Jorge Mendonça']</t>
  </si>
  <si>
    <t>['61&amp;rsquor;|1:0|Heribert Weber|for Josef Hickersberger', '84&amp;rsquor;|1:0|Günther Happich|for Eduard Krieger']</t>
  </si>
  <si>
    <t>Ladislao Kubala</t>
  </si>
  <si>
    <t>Juan Manuel Asensi</t>
  </si>
  <si>
    <t>Georg Ericson</t>
  </si>
  <si>
    <t>Björn Nordqvist</t>
  </si>
  <si>
    <t>Jose Amalfitani, Buenos Aires</t>
  </si>
  <si>
    <t>Ferdinand Biwersi (Referee) · Arturo Andres Ithurralde (AR1) · Adolf Prokop (AR2)</t>
  </si>
  <si>
    <t>Ferdinand Biwersi</t>
  </si>
  <si>
    <t>Juan Manuel Asensi · 75</t>
  </si>
  <si>
    <t>['75&amp;rsquor;|1:0|Juan Manuel Asensi']</t>
  </si>
  <si>
    <t>['37&amp;rsquor;|0:0|Hasse Borg']</t>
  </si>
  <si>
    <t>['46&amp;rsquor;|0:0|Pirri|for Antonio Olmo']</t>
  </si>
  <si>
    <t>['59&amp;rsquor;|0:0|Benny Wendt|for Ralf Edström', '66&amp;rsquor;|0:0|Anders Linderoth|for Thomas Sjöberg']</t>
  </si>
  <si>
    <t>Heshmat Mohadjerani</t>
  </si>
  <si>
    <t>Ali Parvin</t>
  </si>
  <si>
    <t>Alojzy Jarguz (Referee) · Dusan Maksimovic (AR1) · Werner Winsemann (AR2)</t>
  </si>
  <si>
    <t>José Velásquez · 2|Teófilo Cubillas · 79</t>
  </si>
  <si>
    <t>Hassan Rowshan · 41</t>
  </si>
  <si>
    <t>['2&amp;rsquor;|1:0|José Velásquez', '79&amp;rsquor;|4:1|Teófilo Cubillas']</t>
  </si>
  <si>
    <t>['41&amp;rsquor;|3:1|Hassan Rowshan']</t>
  </si>
  <si>
    <t>Teófilo Cubillas (P) · 36|Teófilo Cubillas (P) · 39</t>
  </si>
  <si>
    <t>['60&amp;rsquor;|3:1|Hassan Nazari']</t>
  </si>
  <si>
    <t>['60&amp;rsquor;|3:1|Hugo Sotil|for Guillermo La Rosa', '67&amp;rsquor;|3:1|Germán Leguía|for Rodolfo Manzo']</t>
  </si>
  <si>
    <t>['51&amp;rsquor;|3:1|Ghafour Jahani|for Hossein Faraki', '66&amp;rsquor;|3:1|Behtash Fariba|for Hassan Rowshan']</t>
  </si>
  <si>
    <t>Alistair Macleod</t>
  </si>
  <si>
    <t>Bruce Rioch</t>
  </si>
  <si>
    <t>Erich Linemayr (Referee) · Karoly Palotai (AR1) · Hedi Seoudi (AR2)</t>
  </si>
  <si>
    <t>Erich Linemayr</t>
  </si>
  <si>
    <t>Kenny Dalglish · 44|Archie Gemmill · 68</t>
  </si>
  <si>
    <t>Johnny Rep · 71</t>
  </si>
  <si>
    <t>['44&amp;rsquor;|1:1|Kenny Dalglish', '68&amp;rsquor;|3:1|Archie Gemmill']</t>
  </si>
  <si>
    <t>['71&amp;rsquor;|3:2|Johnny Rep']</t>
  </si>
  <si>
    <t>Archie Gemmill (P) · 47</t>
  </si>
  <si>
    <t>Rob Rensenbrink (P) · 34</t>
  </si>
  <si>
    <t>['1&amp;rsquor;|0:0|Archie Gemmill']</t>
  </si>
  <si>
    <t>['10&amp;rsquor;|0:0|Johan Boskamp|for Johan Neeskens', '44&amp;rsquor;|1:1|Piet Wildschut|for Wim Rijsbergen']</t>
  </si>
  <si>
    <t>Lajos Baroti</t>
  </si>
  <si>
    <t>Zoltán Kereki</t>
  </si>
  <si>
    <t>Arnaldo Coelho (Referee) · Pat Partridge (AR1) · Juan Silvagno Cavanna (AR2)</t>
  </si>
  <si>
    <t>Christian Lopez · 22|Marc Berdoll · 37|Dominique Rocheteau · 42</t>
  </si>
  <si>
    <t>Sándor Zombori · 41</t>
  </si>
  <si>
    <t>['22&amp;rsquor;|1:0|Christian Lopez', '37&amp;rsquor;|2:0|Marc Berdoll', '42&amp;rsquor;|3:1|Dominique Rocheteau']</t>
  </si>
  <si>
    <t>['41&amp;rsquor;|2:1|Sándor Zombori']</t>
  </si>
  <si>
    <t>['46&amp;rsquor;|3:1|Michel Platini|for Claude Papi', '75&amp;rsquor;|3:1|Didier Six']</t>
  </si>
  <si>
    <t>['73&amp;rsquor;|3:1|Károly Csapó|for László Nagy']</t>
  </si>
  <si>
    <t>Jose Roca</t>
  </si>
  <si>
    <t>Arturo Vázquez Ayala</t>
  </si>
  <si>
    <t>Jafar Namdar (Referee) · Ulf Eriksson (AR1) · Charles Corver (AR2)</t>
  </si>
  <si>
    <t>Jafar Namdar</t>
  </si>
  <si>
    <t>Zbigniew Boniek · 43|Kazimierz Deyna · 56|Zbigniew Boniek · 84</t>
  </si>
  <si>
    <t>Víctor Rangel · 52</t>
  </si>
  <si>
    <t>['43&amp;rsquor;|1:0|Zbigniew Boniek', '56&amp;rsquor;|2:1|Kazimierz Deyna', '84&amp;rsquor;|3:1|Zbigniew Boniek']</t>
  </si>
  <si>
    <t>['52&amp;rsquor;|1:1|Víctor Rangel']</t>
  </si>
  <si>
    <t>['76&amp;rsquor;|2:1|Włodzimierz Lubański|for Andrzej Iwan', '84&amp;rsquor;|3:1|Henryk Maculewicz']</t>
  </si>
  <si>
    <t>['46&amp;rsquor;|1:0|Guillermo Mendizábal|for Javier Cárdenas']</t>
  </si>
  <si>
    <t>Abdelmajid Chetali</t>
  </si>
  <si>
    <t>Témime Lahzami</t>
  </si>
  <si>
    <t>Cesar Orozco Guerrero (Referee) · Miguel Comesana (AR1) · Luis Pestarino (AR2)</t>
  </si>
  <si>
    <t>Cesar Orozco Guerrero</t>
  </si>
  <si>
    <t>['1&amp;rsquor;|0:0|Hansi Müller']</t>
  </si>
  <si>
    <t>['1&amp;rsquor;|0:0|Tarak Dhiab']</t>
  </si>
  <si>
    <t>['82&amp;rsquor;|0:0|Abderraouf Ben Aziza|for Mohamed Akid']</t>
  </si>
  <si>
    <t>Abraham Klein (Referee) · Alfonso Gonzalez Archundia (AR1) · Francis Rion (AR2)</t>
  </si>
  <si>
    <t>Roberto Bettega · 67</t>
  </si>
  <si>
    <t>['67&amp;rsquor;|1:0|Roberto Bettega']</t>
  </si>
  <si>
    <t>['60&amp;rsquor;|0:0|Romeo Benetti']</t>
  </si>
  <si>
    <t>['6&amp;rsquor;|0:0|Antonello Cuccureddu|for Mauro Bellugi', '73&amp;rsquor;|1:0|Renato Zaccarelli|for Giancarlo Antognoni']</t>
  </si>
  <si>
    <t>['72&amp;rsquor;|1:0|René Houseman|for Oscar Alberto Ortiz']</t>
  </si>
  <si>
    <t>Charles Corver (Referee) · Dusan Maksimovic (AR1) · Hedi Seoudi (AR2)</t>
  </si>
  <si>
    <t>Hans Krankl (P) · 42</t>
  </si>
  <si>
    <t>['71&amp;rsquor;|1:0|Heribert Weber|for Eduard Krieger']</t>
  </si>
  <si>
    <t>['36&amp;rsquor;|0:0|Conny Torstensson|for Staffan Tapper', '60&amp;rsquor;|1:0|Ralf Edström|for Anders Linderoth']</t>
  </si>
  <si>
    <t>Sergio Gonella (Referee) · Abraham Klein (AR1) · Arturo Andres Ithurralde (AR2)</t>
  </si>
  <si>
    <t>['1&amp;rsquor;|0:0|Eugenio Leal']</t>
  </si>
  <si>
    <t>['70&amp;rsquor;|0:0|Gilberto Alves|for Nelinho', '83&amp;rsquor;|0:0|Jorge Mendonça|for Zico']</t>
  </si>
  <si>
    <t>['51&amp;rsquor;|0:0|Antonio Biosca|for Migueli', '80&amp;rsquor;|0:0|Antonio Guzmán Núñez|for Francisco Javier Uría']</t>
  </si>
  <si>
    <t>Adolf Prokop (Referee) · Norberto Angel Coerezza (AR1) · Anatoly Ivanov (AR2)</t>
  </si>
  <si>
    <t>['25&amp;rsquor;|0:0|René van de Kerkhof']</t>
  </si>
  <si>
    <t>['1&amp;rsquor;|0:0|Juan José Muñante']</t>
  </si>
  <si>
    <t>['46&amp;rsquor;|0:0|Johnny Rep|for René van de Kerkhof', '68&amp;rsquor;|0:0|Dick Nanninga|for Johan Neeskens']</t>
  </si>
  <si>
    <t>['62&amp;rsquor;|0:0|Hugo Sotil|for Guillermo La Rosa']</t>
  </si>
  <si>
    <t>Archie Gemmill</t>
  </si>
  <si>
    <t>Youssou Ndiaye (Referee) · Nicolae Rainea (AR1) · Arnaldo Coelho (AR2)</t>
  </si>
  <si>
    <t>Youssou Ndiaye</t>
  </si>
  <si>
    <t>Iraj Danaeifard · 60</t>
  </si>
  <si>
    <t>['60&amp;rsquor;|1:1|Iraj Danaeifard']</t>
  </si>
  <si>
    <t>Andranik Eskandarian (OG) · 43</t>
  </si>
  <si>
    <t>['1&amp;rsquor;|0:0|Andranik Eskandarian']</t>
  </si>
  <si>
    <t>['56&amp;rsquor;|1:0|Tom Forsyth|for Martin Buchan', '74&amp;rsquor;|1:1|Joe Harper|for Kenny Dalglish']</t>
  </si>
  <si>
    <t>['84&amp;rsquor;|1:1|Hassan Rowshan|for Hossein Faraki', '89&amp;rsquor;|1:1|Hassan Nayebagha|for Iraj Danaeifard']</t>
  </si>
  <si>
    <t>Ramon Barreto Ruiz (Referee) · Ferdinand Biwersi (AR1) · John Gordon (AR2)</t>
  </si>
  <si>
    <t>Paolo Rossi · 34|Roberto Bettega · 36|Romeo Benetti · 60</t>
  </si>
  <si>
    <t>['34&amp;rsquor;|1:0|Paolo Rossi', '36&amp;rsquor;|2:0|Roberto Bettega', '60&amp;rsquor;|3:0|Romeo Benetti']</t>
  </si>
  <si>
    <t>András Tóth (P) · 81</t>
  </si>
  <si>
    <t>['26&amp;rsquor;|0:0|Sándor Zombori', '64&amp;rsquor;|3:0|Győző Martos']</t>
  </si>
  <si>
    <t>['79&amp;rsquor;|3:0|Antonello Cuccureddu|for Antonio Cabrini', '83&amp;rsquor;|3:1|Francesco Graziani|for Roberto Bettega']</t>
  </si>
  <si>
    <t>['46&amp;rsquor;|2:0|András Tóth|for László Fazekas', '46&amp;rsquor;|2:0|István Halász|for László Nagy']</t>
  </si>
  <si>
    <t>Farouk Bouzo (Referee) · Antonio Garrido (AR1) · Francis Rion (AR2)</t>
  </si>
  <si>
    <t>Farouk Bouzo</t>
  </si>
  <si>
    <t>Dieter Müller · 15|Hansi Müller · 30|Karl-Heinz Rummenigge · 38|Heinz Flohe · 44|Karl-Heinz Rummenigge · 73|Heinz Flohe · 89</t>
  </si>
  <si>
    <t>['15&amp;rsquor;|1:0|Dieter Müller', '30&amp;rsquor;|2:0|Hansi Müller', '38&amp;rsquor;|3:0|Karl-Heinz Rummenigge', '44&amp;rsquor;|4:0|Heinz Flohe', '73&amp;rsquor;|5:0|Karl-Heinz Rummenigge', '89&amp;rsquor;|6:0|Heinz Flohe']</t>
  </si>
  <si>
    <t>['1&amp;rsquor;|0:0|Rainer Bonhof']</t>
  </si>
  <si>
    <t>['1&amp;rsquor;|0:0|Arturo Vázquez Ayala']</t>
  </si>
  <si>
    <t>['39&amp;rsquor;|3:0|Pedro Soto|for José Pilar Reyes', '46&amp;rsquor;|4:0|Gerardo Lugo Gómez']</t>
  </si>
  <si>
    <t>Angel Martinez (Referee) · Luis Pestarino (AR1) · Clive Thomas (AR2)</t>
  </si>
  <si>
    <t>Grzegorz Lato · 43</t>
  </si>
  <si>
    <t>['43&amp;rsquor;|1:0|Grzegorz Lato']</t>
  </si>
  <si>
    <t>['60&amp;rsquor;|1:0|Andrzej Iwan|for Andrzej Szarmach', '76&amp;rsquor;|1:0|Zbigniew Boniek|for Włodzimierz Lubański']</t>
  </si>
  <si>
    <t>Jean Dubach (Referee) · Cesar Orozco Guerrero (AR1) · Werner Winsemann (AR2)</t>
  </si>
  <si>
    <t>Jean Dubach</t>
  </si>
  <si>
    <t>Leopoldo Luque · 73</t>
  </si>
  <si>
    <t>Michel Platini · 60</t>
  </si>
  <si>
    <t>['73&amp;rsquor;|2:1|Leopoldo Luque']</t>
  </si>
  <si>
    <t>['60&amp;rsquor;|1:1|Michel Platini']</t>
  </si>
  <si>
    <t>Daniel Passarella (P) · 45</t>
  </si>
  <si>
    <t>['1&amp;rsquor;|0:0|Didier Six']</t>
  </si>
  <si>
    <t>['64&amp;rsquor;|1:1|Norberto Alonso|for José Daniel Valencia', '71&amp;rsquor;|1:1|Oscar Alberto Ortiz|for Norberto Alonso']</t>
  </si>
  <si>
    <t>['55&amp;rsquor;|1:0|Dominique Baratelli|for Jean-Paul Bertrand-Demanes']</t>
  </si>
  <si>
    <t>Rivellino</t>
  </si>
  <si>
    <t>Clive Thomas (Referee) · Alojzy Jarguz (AR1) · Jafar Namdar (AR2)</t>
  </si>
  <si>
    <t>Clive Thomas</t>
  </si>
  <si>
    <t>Thomas Sjöberg · 37</t>
  </si>
  <si>
    <t>José Reinaldo de Lima · 45</t>
  </si>
  <si>
    <t>['37&amp;rsquor;|1:0|Thomas Sjöberg']</t>
  </si>
  <si>
    <t>['45&amp;rsquor;|1:1|José Reinaldo de Lima']</t>
  </si>
  <si>
    <t>['1&amp;rsquor;|0:0|Oscar']</t>
  </si>
  <si>
    <t>['81&amp;rsquor;|1:1|Ralf Edström|for Lennart Larsson']</t>
  </si>
  <si>
    <t>['66&amp;rsquor;|1:1|Nelinho|for Gilberto Alves', '86&amp;rsquor;|1:1|Dirceu|for Toninho Cerezo']</t>
  </si>
  <si>
    <t>Pirri</t>
  </si>
  <si>
    <t>Karoly Palotai (Referee) · Ramon Barreto Ruiz (AR1) · Anatoly Ivanov (AR2)</t>
  </si>
  <si>
    <t>Walter Schachner · 9|Hans Krankl · 76</t>
  </si>
  <si>
    <t>Daniel Ruiz · 21</t>
  </si>
  <si>
    <t>['9&amp;rsquor;|1:0|Walter Schachner', '76&amp;rsquor;|2:1|Hans Krankl']</t>
  </si>
  <si>
    <t>['21&amp;rsquor;|1:1|Daniel Ruiz']</t>
  </si>
  <si>
    <t>['67&amp;rsquor;|1:1|Heribert Weber|for Josef Hickersberger', '80&amp;rsquor;|2:1|Hans Pirkner|for Walter Schachner']</t>
  </si>
  <si>
    <t>['46&amp;rsquor;|1:1|Eugenio Leal|for Julio Cardeñosa', '60&amp;rsquor;|1:1|Quini|for Carles Rexach']</t>
  </si>
  <si>
    <t>Ulf Eriksson (Referee) · Tesfaye Gebreyesus Difue (AR1) · Angel Martinez (AR2)</t>
  </si>
  <si>
    <t>César Cueto · 43|Teófilo Cubillas · 71|Teófilo Cubillas · 77</t>
  </si>
  <si>
    <t>Joe Jordan · 14</t>
  </si>
  <si>
    <t>['43&amp;rsquor;|1:1|César Cueto', '71&amp;rsquor;|2:1|Teófilo Cubillas', '77&amp;rsquor;|3:1|Teófilo Cubillas']</t>
  </si>
  <si>
    <t>['14&amp;rsquor;|0:1|Joe Jordan']</t>
  </si>
  <si>
    <t>['19&amp;rsquor;|0:1|José Velásquez']</t>
  </si>
  <si>
    <t>['62&amp;rsquor;|1:1|Hugo Sotil|for Guillermo La Rosa', '82&amp;rsquor;|3:1|Percy Rojas|for César Cueto']</t>
  </si>
  <si>
    <t>['75&amp;rsquor;|2:1|Archie Gemmill', '75&amp;rsquor;|2:1|Lou Macari|for Bruce Rioch']</t>
  </si>
  <si>
    <t>Alfonso Gonzalez Archundia (Referee) · Robert Wurtz (AR1) · Miguel Comesana (AR2)</t>
  </si>
  <si>
    <t>Alfonso Gonzalez Archundia</t>
  </si>
  <si>
    <t>Rob Rensenbrink · 62</t>
  </si>
  <si>
    <t>['62&amp;rsquor;|2:0|Rob Rensenbrink']</t>
  </si>
  <si>
    <t>Rob Rensenbrink (P) · 40|Rob Rensenbrink (P) · 79</t>
  </si>
  <si>
    <t>['70&amp;rsquor;|2:0|Dick Nanninga|for René van de Kerkhof']</t>
  </si>
  <si>
    <t>['50&amp;rsquor;|1:0|Hassan Rowshan|for Hossein Faraki']</t>
  </si>
  <si>
    <t>Nicolae Rainea (Referee) · Erich Linemayr (AR1) · Juan Silvagno Cavanna (AR2)</t>
  </si>
  <si>
    <t>Paolo Rossi · 29|Renato Zaccarelli · 54</t>
  </si>
  <si>
    <t>Bernard Lacombe · 1</t>
  </si>
  <si>
    <t>['29&amp;rsquor;|1:1|Paolo Rossi', '54&amp;rsquor;|2:1|Renato Zaccarelli']</t>
  </si>
  <si>
    <t>['1&amp;rsquor;|0:1|Bernard Lacombe']</t>
  </si>
  <si>
    <t>['35&amp;rsquor;|1:1|Marco Tardelli']</t>
  </si>
  <si>
    <t>['1&amp;rsquor;|0:1|Henri Michel', '60&amp;rsquor;|2:1|Michel Platini']</t>
  </si>
  <si>
    <t>['46&amp;rsquor;|1:1|Renato Zaccarelli|for Giancarlo Antognoni']</t>
  </si>
  <si>
    <t>['74&amp;rsquor;|2:1|Marc Berdoll', '76&amp;rsquor;|2:1|Olivier Rouyer|for Didier Six']</t>
  </si>
  <si>
    <t>John Gordon (Referee) · Jean Dubach (AR1) · Sergio Gonella (AR2)</t>
  </si>
  <si>
    <t>Ali Kaabi · 55|Néjib Ghommidh · 79|Mokhtar Dhouieb · 87</t>
  </si>
  <si>
    <t>['55&amp;rsquor;|1:1|Ali Kaabi', '79&amp;rsquor;|2:1|Néjib Ghommidh', '87&amp;rsquor;|3:1|Mokhtar Dhouieb']</t>
  </si>
  <si>
    <t>Arturo Vázquez Ayala (P) · 45</t>
  </si>
  <si>
    <t>['81&amp;rsquor;|2:1|Slah Karoui|for Abderraouf Ben Aziza', '88&amp;rsquor;|3:1|Khemais Labidi']</t>
  </si>
  <si>
    <t>['67&amp;rsquor;|1:1|Gerardo Lugo Gómez|for Guillermo Mendizábal']</t>
  </si>
  <si>
    <t>Antonio Garrido (Referee) · Youssou Ndiaye (AR1) · Pat Partridge (AR2)</t>
  </si>
  <si>
    <t>Leopoldo Luque · 15|Daniel Bertoni · 83</t>
  </si>
  <si>
    <t>Károly Csapó · 10</t>
  </si>
  <si>
    <t>['15&amp;rsquor;|1:1|Leopoldo Luque', '83&amp;rsquor;|2:1|Daniel Bertoni']</t>
  </si>
  <si>
    <t>['10&amp;rsquor;|0:1|Károly Csapó']</t>
  </si>
  <si>
    <t>András Törőcsik · 88|Tibor Nyilasi · 89</t>
  </si>
  <si>
    <t>['77&amp;rsquor;|1:1|Daniel Passarella']</t>
  </si>
  <si>
    <t>['21&amp;rsquor;|1:1|Tibor Nyilasi', '48&amp;rsquor;|1:1|András Törőcsik']</t>
  </si>
  <si>
    <t>['67&amp;rsquor;|1:1|Daniel Bertoni|for René Houseman', '75&amp;rsquor;|1:1|Norberto Alonso']</t>
  </si>
  <si>
    <t>['46&amp;rsquor;|1:1|Győző Martos|for Péter Török']</t>
  </si>
  <si>
    <t>Norberto Angel Coerezza (Referee) · Arturo Andres Ithurralde (AR1) · Miguel Comesana (AR2)</t>
  </si>
  <si>
    <t>Norberto Angel Coerezza</t>
  </si>
  <si>
    <t>['79&amp;rsquor;|0:0|Zbigniew Boniek|for Włodzimierz Lubański', '84&amp;rsquor;|0:0|Henryk Kasperczak|for Bohdan Masztaler']</t>
  </si>
  <si>
    <t>Rinus Michels</t>
  </si>
  <si>
    <t>Johan Cruyff</t>
  </si>
  <si>
    <t>Olympiastadion, Munich</t>
  </si>
  <si>
    <t>John Taylor (Referee) · Alfonso Gonzalez Archundia (AR1) · Ramon Barreto Ruiz (AR2)</t>
  </si>
  <si>
    <t>John Taylor</t>
  </si>
  <si>
    <t>Gerd Müller · 43</t>
  </si>
  <si>
    <t>['43&amp;rsquor;|1:2|Gerd Müller']</t>
  </si>
  <si>
    <t>Johan Neeskens (P) · 2</t>
  </si>
  <si>
    <t>Paul Breitner (P) · 25</t>
  </si>
  <si>
    <t>['22&amp;rsquor;|1:0|Willem van Hanegem', '39&amp;rsquor;|1:1|Johan Neeskens', '45&amp;rsquor;|1:2|Johan Cruyff']</t>
  </si>
  <si>
    <t>['3&amp;rsquor;|1:0|Berti Vogts']</t>
  </si>
  <si>
    <t>['46&amp;rsquor;|1:2|René van de Kerkhof|for Rob Rensenbrink', '68&amp;rsquor;|1:2|Theo de Jong|for Wim Rijsbergen']</t>
  </si>
  <si>
    <t>Mario Zagallo</t>
  </si>
  <si>
    <t>Marinho Peres</t>
  </si>
  <si>
    <t>Kazimierz Gorski</t>
  </si>
  <si>
    <t>Aurelio Angonese (Referee) · Jafar Namdar (AR1) · Birame Ndiaye (AR2)</t>
  </si>
  <si>
    <t>Aurelio Angonese</t>
  </si>
  <si>
    <t>Grzegorz Lato · 76</t>
  </si>
  <si>
    <t>['76&amp;rsquor;|0:1|Grzegorz Lato']</t>
  </si>
  <si>
    <t>['76&amp;rsquor;|0:1|Jairzinho']</t>
  </si>
  <si>
    <t>['71&amp;rsquor;|0:0|Henryk Kasperczak']</t>
  </si>
  <si>
    <t>['66&amp;rsquor;|0:0|Mirandinha|for Ademir da Guia']</t>
  </si>
  <si>
    <t>['73&amp;rsquor;|0:0|Lesław Ćmikiewicz|for Henryk Kasperczak', '75&amp;rsquor;|0:0|Zdzisław Kapka|for Andrzej Szarmach']</t>
  </si>
  <si>
    <t>Waldstadion, Frankfurt/Main</t>
  </si>
  <si>
    <t>Erich Linemayr (Referee) · Karoly Palotai (AR1) · Ruedi Scheurer (AR2)</t>
  </si>
  <si>
    <t>Gerd Müller · 76</t>
  </si>
  <si>
    <t>['76&amp;rsquor;|0:1|Gerd Müller']</t>
  </si>
  <si>
    <t>['80&amp;rsquor;|0:1|Lesław Ćmikiewicz|for Henryk Kasperczak', '80&amp;rsquor;|0:1|Kazimierz Kmiecik|for Zygmunt Maszczyk']</t>
  </si>
  <si>
    <t>Westfalenstadion, Dortmund</t>
  </si>
  <si>
    <t>Kurt Tschenscher (Referee) · Bob Davidson (AR1) · George Suppiah (AR2)</t>
  </si>
  <si>
    <t>Kurt Tschenscher</t>
  </si>
  <si>
    <t>Johan Neeskens · 50|Johan Cruyff · 65</t>
  </si>
  <si>
    <t>['50&amp;rsquor;|1:0|Johan Neeskens', '65&amp;rsquor;|2:0|Johan Cruyff']</t>
  </si>
  <si>
    <t>Luís Pereira · 84</t>
  </si>
  <si>
    <t>['1&amp;rsquor;|0:0|Wim Suurbier', '69&amp;rsquor;|2:0|Johnny Rep']</t>
  </si>
  <si>
    <t>['29&amp;rsquor;|0:0|Luís Pereira', '37&amp;rsquor;|0:0|Zé Maria', '44&amp;rsquor;|0:0|Marinho Peres']</t>
  </si>
  <si>
    <t>['67&amp;rsquor;|2:0|Theo de Jong', '85&amp;rsquor;|2:0|Rinus Israël|for Johan Neeskens']</t>
  </si>
  <si>
    <t>['61&amp;rsquor;|1:0|Mirandinha|for Paulo Cézar Caju']</t>
  </si>
  <si>
    <t>Germany DR</t>
  </si>
  <si>
    <t>Vladislao Cap</t>
  </si>
  <si>
    <t>Enrique Wolff</t>
  </si>
  <si>
    <t>Georg Buschner</t>
  </si>
  <si>
    <t>Bernd Bransch</t>
  </si>
  <si>
    <t>Parkstadion, Gelsenkirchen</t>
  </si>
  <si>
    <t>John Taylor (Referee) · Mahmoud Kamel (AR1) · Clive Thomas (AR2)</t>
  </si>
  <si>
    <t>René Houseman · 20</t>
  </si>
  <si>
    <t>Joachim Streich · 14</t>
  </si>
  <si>
    <t>['20&amp;rsquor;|1:1|René Houseman']</t>
  </si>
  <si>
    <t>['14&amp;rsquor;|0:1|Joachim Streich']</t>
  </si>
  <si>
    <t>['68&amp;rsquor;|1:1|Ángel Bargas']</t>
  </si>
  <si>
    <t>['23&amp;rsquor;|1:1|Jürgen Sparwasser']</t>
  </si>
  <si>
    <t>['65&amp;rsquor;|1:1|Eberhard Vogel|for Wolfram Löwe', '80&amp;rsquor;|1:1|Peter Ducke|for Joachim Streich']</t>
  </si>
  <si>
    <t>Dragan Džajić</t>
  </si>
  <si>
    <t>Rheinstadion, Dï¿½Sseldorf</t>
  </si>
  <si>
    <t>Luis Pestarino (Referee) · Ramon Barreto Ruiz (AR1) · Vicente Llobregat (AR2)</t>
  </si>
  <si>
    <t>Luis Pestarino</t>
  </si>
  <si>
    <t>Ralf Edström · 29|Conny Torstensson · 85</t>
  </si>
  <si>
    <t>Ivica Šurjak · 27</t>
  </si>
  <si>
    <t>['29&amp;rsquor;|1:1|Ralf Edström', '85&amp;rsquor;|2:1|Conny Torstensson']</t>
  </si>
  <si>
    <t>['27&amp;rsquor;|0:1|Ivica Šurjak']</t>
  </si>
  <si>
    <t>['1&amp;rsquor;|0:0|Stanislav Karasi', '1&amp;rsquor;|0:0|Josip Katalinski']</t>
  </si>
  <si>
    <t>['70&amp;rsquor;|1:1|Stanislav Karasi|for Vladimir Petrović', '78&amp;rsquor;|1:1|Luka Peruzović|for Miroslav Pavlović']</t>
  </si>
  <si>
    <t>Jovan Aćimović</t>
  </si>
  <si>
    <t>Rudolf Gloeckner (Referee) · Armando Marques (AR1) · Werner Winsemann (AR2)</t>
  </si>
  <si>
    <t>Rudolf Gloeckner</t>
  </si>
  <si>
    <t>Grzegorz Lato · 62</t>
  </si>
  <si>
    <t>Stanislav Karasi · 43</t>
  </si>
  <si>
    <t>['62&amp;rsquor;|2:1|Grzegorz Lato']</t>
  </si>
  <si>
    <t>['43&amp;rsquor;|1:1|Stanislav Karasi']</t>
  </si>
  <si>
    <t>Kazimierz Deyna (P) · 24</t>
  </si>
  <si>
    <t>['57&amp;rsquor;|1:1|Lesław Ćmikiewicz|for Andrzej Szarmach', '80&amp;rsquor;|2:1|Jan Domarski|for Kazimierz Deyna']</t>
  </si>
  <si>
    <t>['16&amp;rsquor;|0:0|Jurica Jerković|for Branko Oblak', '81&amp;rsquor;|2:1|Vladimir Petrović|for Ilija Petković']</t>
  </si>
  <si>
    <t>Miguel Ángel Brindisi</t>
  </si>
  <si>
    <t>Niedersachsenstadion, Hanover</t>
  </si>
  <si>
    <t>Vital Loraux (Referee) · Birame Ndiaye (AR1) · John Taylor (AR2)</t>
  </si>
  <si>
    <t>Vital Loraux</t>
  </si>
  <si>
    <t>Miguel Ángel Brindisi · 35</t>
  </si>
  <si>
    <t>Rivellino · 32|Jairzinho · 49</t>
  </si>
  <si>
    <t>['35&amp;rsquor;|1:1|Miguel Ángel Brindisi']</t>
  </si>
  <si>
    <t>['32&amp;rsquor;|0:1|Rivellino', '49&amp;rsquor;|1:2|Jairzinho']</t>
  </si>
  <si>
    <t>['72&amp;rsquor;|1:2|René Houseman']</t>
  </si>
  <si>
    <t>['46&amp;rsquor;|1:1|René Houseman|for Mario Kempes', '46&amp;rsquor;|1:1|Jorge Carrascosa|for Francisco Sá']</t>
  </si>
  <si>
    <t>Ruedi Scheurer (Referee) · Erich Linemayr (AR1) · Omar Delgado (AR2)</t>
  </si>
  <si>
    <t>Ruedi Scheurer</t>
  </si>
  <si>
    <t>Johan Neeskens · 7|Rob Rensenbrink · 59</t>
  </si>
  <si>
    <t>['7&amp;rsquor;|0:1|Johan Neeskens', '59&amp;rsquor;|0:2|Rob Rensenbrink']</t>
  </si>
  <si>
    <t>['54&amp;rsquor;|0:1|Peter Ducke|for Wolfram Löwe', '64&amp;rsquor;|0:2|Hans-Jürgen Kreische|for Reinhard Lauck']</t>
  </si>
  <si>
    <t>Bo Larsson</t>
  </si>
  <si>
    <t>Pavel Kazakov (Referee) · Nicolae Rainea (AR1) · Pablo Sanchez Ibanez (AR2)</t>
  </si>
  <si>
    <t>Pavel Kazakov</t>
  </si>
  <si>
    <t>Wolfgang Overath · 51|Rainer Bonhof · 52|Jürgen Grabowski · 76</t>
  </si>
  <si>
    <t>Ralf Edström · 24|Roland Sandberg · 53</t>
  </si>
  <si>
    <t>['51&amp;rsquor;|1:1|Wolfgang Overath', '52&amp;rsquor;|2:1|Rainer Bonhof', '76&amp;rsquor;|3:2|Jürgen Grabowski']</t>
  </si>
  <si>
    <t>['24&amp;rsquor;|0:1|Ralf Edström', '53&amp;rsquor;|2:2|Roland Sandberg']</t>
  </si>
  <si>
    <t>Uli Hoeneß (P) · 89</t>
  </si>
  <si>
    <t>['1&amp;rsquor;|0:0|Ove Grahn']</t>
  </si>
  <si>
    <t>['64&amp;rsquor;|2:2|Jürgen Grabowski|for Dieter Herzog', '83&amp;rsquor;|3:2|Heinz Flohe|for Bernd Hölzenbein']</t>
  </si>
  <si>
    <t>['32&amp;rsquor;|0:1|Inge Ejderstedt|for Bo Larsson']</t>
  </si>
  <si>
    <t>Armando Marques (Referee) · Aurelio Angonese (AR1) · Edison A. Perez Nunez (AR2)</t>
  </si>
  <si>
    <t>Armando Marques</t>
  </si>
  <si>
    <t>Paul Breitner · 39|Gerd Müller · 82</t>
  </si>
  <si>
    <t>['39&amp;rsquor;|0:1|Paul Breitner', '82&amp;rsquor;|0:2|Gerd Müller']</t>
  </si>
  <si>
    <t>['36&amp;rsquor;|0:0|Ivan Buljan', '61&amp;rsquor;|0:1|Enver Hadžiabdić']</t>
  </si>
  <si>
    <t>['16&amp;rsquor;|0:0|Wolfgang Overath', '35&amp;rsquor;|0:0|Berti Vogts']</t>
  </si>
  <si>
    <t>['84&amp;rsquor;|0:2|Ilija Petković|for Branko Oblak', '84&amp;rsquor;|0:2|Jurica Jerković|for Dragan Džajić']</t>
  </si>
  <si>
    <t>['73&amp;rsquor;|0:1|Uli Hoeneß|for Herbert Wimmer', '78&amp;rsquor;|0:1|Heinz Flohe|for Bernd Hölzenbein']</t>
  </si>
  <si>
    <t>Clive Thomas (Referee) · Dogan Babacan (AR1) · Tony Boskovic (AR2)</t>
  </si>
  <si>
    <t>Rivellino · 60</t>
  </si>
  <si>
    <t>['60&amp;rsquor;|1:0|Rivellino']</t>
  </si>
  <si>
    <t>['27&amp;rsquor;|0:0|Jairzinho', '28&amp;rsquor;|0:0|Paulo César Carpegiani', '75&amp;rsquor;|1:0|Dirceu']</t>
  </si>
  <si>
    <t>['11&amp;rsquor;|0:0|Erich Hamann', '84&amp;rsquor;|1:0|Joachim Streich']</t>
  </si>
  <si>
    <t>['46&amp;rsquor;|0:0|Harald Irmscher|for Erich Hamann', '64&amp;rsquor;|1:0|Wolfram Löwe|for Reinhard Lauck']</t>
  </si>
  <si>
    <t>Neckarstadion, Stuttgart</t>
  </si>
  <si>
    <t>Ramon Barreto Ruiz (Referee) · Alfonso Gonzalez Archundia (AR1) · Luis Pestarino (AR2)</t>
  </si>
  <si>
    <t>['43&amp;rsquor;|0:1|Grzegorz Lato']</t>
  </si>
  <si>
    <t>['1&amp;rsquor;|0:0|Jerzy Gorgoń', '44&amp;rsquor;|0:1|Andrzej Szarmach']</t>
  </si>
  <si>
    <t>['60&amp;rsquor;|0:1|Jörgen Augustsson|for Björn Andersson', '80&amp;rsquor;|0:1|Thomas Ahlström|for Staffan Tapper']</t>
  </si>
  <si>
    <t>['60&amp;rsquor;|0:1|Kazimierz Kmiecik|for Andrzej Szarmach']</t>
  </si>
  <si>
    <t>Roberto Perfumo</t>
  </si>
  <si>
    <t>Bob Davidson (Referee) · Kurt Tschenscher (AR1) · Pavel Kazakov (AR2)</t>
  </si>
  <si>
    <t>Bob Davidson</t>
  </si>
  <si>
    <t>Johan Cruyff · 10|Ruud Krol · 25|Johnny Rep · 73|Johan Cruyff · 90</t>
  </si>
  <si>
    <t>['10&amp;rsquor;|1:0|Johan Cruyff', '25&amp;rsquor;|2:0|Ruud Krol', '73&amp;rsquor;|3:0|Johnny Rep', '90&amp;rsquor;|4:0|Johan Cruyff']</t>
  </si>
  <si>
    <t>['22&amp;rsquor;|1:0|Johan Neeskens', '58&amp;rsquor;|2:0|Wim Suurbier']</t>
  </si>
  <si>
    <t>['35&amp;rsquor;|2:0|Roberto Perfumo']</t>
  </si>
  <si>
    <t>['84&amp;rsquor;|3:0|Rinus Israël|for Wim Suurbier']</t>
  </si>
  <si>
    <t>['46&amp;rsquor;|2:0|Rubén Glaria|for René Houseman', '46&amp;rsquor;|2:0|Mario Kempes|for Enrique Wolff']</t>
  </si>
  <si>
    <t>Hristo Mladenov</t>
  </si>
  <si>
    <t>Tony Boskovic (Referee) · Ferdinand Biwersi (AR1) · Walter Eschweiler (AR2)</t>
  </si>
  <si>
    <t>Johnny Rep · 71|Theo de Jong · 88</t>
  </si>
  <si>
    <t>['71&amp;rsquor;|0:3|Johnny Rep', '88&amp;rsquor;|1:4|Theo de Jong']</t>
  </si>
  <si>
    <t>Ruud Krol (OG) · 78</t>
  </si>
  <si>
    <t>Johan Neeskens (P) · 5|Johan Neeskens (P) · 45</t>
  </si>
  <si>
    <t>['67&amp;rsquor;|0:2|Georgi Denev']</t>
  </si>
  <si>
    <t>['5&amp;rsquor;|0:0|Wim Jansen', '22&amp;rsquor;|0:1|Willem van Hanegem', '29&amp;rsquor;|0:1|Johan Cruyff']</t>
  </si>
  <si>
    <t>['46&amp;rsquor;|0:2|Atanas Mihaylov|for Ivan Stoyanov', '55&amp;rsquor;|0:2|Krasimir Borisov|for Pavel Panov']</t>
  </si>
  <si>
    <t>['46&amp;rsquor;|0:2|Rinus Israël|for Willem van Hanegem', '79&amp;rsquor;|1:3|Theo de Jong|for Johan Neeskens']</t>
  </si>
  <si>
    <t>Ferruccio Valcareggi</t>
  </si>
  <si>
    <t>Giacinto Facchetti</t>
  </si>
  <si>
    <t>Hans Joachim Weyland (Referee) · Werner Winsemann (AR1) · Gerhard Schulenburg (AR2)</t>
  </si>
  <si>
    <t>Hans Joachim Weyland</t>
  </si>
  <si>
    <t>Andrzej Szarmach · 38|Kazimierz Deyna · 44</t>
  </si>
  <si>
    <t>Fabio Capello · 85</t>
  </si>
  <si>
    <t>['38&amp;rsquor;|1:0|Andrzej Szarmach', '44&amp;rsquor;|2:0|Kazimierz Deyna']</t>
  </si>
  <si>
    <t>['85&amp;rsquor;|2:1|Fabio Capello']</t>
  </si>
  <si>
    <t>['25&amp;rsquor;|0:0|Henryk Kasperczak', '84&amp;rsquor;|2:0|Adam Musiał']</t>
  </si>
  <si>
    <t>['71&amp;rsquor;|2:0|Roberto Boninsegna']</t>
  </si>
  <si>
    <t>['78&amp;rsquor;|2:0|Lesław Ćmikiewicz']</t>
  </si>
  <si>
    <t>['33&amp;rsquor;|0:0|Giuseppe Wilson|for Tarcisio Burgnich', '46&amp;rsquor;|2:0|Roberto Boninsegna|for Giorgio Chinaglia']</t>
  </si>
  <si>
    <t>Roberto Porta</t>
  </si>
  <si>
    <t>Ladislao Mazurkiewicz</t>
  </si>
  <si>
    <t>Erich Linemayr (Referee) · Vicente Llobregat (AR1) · Heinz Aldinger (AR2)</t>
  </si>
  <si>
    <t>Ralf Edström · 46|Roland Sandberg · 74|Ralf Edström · 77</t>
  </si>
  <si>
    <t>['46&amp;rsquor;|1:0|Ralf Edström', '74&amp;rsquor;|2:0|Roland Sandberg', '77&amp;rsquor;|3:0|Ralf Edström']</t>
  </si>
  <si>
    <t>['1&amp;rsquor;|0:0|Baudilio Jáuregui']</t>
  </si>
  <si>
    <t>['60&amp;rsquor;|1:0|Thomas Ahlström|for Benno Magnusson', '76&amp;rsquor;|2:0|Conny Torstensson|for Ove Kindvall']</t>
  </si>
  <si>
    <t>['43&amp;rsquor;|0:0|Luis Cubilla|for Romeo Corbo', '46&amp;rsquor;|1:0|Juan Carlos Masnik|for Luis Garisto']</t>
  </si>
  <si>
    <t>Antoine Tassy</t>
  </si>
  <si>
    <t>Wilner Nazaire</t>
  </si>
  <si>
    <t>Pablo Sanchez Ibanez (Referee) · Mahmoud Kamel (AR1) · Birame Ndiaye (AR2)</t>
  </si>
  <si>
    <t>Pablo Sanchez Ibanez</t>
  </si>
  <si>
    <t>Héctor Yazalde · 15|René Houseman · 18|Rubén Ayala · 55|Héctor Yazalde · 68</t>
  </si>
  <si>
    <t>Emmanuel Sanon · 63</t>
  </si>
  <si>
    <t>['15&amp;rsquor;|1:0|Héctor Yazalde', '18&amp;rsquor;|2:0|René Houseman', '55&amp;rsquor;|3:0|Rubén Ayala', '68&amp;rsquor;|4:1|Héctor Yazalde']</t>
  </si>
  <si>
    <t>['63&amp;rsquor;|3:1|Emmanuel Sanon']</t>
  </si>
  <si>
    <t>['26&amp;rsquor;|2:0|Carlos Babington', '60&amp;rsquor;|3:0|Ramón Heredia']</t>
  </si>
  <si>
    <t>['60&amp;rsquor;|3:0|Fritz Leandré']</t>
  </si>
  <si>
    <t>['52&amp;rsquor;|2:0|Agustín Balbuena|for Mario Kempes', '57&amp;rsquor;|3:0|Miguel Ángel Brindisi|for René Houseman']</t>
  </si>
  <si>
    <t>['25&amp;rsquor;|2:0|Joseph-Marion Leandré|for Wilner Nazaire', '52&amp;rsquor;|2:0|Fritz Leandré|for Guy Saint-Vil']</t>
  </si>
  <si>
    <t>Willie Ormond</t>
  </si>
  <si>
    <t>Billy Bremner</t>
  </si>
  <si>
    <t>Alfonso Gonzalez Archundia (Referee) · Rudolf Gloeckner (AR1) · Kurt Tschenscher (AR2)</t>
  </si>
  <si>
    <t>Joe Jordan · 88</t>
  </si>
  <si>
    <t>Stanislav Karasi · 81</t>
  </si>
  <si>
    <t>['88&amp;rsquor;|1:1|Joe Jordan']</t>
  </si>
  <si>
    <t>['81&amp;rsquor;|0:1|Stanislav Karasi']</t>
  </si>
  <si>
    <t>['60&amp;rsquor;|0:0|Joe Jordan', '70&amp;rsquor;|0:0|David Hay']</t>
  </si>
  <si>
    <t>['24&amp;rsquor;|0:0|Branko Oblak', '55&amp;rsquor;|0:0|Josip Katalinski', '70&amp;rsquor;|0:0|Dušan Bajević']</t>
  </si>
  <si>
    <t>['65&amp;rsquor;|0:0|Tommy Hutchison|for Kenny Dalglish']</t>
  </si>
  <si>
    <t>['70&amp;rsquor;|0:0|Stanislav Karasi|for Dušan Bajević']</t>
  </si>
  <si>
    <t>Rale Rasic</t>
  </si>
  <si>
    <t>Peter Wilson</t>
  </si>
  <si>
    <t>Luis Alamos</t>
  </si>
  <si>
    <t>Francisco Valdés</t>
  </si>
  <si>
    <t>Olympiastadion, Berlin West</t>
  </si>
  <si>
    <t>Jafar Namdar (Referee) · Vital Loraux (AR1) · Arie Van Gemert (AR2)</t>
  </si>
  <si>
    <t>Ray Richards · 83</t>
  </si>
  <si>
    <t>['37&amp;rsquor;|0:0|Ray Richards']</t>
  </si>
  <si>
    <t>['65&amp;rsquor;|0:0|Peter Ollerton|for Adrian Alston', '82&amp;rsquor;|0:0|Harry Williams|for Colin Curran']</t>
  </si>
  <si>
    <t>['57&amp;rsquor;|0:0|Rogelio Farías|for Francisco Valdés', '72&amp;rsquor;|0:0|Guillermo Yávar|for Leonardo Véliz']</t>
  </si>
  <si>
    <t>Zaire</t>
  </si>
  <si>
    <t>Blagoje Vidinic</t>
  </si>
  <si>
    <t>Kidumu Mantantu</t>
  </si>
  <si>
    <t>Wilson da Silva Piazza</t>
  </si>
  <si>
    <t>Nicolae Rainea (Referee) · Aurelio Angonese (AR1) · Klaus Ohmsen (AR2)</t>
  </si>
  <si>
    <t>Jairzinho · 12|Rivellino · 66|Valdomiro Vaz Franco · 79</t>
  </si>
  <si>
    <t>['12&amp;rsquor;|0:1|Jairzinho', '66&amp;rsquor;|0:2|Rivellino', '79&amp;rsquor;|0:3|Valdomiro Vaz Franco']</t>
  </si>
  <si>
    <t>['78&amp;rsquor;|0:2|Mwepu Ilunga']</t>
  </si>
  <si>
    <t>['77&amp;rsquor;|0:2|Mirandinha']</t>
  </si>
  <si>
    <t>['61&amp;rsquor;|0:1|Kilasu Massamba|for Kamunda Tshinabu', '62&amp;rsquor;|0:1|Kembo Uba Kembo|for Kidumu Mantantu']</t>
  </si>
  <si>
    <t>['10&amp;rsquor;|0:0|Valdomiro Vaz Franco|for Leivinha', '59&amp;rsquor;|0:1|Mirandinha|for Wilson da Silva Piazza']</t>
  </si>
  <si>
    <t>Ramon Barreto Ruiz (Referee) · Armando Marques (AR1) · Luis Pestarino (AR2)</t>
  </si>
  <si>
    <t>Jürgen Sparwasser · 77</t>
  </si>
  <si>
    <t>['77&amp;rsquor;|1:0|Jürgen Sparwasser']</t>
  </si>
  <si>
    <t>['27&amp;rsquor;|0:0|Jürgen Sparwasser', '81&amp;rsquor;|1:0|Jürgen Croy', '84&amp;rsquor;|1:0|Hans-Jürgen Kreische']</t>
  </si>
  <si>
    <t>['65&amp;rsquor;|0:0|Erich Hamann|for Harald Irmscher']</t>
  </si>
  <si>
    <t>['68&amp;rsquor;|0:0|Horst-Dieter Höttges|for Hans-Georg Schwarzenbeck', '69&amp;rsquor;|0:0|Günter Netzer|for Wolfgang Overath']</t>
  </si>
  <si>
    <t>George Suppiah (Referee) · Ferdinand Biwersi (AR1) · Walter Eschweiler (AR2)</t>
  </si>
  <si>
    <t>0–7</t>
  </si>
  <si>
    <t>George Suppiah</t>
  </si>
  <si>
    <t>Grzegorz Lato · 17|Kazimierz Deyna · 18|Andrzej Szarmach · 30|Jerzy Gorgoń · 31|Andrzej Szarmach · 34|Andrzej Szarmach · 50|Grzegorz Lato · 87</t>
  </si>
  <si>
    <t>['17&amp;rsquor;|0:1|Grzegorz Lato', '18&amp;rsquor;|0:2|Kazimierz Deyna', '30&amp;rsquor;|0:3|Andrzej Szarmach', '31&amp;rsquor;|0:4|Jerzy Gorgoń', '34&amp;rsquor;|0:5|Andrzej Szarmach', '50&amp;rsquor;|0:6|Andrzej Szarmach', '87&amp;rsquor;|0:7|Grzegorz Lato']</t>
  </si>
  <si>
    <t>['1&amp;rsquor;|0:0|Pierre Bayonne']</t>
  </si>
  <si>
    <t>['37&amp;rsquor;|0:5|Claude Barthélemy|for Fritz André', '46&amp;rsquor;|0:5|Serge Racine']</t>
  </si>
  <si>
    <t>['65&amp;rsquor;|0:6|Lesław Ćmikiewicz|for Zygmunt Maszczyk', '71&amp;rsquor;|0:6|Zbigniew Gut|for Adam Musiał']</t>
  </si>
  <si>
    <t>John Taylor (Referee) · Dogan Babacan (AR1) · Klaus Ohmsen (AR2)</t>
  </si>
  <si>
    <t>Hristo Bonev · 75</t>
  </si>
  <si>
    <t>Ricardo Pavoni · 87</t>
  </si>
  <si>
    <t>['75&amp;rsquor;|1:0|Hristo Bonev']</t>
  </si>
  <si>
    <t>['87&amp;rsquor;|1:1|Ricardo Pavoni']</t>
  </si>
  <si>
    <t>['9&amp;rsquor;|0:0|Tsonyo Vasilev']</t>
  </si>
  <si>
    <t>['44&amp;rsquor;|0:0|Víctor Espárrago']</t>
  </si>
  <si>
    <t>['59&amp;rsquor;|0:0|Atanas Mihaylov|for Asparuh Nikodimov']</t>
  </si>
  <si>
    <t>['62&amp;rsquor;|0:0|Alberto Cardaccio|for Walter Mantegazza', '73&amp;rsquor;|0:0|Juan Carlos Masnik|for Luis Garisto']</t>
  </si>
  <si>
    <t>Werner Winsemann (Referee) · Kurt Tschenscher (AR1) · Clive Thomas (AR2)</t>
  </si>
  <si>
    <t>Werner Winsemann</t>
  </si>
  <si>
    <t>['16&amp;rsquor;|0:0|Johnny Rep']</t>
  </si>
  <si>
    <t>['36&amp;rsquor;|0:0|Björn Nordqvist', '68&amp;rsquor;|0:0|Örjan Persson', '74&amp;rsquor;|0:0|Björn Andersson', '86&amp;rsquor;|0:0|Ove Grahn']</t>
  </si>
  <si>
    <t>['73&amp;rsquor;|0:0|Theo de Jong|for Willem van Hanegem']</t>
  </si>
  <si>
    <t>['61&amp;rsquor;|0:0|Örjan Persson|for Staffan Tapper', '75&amp;rsquor;|0:0|Roland Grip']</t>
  </si>
  <si>
    <t>Pavel Kazakov (Referee) · Rudolf Gloeckner (AR1) · Nicolae Rainea (AR2)</t>
  </si>
  <si>
    <t>René Houseman · 19</t>
  </si>
  <si>
    <t>['19&amp;rsquor;|1:0|René Houseman']</t>
  </si>
  <si>
    <t>Roberto Perfumo (OG) · 35</t>
  </si>
  <si>
    <t>['54&amp;rsquor;|1:1|Carlos Babington']</t>
  </si>
  <si>
    <t>['48&amp;rsquor;|1:1|Romeo Benetti']</t>
  </si>
  <si>
    <t>['60&amp;rsquor;|1:1|Rubén Glaria|for Enrique Wolff', '78&amp;rsquor;|1:1|Enrique Chazarreta|for Héctor Yazalde']</t>
  </si>
  <si>
    <t>['66&amp;rsquor;|1:1|Giuseppe Wilson|for Francesco Morini', '66&amp;rsquor;|1:1|Franco Causio']</t>
  </si>
  <si>
    <t>Mahmoud Kamel (Referee) · Alfonso Gonzalez Archundia (AR1) · Edison A. Perez Nunez (AR2)</t>
  </si>
  <si>
    <t>Mahmoud Kamel</t>
  </si>
  <si>
    <t>Wolfgang Overath · 12|Bernhard Cullmann · 34|Gerd Müller · 53</t>
  </si>
  <si>
    <t>['12&amp;rsquor;|0:1|Wolfgang Overath', '34&amp;rsquor;|0:2|Bernhard Cullmann', '53&amp;rsquor;|0:3|Gerd Müller']</t>
  </si>
  <si>
    <t>['1&amp;rsquor;|0:0|Jimmy Mackay']</t>
  </si>
  <si>
    <t>['46&amp;rsquor;|0:2|Attila Abonyi|for Ernie Campbell', '61&amp;rsquor;|0:3|Peter Ollerton']</t>
  </si>
  <si>
    <t>['46&amp;rsquor;|0:2|Bernd Hölzenbein|for Jupp Heynckes', '67&amp;rsquor;|0:3|Herbert Wimmer|for Bernhard Cullmann']</t>
  </si>
  <si>
    <t>Omar Delgado (Referee) · Vicente Llobregat (AR1) · Ramon Barreto Ruiz (AR2)</t>
  </si>
  <si>
    <t>9–0</t>
  </si>
  <si>
    <t>Omar Delgado</t>
  </si>
  <si>
    <t>Dušan Bajević · 8|Dragan Džajić · 14|Ivica Šurjak · 18|Josip Katalinski · 22|Dušan Bajević · 30|Vladislav Bogićević · 35|Branko Oblak · 61|Ilija Petković · 65|Dušan Bajević · 81</t>
  </si>
  <si>
    <t>['8&amp;rsquor;|1:0|Dušan Bajević', '14&amp;rsquor;|2:0|Dragan Džajić', '18&amp;rsquor;|3:0|Ivica Šurjak', '22&amp;rsquor;|4:0|Josip Katalinski', '30&amp;rsquor;|5:0|Dušan Bajević', '35&amp;rsquor;|6:0|Vladislav Bogićević', '61&amp;rsquor;|7:0|Branko Oblak', '65&amp;rsquor;|8:0|Ilija Petković', '81&amp;rsquor;|9:0|Dušan Bajević']</t>
  </si>
  <si>
    <t>Ndaye Mulamba · 23</t>
  </si>
  <si>
    <t>['1&amp;rsquor;|0:0|Enver Hadžiabdić']</t>
  </si>
  <si>
    <t>['21&amp;rsquor;|3:0|Tubilandu Ndimbi|for Kazadi Mwamba', '46&amp;rsquor;|6:0|Mayanga Maku|for Kakoko Etepé']</t>
  </si>
  <si>
    <t>Aurelio Angonese (Referee) · Ruedi Scheurer (AR1) · Bob Davidson (AR2)</t>
  </si>
  <si>
    <t>Sergio Ahumada · 69</t>
  </si>
  <si>
    <t>Martin Hoffmann · 55</t>
  </si>
  <si>
    <t>['69&amp;rsquor;|1:1|Sergio Ahumada']</t>
  </si>
  <si>
    <t>['55&amp;rsquor;|0:1|Martin Hoffmann']</t>
  </si>
  <si>
    <t>['56&amp;rsquor;|0:1|Leonardo Véliz', '60&amp;rsquor;|0:1|Guillermo Páez']</t>
  </si>
  <si>
    <t>['65&amp;rsquor;|0:1|Gerd Kische']</t>
  </si>
  <si>
    <t>['46&amp;rsquor;|0:0|Guillermo Yávar|for Francisco Valdés', '67&amp;rsquor;|0:1|Rogelio Farías']</t>
  </si>
  <si>
    <t>['29&amp;rsquor;|0:0|Peter Ducke|for Wolfgang Seguin', '72&amp;rsquor;|1:1|Hans-Jürgen Kreische|for Eberhard Vogel']</t>
  </si>
  <si>
    <t>Arie Van Gemert (Referee) · Karoly Palotai (AR1) · Erich Linemayr (AR2)</t>
  </si>
  <si>
    <t>Arie Van Gemert</t>
  </si>
  <si>
    <t>['1&amp;rsquor;|0:0|Marinho Peres', '1&amp;rsquor;|0:0|Marinho Chagas', '35&amp;rsquor;|0:0|Rivellino']</t>
  </si>
  <si>
    <t>['65&amp;rsquor;|0:0|Paulo César Carpegiani|for Leivinha']</t>
  </si>
  <si>
    <t>Juan Carlos Masnik</t>
  </si>
  <si>
    <t>Karoly Palotai (Referee) · Pavel Kazakov (AR1) · Nicolae Rainea (AR2)</t>
  </si>
  <si>
    <t>Johnny Rep · 7|Johnny Rep · 86</t>
  </si>
  <si>
    <t>['7&amp;rsquor;|0:1|Johnny Rep', '86&amp;rsquor;|0:2|Johnny Rep']</t>
  </si>
  <si>
    <t>Julio Montero Castillo · 69</t>
  </si>
  <si>
    <t>['25&amp;rsquor;|0:1|Walter Mantegazza', '50&amp;rsquor;|0:1|Pablo Forlán', '65&amp;rsquor;|0:1|Juan Carlos Masnik']</t>
  </si>
  <si>
    <t>['64&amp;rsquor;|0:1|Denís Milar|for Luis Cubilla']</t>
  </si>
  <si>
    <t>Edison A. Perez Nunez (Referee) · Alfonso Gonzalez Archundia (AR1) · George Suppiah (AR2)</t>
  </si>
  <si>
    <t>Edison A. Perez Nunez</t>
  </si>
  <si>
    <t>['73&amp;rsquor;|0:0|Benno Magnusson|for Ove Kindvall']</t>
  </si>
  <si>
    <t>['73&amp;rsquor;|0:0|Mladen Vasilev|for Pavel Panov', '75&amp;rsquor;|0:0|Atanas Mihaylov|for Voyn Voynov']</t>
  </si>
  <si>
    <t>Vicente Llobregat (Referee) · Jafar Namdar (AR1) · Armando Marques (AR2)</t>
  </si>
  <si>
    <t>Vicente Llobregat</t>
  </si>
  <si>
    <t>Gianni Rivera · 52|Romeo Benetti · 66|Pietro Anastasi · 79</t>
  </si>
  <si>
    <t>Emmanuel Sanon · 46</t>
  </si>
  <si>
    <t>['52&amp;rsquor;|1:1|Gianni Rivera', '66&amp;rsquor;|2:1|Romeo Benetti', '79&amp;rsquor;|3:1|Pietro Anastasi']</t>
  </si>
  <si>
    <t>['46&amp;rsquor;|0:1|Emmanuel Sanon']</t>
  </si>
  <si>
    <t>['70&amp;rsquor;|2:1|Pietro Anastasi|for Giorgio Chinaglia']</t>
  </si>
  <si>
    <t>['46&amp;rsquor;|0:1|Claude Barthélemy|for Guy Saint-Vil']</t>
  </si>
  <si>
    <t>Clive Thomas (Referee) · Heinz Aldinger (AR1) · Bob Davidson (AR2)</t>
  </si>
  <si>
    <t>Grzegorz Lato · 7|Andrzej Szarmach · 8|Grzegorz Lato · 62</t>
  </si>
  <si>
    <t>Ramón Heredia · 60|Carlos Babington · 66</t>
  </si>
  <si>
    <t>['7&amp;rsquor;|1:0|Grzegorz Lato', '8&amp;rsquor;|2:0|Andrzej Szarmach', '62&amp;rsquor;|3:1|Grzegorz Lato']</t>
  </si>
  <si>
    <t>['60&amp;rsquor;|2:1|Ramón Heredia', '66&amp;rsquor;|3:2|Carlos Babington']</t>
  </si>
  <si>
    <t>['1&amp;rsquor;|0:0|Carlos Babington', '1&amp;rsquor;|0:0|Roberto Perfumo']</t>
  </si>
  <si>
    <t>['70&amp;rsquor;|3:2|Jan Domarski|for Andrzej Szarmach', '85&amp;rsquor;|3:2|Lesław Ćmikiewicz|for Robert Gadocha']</t>
  </si>
  <si>
    <t>['45&amp;rsquor;|2:0|René Houseman|for Miguel Ángel Brindisi', '67&amp;rsquor;|3:2|Roberto Telch|for Ángel Bargas']</t>
  </si>
  <si>
    <t>Dogan Babacan (Referee) · John Taylor (AR1) · Werner Winsemann (AR2)</t>
  </si>
  <si>
    <t>Dogan Babacan</t>
  </si>
  <si>
    <t>Paul Breitner · 18</t>
  </si>
  <si>
    <t>['18&amp;rsquor;|1:0|Paul Breitner']</t>
  </si>
  <si>
    <t>Carlos Caszely · 67</t>
  </si>
  <si>
    <t>['1&amp;rsquor;|0:0|Rolando García', '1&amp;rsquor;|0:0|Carlos Reinoso', '13&amp;rsquor;|0:0|Carlos Caszely']</t>
  </si>
  <si>
    <t>['75&amp;rsquor;|1:0|Bernd Hölzenbein|for Wolfgang Overath']</t>
  </si>
  <si>
    <t>['76&amp;rsquor;|1:0|Leonardo Véliz|for Francisco Valdés', '83&amp;rsquor;|1:0|Alfonso Lara|for Juan Rodríguez Vega']</t>
  </si>
  <si>
    <t>Youssou Ndiaye (Referee) · Pablo Sanchez Ibanez (AR1) · Omar Delgado (AR2)</t>
  </si>
  <si>
    <t>Joachim Streich · 72</t>
  </si>
  <si>
    <t>['72&amp;rsquor;|2:0|Joachim Streich']</t>
  </si>
  <si>
    <t>Colin Curran (OG) · 58</t>
  </si>
  <si>
    <t>['1&amp;rsquor;|0:0|Siegmar Wätzlich', '1&amp;rsquor;|0:0|Eberhard Vogel', '1&amp;rsquor;|0:0|Gerd Kische']</t>
  </si>
  <si>
    <t>['55&amp;rsquor;|0:0|Martin Hoffmann|for Wolfram Löwe']</t>
  </si>
  <si>
    <t>Gerhard Schulenburg (Referee) · Tony Boskovic (AR1) · Hans Joachim Weyland (AR2)</t>
  </si>
  <si>
    <t>Gerhard Schulenburg</t>
  </si>
  <si>
    <t>Peter Lorimer · 26|Joe Jordan · 34</t>
  </si>
  <si>
    <t>['26&amp;rsquor;|0:1|Peter Lorimer', '34&amp;rsquor;|0:2|Joe Jordan']</t>
  </si>
  <si>
    <t>['40&amp;rsquor;|0:2|Kidumu Mantantu']</t>
  </si>
  <si>
    <t>['1&amp;rsquor;|0:0|Jim Holton']</t>
  </si>
  <si>
    <t>['64&amp;rsquor;|0:2|Kembo Uba Kembo|for Mayanga Maku', '78&amp;rsquor;|0:2|Kibonge Mafu']</t>
  </si>
  <si>
    <t>['75&amp;rsquor;|0:2|Tommy Hutchison|for Kenny Dalglish']</t>
  </si>
  <si>
    <t>Ruedi Scheurer (Referee) · Vital Loraux (AR1) · Luis Pestarino (AR2)</t>
  </si>
  <si>
    <t>['17&amp;rsquor;|0:0|Branko Oblak', '49&amp;rsquor;|0:0|Jovan Aćimović']</t>
  </si>
  <si>
    <t>Carlos Alberto Torres</t>
  </si>
  <si>
    <t>Rudolf Gloeckner (Referee) · Ruedi Scheurer (AR1) · Norberto Angel Coerezza (AR2)</t>
  </si>
  <si>
    <t>Pelé · 18|Gérson · 66|Jairzinho · 71|Carlos Alberto Torres · 86</t>
  </si>
  <si>
    <t>Roberto Boninsegna · 37</t>
  </si>
  <si>
    <t>['18&amp;rsquor;|1:0|Pelé', '66&amp;rsquor;|2:1|Gérson', '71&amp;rsquor;|3:1|Jairzinho', '86&amp;rsquor;|4:1|Carlos Alberto Torres']</t>
  </si>
  <si>
    <t>['37&amp;rsquor;|1:1|Roberto Boninsegna']</t>
  </si>
  <si>
    <t>['1&amp;rsquor;|0:0|Rivellino']</t>
  </si>
  <si>
    <t>['1&amp;rsquor;|0:0|Tarcisio Burgnich']</t>
  </si>
  <si>
    <t>['74&amp;rsquor;|3:1|Antonio Juliano|for Mario Bertini', '84&amp;rsquor;|3:1|Gianni Rivera']</t>
  </si>
  <si>
    <t>Uwe Seeler</t>
  </si>
  <si>
    <t>Juan Hohberg</t>
  </si>
  <si>
    <t>Luis Ubiña</t>
  </si>
  <si>
    <t>Antonio Sbardella (Referee) · Ferdinand Marschall (AR1) · Abel Aguilar Elizalde (AR2)</t>
  </si>
  <si>
    <t>Antonio Sbardella</t>
  </si>
  <si>
    <t>Wolfgang Overath · 26</t>
  </si>
  <si>
    <t>['26&amp;rsquor;|1:0|Wolfgang Overath']</t>
  </si>
  <si>
    <t>['1&amp;rsquor;|0:0|Max Lorenz', '1&amp;rsquor;|0:0|Hannes Löhr']</t>
  </si>
  <si>
    <t>['1&amp;rsquor;|0:0|Dagoberto Fontes', '1&amp;rsquor;|0:0|Luis Ubiña', '1&amp;rsquor;|0:0|Julio Montero Castillo']</t>
  </si>
  <si>
    <t>['46&amp;rsquor;|1:0|Max Lorenz', '73&amp;rsquor;|1:0|Hannes Löhr|for Reinhard Libuda']</t>
  </si>
  <si>
    <t>['46&amp;rsquor;|1:0|Víctor Espárrago|for Dagoberto Fontes', '67&amp;rsquor;|1:0|Rodolfo Sandoval|for Ildo Maneiro']</t>
  </si>
  <si>
    <t>Arturo Yamasaki Maldonado (Referee) · Rafael Hormazabal Diaz (AR1) · Guillermo Velasquez (AR2)</t>
  </si>
  <si>
    <t>Arturo Yamasaki Maldonado</t>
  </si>
  <si>
    <t>Roberto Boninsegna · 8|Tarcisio Burgnich · 98|Luigi Riva · 104|Gianni Rivera · 111</t>
  </si>
  <si>
    <t>Karl-Heinz Schnellinger · 90|Gerd Müller · 94|Gerd Müller · 110</t>
  </si>
  <si>
    <t>['8&amp;rsquor;|1:0|Roberto Boninsegna', '98&amp;rsquor;|2:2|Tarcisio Burgnich', '104&amp;rsquor;|3:2|Luigi Riva', '111&amp;rsquor;|4:3|Gianni Rivera']</t>
  </si>
  <si>
    <t>['90&amp;rsquor;|1:1|Karl-Heinz Schnellinger', '94&amp;rsquor;|1:2|Gerd Müller', '110&amp;rsquor;|3:3|Gerd Müller']</t>
  </si>
  <si>
    <t>['1&amp;rsquor;|0:0|Roberto Rosato', '1&amp;rsquor;|0:0|Angelo Domenghini', '1&amp;rsquor;|0:0|Giancarlo De Sisti']</t>
  </si>
  <si>
    <t>['1&amp;rsquor;|0:0|Wolfgang Overath', '1&amp;rsquor;|0:0|Gerd Müller']</t>
  </si>
  <si>
    <t>['46&amp;rsquor;|1:0|Gianni Rivera|for Sandro Mazzola', '91&amp;rsquor;|1:1|Fabrizio Poletti|for Roberto Rosato']</t>
  </si>
  <si>
    <t>['53&amp;rsquor;|1:0|Reinhard Libuda', '66&amp;rsquor;|1:0|Sigfried Held|for Bernd Patzke']</t>
  </si>
  <si>
    <t>Jose Maria Ortiz De Mendibil (Referee) · Tofik Bakhramov (AR1) · Ferdinand Marschall (AR2)</t>
  </si>
  <si>
    <t>Jose Maria Ortiz De Mendibil</t>
  </si>
  <si>
    <t>Clodoaldo · 44|Jairzinho · 76|Rivellino · 89</t>
  </si>
  <si>
    <t>Luis Cubilla · 19</t>
  </si>
  <si>
    <t>['44&amp;rsquor;|1:1|Clodoaldo', '76&amp;rsquor;|2:1|Jairzinho', '89&amp;rsquor;|3:1|Rivellino']</t>
  </si>
  <si>
    <t>['19&amp;rsquor;|0:1|Luis Cubilla']</t>
  </si>
  <si>
    <t>['1&amp;rsquor;|0:0|Carlos Alberto Torres']</t>
  </si>
  <si>
    <t>['1&amp;rsquor;|0:0|Ildo Maneiro', '1&amp;rsquor;|0:0|Juan Mujica', '1&amp;rsquor;|0:0|Dagoberto Fontes']</t>
  </si>
  <si>
    <t>['77&amp;rsquor;|2:1|Víctor Espárrago|for Ildo Maneiro']</t>
  </si>
  <si>
    <t>Didi</t>
  </si>
  <si>
    <t>Vital Loraux (Referee) · Ferdinand Marschall (AR1) · Gyula Emsberger (AR2)</t>
  </si>
  <si>
    <t>Rivellino · 11|Tostão · 15|Tostão · 52|Jairzinho · 75</t>
  </si>
  <si>
    <t>Alberto Gallardo · 28|Teófilo Cubillas · 70</t>
  </si>
  <si>
    <t>['11&amp;rsquor;|1:0|Rivellino', '15&amp;rsquor;|2:0|Tostão', '52&amp;rsquor;|3:1|Tostão', '75&amp;rsquor;|4:2|Jairzinho']</t>
  </si>
  <si>
    <t>['28&amp;rsquor;|2:1|Alberto Gallardo', '70&amp;rsquor;|3:2|Teófilo Cubillas']</t>
  </si>
  <si>
    <t>['67&amp;rsquor;|3:1|Paulo Cézar Caju', '80&amp;rsquor;|4:2|Roberto Miranda|for Jairzinho']</t>
  </si>
  <si>
    <t>['54&amp;rsquor;|3:1|Hugo Sotil|for Julio Baylón', '61&amp;rsquor;|3:1|Eladio Reyes|for Pedro Pablo León']</t>
  </si>
  <si>
    <t>Raul Cardenas</t>
  </si>
  <si>
    <t>Gustavo Peña</t>
  </si>
  <si>
    <t>Luis Dosal, Toluca</t>
  </si>
  <si>
    <t>Ruedi Scheurer (Referee) · Keith Dunstan (AR1) · Henry Landauer (AR2)</t>
  </si>
  <si>
    <t>Luigi Riva · 63|Gianni Rivera · 70|Luigi Riva · 76</t>
  </si>
  <si>
    <t>José Luis González Dávila · 13</t>
  </si>
  <si>
    <t>['63&amp;rsquor;|2:1|Luigi Riva', '70&amp;rsquor;|3:1|Gianni Rivera', '76&amp;rsquor;|4:1|Luigi Riva']</t>
  </si>
  <si>
    <t>['13&amp;rsquor;|0:1|José Luis González Dávila']</t>
  </si>
  <si>
    <t>Javier Guzmán (OG) · 25</t>
  </si>
  <si>
    <t>['1&amp;rsquor;|0:0|Gianni Rivera']</t>
  </si>
  <si>
    <t>['46&amp;rsquor;|1:1|Gianni Rivera|for Sandro Mazzola', '84&amp;rsquor;|4:1|Sergio Gori|for Angelo Domenghini']</t>
  </si>
  <si>
    <t>['60&amp;rsquor;|1:1|Isidoro Díaz|for Antonio Munguía', '68&amp;rsquor;|2:1|Enrique Borja']</t>
  </si>
  <si>
    <t>Gavril Kachalin</t>
  </si>
  <si>
    <t>Albert Shesternyov</t>
  </si>
  <si>
    <t>Laurens Van Ravens (Referee) · Bob Davidson (AR1) · Rudolf Gloeckner (AR2)</t>
  </si>
  <si>
    <t>Laurens Van Ravens</t>
  </si>
  <si>
    <t>Víctor Espárrago · 117</t>
  </si>
  <si>
    <t>['117&amp;rsquor;|1:0|Víctor Espárrago']</t>
  </si>
  <si>
    <t>['1&amp;rsquor;|0:0|Anatoliy Byshovets']</t>
  </si>
  <si>
    <t>['96&amp;rsquor;|0:0|Alberto Gómez|for Julio Morales', '103&amp;rsquor;|0:0|Víctor Espárrago|for Dagoberto Fontes']</t>
  </si>
  <si>
    <t>['71&amp;rsquor;|0:0|Nikolay Kiselyov|for Kakhi Asatiani', '86&amp;rsquor;|0:0|Gennady Logofet|for Murtaz Khurtsilava']</t>
  </si>
  <si>
    <t>Alf Ramsey</t>
  </si>
  <si>
    <t>Bobby Moore</t>
  </si>
  <si>
    <t>Norberto Angel Coerezza (Referee) · Guillermo Velasquez (AR1) · Jose Maria Ortiz De Mendibil (AR2)</t>
  </si>
  <si>
    <t>Franz Beckenbauer · 68|Uwe Seeler · 82|Gerd Müller · 108</t>
  </si>
  <si>
    <t>Alan Mullery · 31|Martin Peters · 49</t>
  </si>
  <si>
    <t>['68&amp;rsquor;|1:2|Franz Beckenbauer', '82&amp;rsquor;|2:2|Uwe Seeler', '108&amp;rsquor;|3:2|Gerd Müller']</t>
  </si>
  <si>
    <t>['31&amp;rsquor;|0:1|Alan Mullery', '49&amp;rsquor;|0:2|Martin Peters']</t>
  </si>
  <si>
    <t>['1&amp;rsquor;|0:0|Gerd Müller']</t>
  </si>
  <si>
    <t>['1&amp;rsquor;|0:0|Francis Lee']</t>
  </si>
  <si>
    <t>['45&amp;rsquor;|0:1|Willi Schulz|for Horst-Dieter Höttges', '55&amp;rsquor;|0:2|Jürgen Grabowski|for Reinhard Libuda']</t>
  </si>
  <si>
    <t>['70&amp;rsquor;|1:2|Colin Bell|for Bobby Charlton', '81&amp;rsquor;|1:2|Norman Hunter|for Martin Peters']</t>
  </si>
  <si>
    <t>Raymond Goethals</t>
  </si>
  <si>
    <t>Norberto Angel Coerezza (Referee) · Henry Landauer (AR1) · Rafael Hormazabal Diaz (AR2)</t>
  </si>
  <si>
    <t>Gustavo Peña (P) · 14</t>
  </si>
  <si>
    <t>['1&amp;rsquor;|0:0|Javier Valdivia', '1&amp;rsquor;|0:0|Gustavo Peña']</t>
  </si>
  <si>
    <t>['1&amp;rsquor;|0:0|Jean Thissen', '1&amp;rsquor;|0:0|Paul Van Himst']</t>
  </si>
  <si>
    <t>['46&amp;rsquor;|1:0|Juan Ignacio Basaguren|for Javier Valdivia']</t>
  </si>
  <si>
    <t>['65&amp;rsquor;|1:0|Johan Devrindt|for Odilon Polleunis']</t>
  </si>
  <si>
    <t>Emmanuel Sheffer</t>
  </si>
  <si>
    <t>Mordechai Spiegler</t>
  </si>
  <si>
    <t>Ayrton Vieira De Moraes (Referee) · Seyoum Tarekegn (AR1) · Kurt Tschenscher (AR2)</t>
  </si>
  <si>
    <t>Ayrton Vieira De Moraes</t>
  </si>
  <si>
    <t>['90&amp;rsquor;|0:0|Roberto Boninsegna']</t>
  </si>
  <si>
    <t>['62&amp;rsquor;|0:0|David Primo', '67&amp;rsquor;|0:0|Menachem Bello']</t>
  </si>
  <si>
    <t>['46&amp;rsquor;|0:0|Gianni Rivera|for Angelo Domenghini']</t>
  </si>
  <si>
    <t>['46&amp;rsquor;|0:0|Dani Shmulevich-Rom|for Yehoshua Feigenbaum']</t>
  </si>
  <si>
    <t>Stefan Bozhkov</t>
  </si>
  <si>
    <t>Aleksandar Shalamanov</t>
  </si>
  <si>
    <t>Driss Bamous</t>
  </si>
  <si>
    <t>Antonio Saldanha Ribeiro (Referee) · Tofik Bakhramov (AR1) · Laurens Van Ravens (AR2)</t>
  </si>
  <si>
    <t>Antonio Saldanha Ribeiro</t>
  </si>
  <si>
    <t>Dobromir Zhechev · 40</t>
  </si>
  <si>
    <t>Maouhoub Ghazouani · 61</t>
  </si>
  <si>
    <t>['40&amp;rsquor;|1:0|Dobromir Zhechev']</t>
  </si>
  <si>
    <t>['61&amp;rsquor;|1:1|Maouhoub Ghazouani']</t>
  </si>
  <si>
    <t>['42&amp;rsquor;|1:0|Ivan Dimitrov|for Dimitar Penev', '50&amp;rsquor;|1:0|Hristo Bonev|for Dimitar Yakimov']</t>
  </si>
  <si>
    <t>['46&amp;rsquor;|1:0|Moustapha Choukri|for Driss Bamous', '74&amp;rsquor;|1:1|Ahmed Faras']</t>
  </si>
  <si>
    <t>Jozef Marko</t>
  </si>
  <si>
    <t>Ivo Viktor</t>
  </si>
  <si>
    <t>Roger Machin (Referee) · Gyula Emsberger (AR1) · Ferdinand Marschall (AR2)</t>
  </si>
  <si>
    <t>Roger Machin</t>
  </si>
  <si>
    <t>Allan Clarke (P) · 50</t>
  </si>
  <si>
    <t>['1&amp;rsquor;|0:0|Karol Dobiaš']</t>
  </si>
  <si>
    <t>['65&amp;rsquor;|1:0|Alan Ball Jr.|for Bobby Charlton', '65&amp;rsquor;|1:0|Peter Osgood|for Jeff Astle']</t>
  </si>
  <si>
    <t>['72&amp;rsquor;|1:0|Karol Jokl|for Jozef Čapkovič']</t>
  </si>
  <si>
    <t>Abel Aguilar Elizalde (Referee) · Jose Maria Ortiz De Mendibil (AR1) · Antonio Sbardella (AR2)</t>
  </si>
  <si>
    <t>Abel Aguilar Elizalde</t>
  </si>
  <si>
    <t>Gerd Müller · 19|Gerd Müller · 26|Gerd Müller · 39</t>
  </si>
  <si>
    <t>Teófilo Cubillas · 44</t>
  </si>
  <si>
    <t>['19&amp;rsquor;|1:0|Gerd Müller', '26&amp;rsquor;|2:0|Gerd Müller', '39&amp;rsquor;|3:0|Gerd Müller']</t>
  </si>
  <si>
    <t>['44&amp;rsquor;|3:1|Teófilo Cubillas']</t>
  </si>
  <si>
    <t>['46&amp;rsquor;|3:1|Bernd Patzke|for Horst-Dieter Höttges', '75&amp;rsquor;|3:1|Jürgen Grabowski|for Reinhard Libuda']</t>
  </si>
  <si>
    <t>['56&amp;rsquor;|3:1|Oswaldo Ramírez|for Pedro Pablo León', '72&amp;rsquor;|3:1|Luis Cruzado']</t>
  </si>
  <si>
    <t>Angelo Niculescu</t>
  </si>
  <si>
    <t>Mircea Lucescu</t>
  </si>
  <si>
    <t>Ferdinand Marschall (Referee) · Ramon Barreto Ruiz (AR1) · Vital Loraux (AR2)</t>
  </si>
  <si>
    <t>Ferdinand Marschall</t>
  </si>
  <si>
    <t>Pelé · 19|Jairzinho · 22|Pelé · 67</t>
  </si>
  <si>
    <t>Florea Dumitrache · 34|Emerich Dembrovschi · 84</t>
  </si>
  <si>
    <t>['19&amp;rsquor;|1:0|Pelé', '22&amp;rsquor;|2:0|Jairzinho', '67&amp;rsquor;|3:1|Pelé']</t>
  </si>
  <si>
    <t>['34&amp;rsquor;|2:1|Florea Dumitrache', '84&amp;rsquor;|3:2|Emerich Dembrovschi']</t>
  </si>
  <si>
    <t>['1&amp;rsquor;|0:0|Mihai Mocanu', '1&amp;rsquor;|0:0|Ion Dumitru']</t>
  </si>
  <si>
    <t>['60&amp;rsquor;|2:1|Marco Antônio|for Everaldo', '74&amp;rsquor;|3:1|Jonas Eduardo Américo|for Clodoaldo']</t>
  </si>
  <si>
    <t>['27&amp;rsquor;|2:0|Răducanu Necula|for Stere Adamache', '72&amp;rsquor;|3:1|Gheorghe Tătaru|for Florea Dumitrache']</t>
  </si>
  <si>
    <t>Orvar Bergmark</t>
  </si>
  <si>
    <t>Henry Landauer (Referee) · John Taylor (AR1) · Andrei Radulescu (AR2)</t>
  </si>
  <si>
    <t>Henry Landauer</t>
  </si>
  <si>
    <t>Ove Grahn · 90</t>
  </si>
  <si>
    <t>['90&amp;rsquor;|1:0|Ove Grahn']</t>
  </si>
  <si>
    <t>['58&amp;rsquor;|0:0|Tom Turesson|for Ove Kindvall', '84&amp;rsquor;|0:0|Ove Grahn|for Göran Nicklasson']</t>
  </si>
  <si>
    <t>['61&amp;rsquor;|0:0|Dagoberto Fontes|for Víctor Espárrago']</t>
  </si>
  <si>
    <t>Hernan Carrasco</t>
  </si>
  <si>
    <t>Salvador Mariona</t>
  </si>
  <si>
    <t>Rafael Hormazabal Diaz (Referee) · Norberto Angel Coerezza (AR1) · Ayrton Vieira De Moraes (AR2)</t>
  </si>
  <si>
    <t>Rafael Hormazabal Diaz</t>
  </si>
  <si>
    <t>Anatoliy Byshovets · 51|Anatoliy Byshovets · 74</t>
  </si>
  <si>
    <t>['51&amp;rsquor;|1:0|Anatoliy Byshovets', '74&amp;rsquor;|2:0|Anatoliy Byshovets']</t>
  </si>
  <si>
    <t>['1&amp;rsquor;|0:0|Vitaliy Khmelnytskyi']</t>
  </si>
  <si>
    <t>['46&amp;rsquor;|0:0|Gennady Yevryuzhikhin|for Anatoliy Puzach', '81&amp;rsquor;|2:0|Kakhi Asatiani|for Nikolay Kiselyov']</t>
  </si>
  <si>
    <t>['82&amp;rsquor;|2:0|Ernesto Aparicio|for Salvador Cabezas', '86&amp;rsquor;|2:0|Genaro Sermeño']</t>
  </si>
  <si>
    <t>Aly Hussein Kandil (Referee) · Keith Dunstan (AR1) · John Taylor (AR2)</t>
  </si>
  <si>
    <t>Aly Hussein Kandil</t>
  </si>
  <si>
    <t>Javier Valdivia · 45|Javier Valdivia · 46|Javier Fragoso · 58|Juan Ignacio Basaguren · 83</t>
  </si>
  <si>
    <t>['45&amp;rsquor;|1:0|Javier Valdivia', '46&amp;rsquor;|2:0|Javier Valdivia', '58&amp;rsquor;|3:0|Javier Fragoso', '83&amp;rsquor;|4:0|Juan Ignacio Basaguren']</t>
  </si>
  <si>
    <t>['1&amp;rsquor;|0:0|Sergio Méndez', '1&amp;rsquor;|0:0|Raúl Magaña', '1&amp;rsquor;|0:0|Salvador Mariona', '1&amp;rsquor;|0:0|Salvador Cabezas']</t>
  </si>
  <si>
    <t>['46&amp;rsquor;|2:0|Horacio López Salgado|for Enrique Borja', '76&amp;rsquor;|3:0|Juan Ignacio Basaguren|for Horacio López Salgado']</t>
  </si>
  <si>
    <t>['58&amp;rsquor;|3:0|Sergio Méndez|for Ernesto Aparicio', '68&amp;rsquor;|3:0|Mario Monge|for Santiago Cortés']</t>
  </si>
  <si>
    <t>Abraham Klein (Referee) · Arturo Yamasaki Maldonado (AR1) · Roger Machin (AR2)</t>
  </si>
  <si>
    <t>Jairzinho · 59</t>
  </si>
  <si>
    <t>['59&amp;rsquor;|1:0|Jairzinho']</t>
  </si>
  <si>
    <t>['68&amp;rsquor;|1:0|Roberto Miranda|for Tostão']</t>
  </si>
  <si>
    <t>['63&amp;rsquor;|1:0|Colin Bell|for Bobby Charlton', '63&amp;rsquor;|1:0|Jeff Astle|for Francis Lee']</t>
  </si>
  <si>
    <t>Boris Gaganelov</t>
  </si>
  <si>
    <t>Jose Maria Ortiz De Mendibil (Referee) · Guillermo Velasquez (AR1) · Antonio Saldanha Ribeiro (AR2)</t>
  </si>
  <si>
    <t>Reinhard Libuda · 20|Gerd Müller · 27|Uwe Seeler · 70|Gerd Müller · 88</t>
  </si>
  <si>
    <t>Asparuh Nikodimov · 12|Todor Kolev · 89</t>
  </si>
  <si>
    <t>['20&amp;rsquor;|1:1|Reinhard Libuda', '27&amp;rsquor;|2:1|Gerd Müller', '70&amp;rsquor;|4:1|Uwe Seeler', '88&amp;rsquor;|5:1|Gerd Müller']</t>
  </si>
  <si>
    <t>['12&amp;rsquor;|0:1|Asparuh Nikodimov', '89&amp;rsquor;|5:2|Todor Kolev']</t>
  </si>
  <si>
    <t>Gerd Müller (P) · 52</t>
  </si>
  <si>
    <t>['58&amp;rsquor;|3:1|Jürgen Grabowski', '72&amp;rsquor;|4:1|Wolfgang Weber|for Franz Beckenbauer']</t>
  </si>
  <si>
    <t>['46&amp;rsquor;|2:1|Vasil Mitkov|for Dinko Dermendzhiev', '58&amp;rsquor;|3:1|Aleksandar Shalamanov|for Boris Gaganelov']</t>
  </si>
  <si>
    <t>Seyoum Tarekegn (Referee) · Andrei Radulescu (AR1) · Drago Horvat (AR2)</t>
  </si>
  <si>
    <t>Seyoum Tarekegn</t>
  </si>
  <si>
    <t>Tom Turesson · 53</t>
  </si>
  <si>
    <t>Mordechai Spiegler · 56</t>
  </si>
  <si>
    <t>['53&amp;rsquor;|1:0|Tom Turesson']</t>
  </si>
  <si>
    <t>['56&amp;rsquor;|1:1|Mordechai Spiegler']</t>
  </si>
  <si>
    <t>['72&amp;rsquor;|1:1|Örjan Persson']</t>
  </si>
  <si>
    <t>['38&amp;rsquor;|0:0|Shraga Bar', '89&amp;rsquor;|1:1|David Primo']</t>
  </si>
  <si>
    <t>['76&amp;rsquor;|1:1|Sten Pålsson|for Örjan Persson']</t>
  </si>
  <si>
    <t>['51&amp;rsquor;|0:0|Roni Shuruk|for Yochanan Vollach']</t>
  </si>
  <si>
    <t>Alexander Horváth</t>
  </si>
  <si>
    <t>Diego De Leo (Referee) · Gyula Emsberger (AR1) · Vital Loraux (AR2)</t>
  </si>
  <si>
    <t>Diego De Leo</t>
  </si>
  <si>
    <t>Alexandru Neagu · 52</t>
  </si>
  <si>
    <t>Ladislav Petráš · 5</t>
  </si>
  <si>
    <t>['52&amp;rsquor;|1:1|Alexandru Neagu']</t>
  </si>
  <si>
    <t>['5&amp;rsquor;|0:1|Ladislav Petráš']</t>
  </si>
  <si>
    <t>Florea Dumitrache (P) · 75</t>
  </si>
  <si>
    <t>['1&amp;rsquor;|0:0|Radu Nunweiller']</t>
  </si>
  <si>
    <t>['1&amp;rsquor;|0:0|Andrej Kvašňák']</t>
  </si>
  <si>
    <t>['69&amp;rsquor;|1:1|Gheorghe Tătaru|for Mircea Lucescu', '81&amp;rsquor;|2:1|Vasile Gergely|for Ion Dumitru']</t>
  </si>
  <si>
    <t>['46&amp;rsquor;|0:1|Jozef Adamec|for Josef Jurkanin', '69&amp;rsquor;|1:1|František Veselý']</t>
  </si>
  <si>
    <t>Rudolf Gloeckner (Referee) · Kurt Tschenscher (AR1) · Drago Horvat (AR2)</t>
  </si>
  <si>
    <t>['1&amp;rsquor;|0:0|Julio César Cortés']</t>
  </si>
  <si>
    <t>['70&amp;rsquor;|0:0|Oscar Zubía|for Rúben Bareño']</t>
  </si>
  <si>
    <t>['46&amp;rsquor;|0:0|Giuseppe Furino|for Angelo Domenghini']</t>
  </si>
  <si>
    <t>Ruedi Scheurer (Referee) · Henry Landauer (AR1) · Bob Davidson (AR2)</t>
  </si>
  <si>
    <t>Anatoliy Byshovets · 14|Kakhi Asatiani · 57|Anatoliy Byshovets · 63|Vitaliy Khmelnytskyi · 76</t>
  </si>
  <si>
    <t>Raoul Lambert · 86</t>
  </si>
  <si>
    <t>['14&amp;rsquor;|1:0|Anatoliy Byshovets', '57&amp;rsquor;|2:0|Kakhi Asatiani', '63&amp;rsquor;|3:0|Anatoliy Byshovets', '76&amp;rsquor;|4:0|Vitaliy Khmelnytskyi']</t>
  </si>
  <si>
    <t>['86&amp;rsquor;|4:1|Raoul Lambert']</t>
  </si>
  <si>
    <t>['34&amp;rsquor;|1:0|Evgeny Lovchev|for Volodymyr Kaplychnyi', '73&amp;rsquor;|3:0|Nikolay Kiselyov|for Revaz Dzodzuashvili']</t>
  </si>
  <si>
    <t>Tofik Bakhramov (Referee) · Yoshiyuki Maruyama (AR1) · Antonio Sbardella (AR2)</t>
  </si>
  <si>
    <t>Tofik Bakhramov</t>
  </si>
  <si>
    <t>Teófilo Cubillas · 65|Roberto Challe · 67|Teófilo Cubillas · 75</t>
  </si>
  <si>
    <t>['65&amp;rsquor;|1:0|Teófilo Cubillas', '67&amp;rsquor;|2:0|Roberto Challe', '75&amp;rsquor;|3:0|Teófilo Cubillas']</t>
  </si>
  <si>
    <t>['56&amp;rsquor;|0:0|Luis Cruzado|for Ramón Mifflin', '76&amp;rsquor;|3:0|Oswaldo Ramírez|for Alberto Gallardo']</t>
  </si>
  <si>
    <t>['66&amp;rsquor;|1:0|Jalili Fadili|for Boujemaa Benkhrif', '81&amp;rsquor;|3:0|Ahmed Alaoui|for Said Ghandi']</t>
  </si>
  <si>
    <t>Andrei Radulescu (Referee) · Rudolf Gloeckner (AR1) · Kurt Tschenscher (AR2)</t>
  </si>
  <si>
    <t>Andrei Radulescu</t>
  </si>
  <si>
    <t>Wilfried Van Moer · 12|Wilfried Van Moer · 54</t>
  </si>
  <si>
    <t>['12&amp;rsquor;|1:0|Wilfried Van Moer', '54&amp;rsquor;|2:0|Wilfried Van Moer']</t>
  </si>
  <si>
    <t>Raoul Lambert (P) · 79</t>
  </si>
  <si>
    <t>['79&amp;rsquor;|3:0|Odilon Polleunis|for Léon Semmeling']</t>
  </si>
  <si>
    <t>['67&amp;rsquor;|2:0|Santiago Cortés|for Mauricio Manzano', '80&amp;rsquor;|3:0|Genaro Sermeño|for Mauricio Alonso Rodríguez']</t>
  </si>
  <si>
    <t>Ramon Barreto Ruiz (Referee) · Abraham Klein (AR1) · Arturo Yamasaki Maldonado (AR2)</t>
  </si>
  <si>
    <t>Rivellino · 24|Pelé · 59|Jairzinho · 61|Jairzinho · 83</t>
  </si>
  <si>
    <t>Ladislav Petráš · 11</t>
  </si>
  <si>
    <t>['24&amp;rsquor;|1:1|Rivellino', '59&amp;rsquor;|2:1|Pelé', '61&amp;rsquor;|3:1|Jairzinho', '83&amp;rsquor;|4:1|Jairzinho']</t>
  </si>
  <si>
    <t>['11&amp;rsquor;|0:1|Ladislav Petráš']</t>
  </si>
  <si>
    <t>['1&amp;rsquor;|0:0|Gérson', '1&amp;rsquor;|0:0|Tostão']</t>
  </si>
  <si>
    <t>['1&amp;rsquor;|0:0|Alexander Horváth']</t>
  </si>
  <si>
    <t>['62&amp;rsquor;|3:1|Paulo Cézar Caju|for Gérson']</t>
  </si>
  <si>
    <t>['46&amp;rsquor;|1:1|Andrej Kvašňák|for Ivan Hrdlička', '75&amp;rsquor;|3:1|Bohumil Veselý|for František Veselý']</t>
  </si>
  <si>
    <t>John Taylor (Referee) · Ruedi Scheurer (AR1) · Aly Hussein Kandil (AR2)</t>
  </si>
  <si>
    <t>Angelo Domenghini · 10</t>
  </si>
  <si>
    <t>['10&amp;rsquor;|1:0|Angelo Domenghini']</t>
  </si>
  <si>
    <t>['1&amp;rsquor;|0:0|Claes Cronqvist']</t>
  </si>
  <si>
    <t>['37&amp;rsquor;|1:0|Roberto Rosato|for Comunardo Niccolai']</t>
  </si>
  <si>
    <t>['56&amp;rsquor;|1:0|Inge Ejderstedt|for Leif Eriksson', '80&amp;rsquor;|1:0|Göran Nicklasson|for Bo Larsson']</t>
  </si>
  <si>
    <t>Laurens Van Ravens (Referee) · Jose Maria Ortiz De Mendibil (AR1) · Guillermo Velasquez (AR2)</t>
  </si>
  <si>
    <t>Uwe Seeler · 56|Gerd Müller · 80</t>
  </si>
  <si>
    <t>Houmane Jarir · 21</t>
  </si>
  <si>
    <t>['56&amp;rsquor;|1:1|Uwe Seeler', '80&amp;rsquor;|2:1|Gerd Müller']</t>
  </si>
  <si>
    <t>['21&amp;rsquor;|0:1|Houmane Jarir']</t>
  </si>
  <si>
    <t>['45&amp;rsquor;|0:1|Jürgen Grabowski|for Helmut Haller', '77&amp;rsquor;|1:1|Hannes Löhr']</t>
  </si>
  <si>
    <t>['56&amp;rsquor;|1:1|Abdelkader El Khiati|for Maouhoub Ghazouani', '72&amp;rsquor;|1:1|Ahmed Faras|for Driss Bamous']</t>
  </si>
  <si>
    <t>Vital Loraux (Referee) · Roger Machin (AR1) · Diego De Leo (AR2)</t>
  </si>
  <si>
    <t>Geoff Hurst · 65</t>
  </si>
  <si>
    <t>['65&amp;rsquor;|1:0|Geoff Hurst']</t>
  </si>
  <si>
    <t>['51&amp;rsquor;|0:0|Tommy Wright|for Keith Newton', '75&amp;rsquor;|1:0|Peter Osgood|for Francis Lee']</t>
  </si>
  <si>
    <t>['73&amp;rsquor;|1:0|Alexandru Neagu|for Gheorghe Tătaru']</t>
  </si>
  <si>
    <t>Ivan Dimitrov</t>
  </si>
  <si>
    <t>Antonio Sbardella (Referee) · Abel Aguilar Elizalde (AR1) · Yoshiyuki Maruyama (AR2)</t>
  </si>
  <si>
    <t>Alberto Gallardo · 50|Héctor Chumpitaz · 55|Teófilo Cubillas · 73</t>
  </si>
  <si>
    <t>Dinko Dermendzhiev · 13|Hristo Bonev · 49</t>
  </si>
  <si>
    <t>['50&amp;rsquor;|1:2|Alberto Gallardo', '55&amp;rsquor;|2:2|Héctor Chumpitaz', '73&amp;rsquor;|3:2|Teófilo Cubillas']</t>
  </si>
  <si>
    <t>['13&amp;rsquor;|0:1|Dinko Dermendzhiev', '49&amp;rsquor;|0:2|Hristo Bonev']</t>
  </si>
  <si>
    <t>['29&amp;rsquor;|0:1|Javier González|for Eloy Campos', '51&amp;rsquor;|1:2|Hugo Sotil|for Julio Baylón']</t>
  </si>
  <si>
    <t>['59&amp;rsquor;|2:2|Dimitar Marashliev', '73&amp;rsquor;|3:2|Georgi Asparuhov|for Hristo Bonev']</t>
  </si>
  <si>
    <t>Pedro Rocha</t>
  </si>
  <si>
    <t>Bob Davidson (Referee) · Ruedi Scheurer (AR1) · Seyoum Tarekegn (AR2)</t>
  </si>
  <si>
    <t>Ildo Maneiro · 23|Juan Mujica · 50</t>
  </si>
  <si>
    <t>['23&amp;rsquor;|1:0|Ildo Maneiro', '50&amp;rsquor;|2:0|Juan Mujica']</t>
  </si>
  <si>
    <t>['12&amp;rsquor;|0:0|Julio César Cortés|for Pedro Rocha']</t>
  </si>
  <si>
    <t>['46&amp;rsquor;|1:0|Shraga Bar|for Rachamim Talbi', '57&amp;rsquor;|2:0|Yochanan Vollach|for Dani Shmulevich-Rom']</t>
  </si>
  <si>
    <t>Kurt Tschenscher (Referee) · Keith Dunstan (AR1) · John Taylor (AR2)</t>
  </si>
  <si>
    <t>['1&amp;rsquor;|0:0|Gustavo Peña']</t>
  </si>
  <si>
    <t>['1&amp;rsquor;|0:0|Givi Nodia', '1&amp;rsquor;|0:0|Gennady Logofet', '30&amp;rsquor;|0:0|Kakhi Asatiani', '34&amp;rsquor;|0:0|Evgeny Lovchev']</t>
  </si>
  <si>
    <t>['67&amp;rsquor;|0:0|Antonio Munguía|for Mario Velarde']</t>
  </si>
  <si>
    <t>['46&amp;rsquor;|0:0|Anatoliy Puzach|for Viktor Serebryanikov', '66&amp;rsquor;|0:0|Vitaliy Khmelnytskyi|for Givi Nodia']</t>
  </si>
  <si>
    <t>Wembley Stadium, London</t>
  </si>
  <si>
    <t>Gottfried Dienst (Referee) · Tofik Bakhramov (AR1) · Karol Galba (AR2)</t>
  </si>
  <si>
    <t>Gottfried Dienst</t>
  </si>
  <si>
    <t>Geoff Hurst · 18|Martin Peters · 78|Geoff Hurst · 101|Geoff Hurst · 120</t>
  </si>
  <si>
    <t>Helmut Haller · 12|Wolfgang Weber · 89</t>
  </si>
  <si>
    <t>['18&amp;rsquor;|1:1|Geoff Hurst', '78&amp;rsquor;|2:1|Martin Peters', '101&amp;rsquor;|3:2|Geoff Hurst', '120&amp;rsquor;|4:2|Geoff Hurst']</t>
  </si>
  <si>
    <t>['12&amp;rsquor;|0:1|Helmut Haller', '89&amp;rsquor;|2:2|Wolfgang Weber']</t>
  </si>
  <si>
    <t>['1&amp;rsquor;|0:0|Martin Peters']</t>
  </si>
  <si>
    <t>Otto Gloria</t>
  </si>
  <si>
    <t>Mário Coluna</t>
  </si>
  <si>
    <t>Nikolai Morozov</t>
  </si>
  <si>
    <t>Lev Yashin</t>
  </si>
  <si>
    <t>Kenneth Dagnall (Referee) · Kevin Howley (AR1) · Aly Hussein Kandil (AR2)</t>
  </si>
  <si>
    <t>Kenneth Dagnall</t>
  </si>
  <si>
    <t>José Augusto Torres · 89</t>
  </si>
  <si>
    <t>Eduard Malofeyev · 43</t>
  </si>
  <si>
    <t>['89&amp;rsquor;|2:1|José Augusto Torres']</t>
  </si>
  <si>
    <t>['43&amp;rsquor;|1:1|Eduard Malofeyev']</t>
  </si>
  <si>
    <t>Eusébio (P) · 12</t>
  </si>
  <si>
    <t>Pierre Schwinte (Referee) · Arturo Yamasaki Maldonado (AR1) · Konstantin Zecevic (AR2)</t>
  </si>
  <si>
    <t>Pierre Schwinte</t>
  </si>
  <si>
    <t>Bobby Charlton · 30|Bobby Charlton · 80</t>
  </si>
  <si>
    <t>['30&amp;rsquor;|1:0|Bobby Charlton', '80&amp;rsquor;|2:0|Bobby Charlton']</t>
  </si>
  <si>
    <t>Eusébio (P) · 82</t>
  </si>
  <si>
    <t>Goodison Park, Liverpool</t>
  </si>
  <si>
    <t>Concetto Lo Bello (Referee) · Jose Maria Codesal (AR1) · Juan Gardeazabal (AR2)</t>
  </si>
  <si>
    <t>Concetto Lo Bello</t>
  </si>
  <si>
    <t>Helmut Haller · 43|Franz Beckenbauer · 67</t>
  </si>
  <si>
    <t>Valeriy Porkujan · 88</t>
  </si>
  <si>
    <t>['43&amp;rsquor;|1:0|Helmut Haller', '67&amp;rsquor;|2:0|Franz Beckenbauer']</t>
  </si>
  <si>
    <t>['88&amp;rsquor;|2:1|Valeriy Porkujan']</t>
  </si>
  <si>
    <t>Igor Chislenko · 44</t>
  </si>
  <si>
    <t>['1&amp;rsquor;|0:0|Franz Beckenbauer']</t>
  </si>
  <si>
    <t>['1&amp;rsquor;|0:0|Valery Voronin']</t>
  </si>
  <si>
    <t>Rye Hyun Myung</t>
  </si>
  <si>
    <t>Pak Seung-zin</t>
  </si>
  <si>
    <t>Menachem Ashkenazi (Referee) · Karol Galba (AR1) · Pierre Schwinte (AR2)</t>
  </si>
  <si>
    <t>5–3</t>
  </si>
  <si>
    <t>Menachem Ashkenazi</t>
  </si>
  <si>
    <t>Eusébio · 27|Eusébio · 56|José Augusto de Almeida · 80</t>
  </si>
  <si>
    <t>Pak Seung-zin · 1|Li Dong-woon · 22|Yang Seung-kook · 25</t>
  </si>
  <si>
    <t>['27&amp;rsquor;|1:3|Eusébio', '56&amp;rsquor;|3:3|Eusébio', '80&amp;rsquor;|5:3|José Augusto de Almeida']</t>
  </si>
  <si>
    <t>['1&amp;rsquor;|0:1|Pak Seung-zin', '22&amp;rsquor;|0:2|Li Dong-woon', '25&amp;rsquor;|0:3|Yang Seung-kook']</t>
  </si>
  <si>
    <t>Eusébio (P) · 43|Eusébio (P) · 59</t>
  </si>
  <si>
    <t>['1&amp;rsquor;|0:1|Mário Coluna']</t>
  </si>
  <si>
    <t>Juan Carlos Lorenzo</t>
  </si>
  <si>
    <t>Antonio Rattín</t>
  </si>
  <si>
    <t>Rudolf Kreitlein (Referee) · Gottfried Dienst (AR1) · Istvan Zsolt (AR2)</t>
  </si>
  <si>
    <t>Rudolf Kreitlein</t>
  </si>
  <si>
    <t>Geoff Hurst · 78</t>
  </si>
  <si>
    <t>['78&amp;rsquor;|1:0|Geoff Hurst']</t>
  </si>
  <si>
    <t>Antonio Rattín · 35</t>
  </si>
  <si>
    <t>['1&amp;rsquor;|0:0|Antonio Rattín', '1&amp;rsquor;|0:0|Jorge Solari', '1&amp;rsquor;|0:0|Luis Artime']</t>
  </si>
  <si>
    <t>Ferenc Sipos</t>
  </si>
  <si>
    <t>Roker Park Ground, Sunderland</t>
  </si>
  <si>
    <t>Juan Gardeazabal (Referee) · Jose Maria Codesal (AR1) · Joaquim Fernandes Campos (AR2)</t>
  </si>
  <si>
    <t>Juan Gardeazabal</t>
  </si>
  <si>
    <t>Igor Chislenko · 5|Valeriy Porkujan · 46</t>
  </si>
  <si>
    <t>Ferenc Bene · 57</t>
  </si>
  <si>
    <t>['5&amp;rsquor;|1:0|Igor Chislenko', '46&amp;rsquor;|2:0|Valeriy Porkujan']</t>
  </si>
  <si>
    <t>['57&amp;rsquor;|2:1|Ferenc Bene']</t>
  </si>
  <si>
    <t>Ondino Viera</t>
  </si>
  <si>
    <t>Horacio Troche</t>
  </si>
  <si>
    <t>Hillsborough, Sheffield</t>
  </si>
  <si>
    <t>Jim Finney (Referee) · Aly Hussein Kandil (AR1) · Hugh Phillips (AR2)</t>
  </si>
  <si>
    <t>Jim Finney</t>
  </si>
  <si>
    <t>Helmut Haller · 11|Franz Beckenbauer · 70|Uwe Seeler · 75|Helmut Haller · 83</t>
  </si>
  <si>
    <t>['11&amp;rsquor;|1:0|Helmut Haller', '70&amp;rsquor;|2:0|Franz Beckenbauer', '75&amp;rsquor;|3:0|Uwe Seeler', '83&amp;rsquor;|4:0|Helmut Haller']</t>
  </si>
  <si>
    <t>Horacio Troche · 49|Héctor Silva · 54</t>
  </si>
  <si>
    <t>['1&amp;rsquor;|0:0|Wolfgang Weber']</t>
  </si>
  <si>
    <t>['1&amp;rsquor;|0:0|Héctor Silva']</t>
  </si>
  <si>
    <t>Henri Guerin</t>
  </si>
  <si>
    <t>Marcel Artelesa</t>
  </si>
  <si>
    <t>Arturo Yamasaki Maldonado (Referee) · Karol Galba (AR1) · Dimitar Rumentchev (AR2)</t>
  </si>
  <si>
    <t>Roger Hunt · 38|Roger Hunt · 75</t>
  </si>
  <si>
    <t>['38&amp;rsquor;|1:0|Roger Hunt', '75&amp;rsquor;|2:0|Roger Hunt']</t>
  </si>
  <si>
    <t>['1&amp;rsquor;|0:0|Nobby Stiles']</t>
  </si>
  <si>
    <t>Rudolf Vytlacil</t>
  </si>
  <si>
    <t>Old Trafford Stadium, Manchester</t>
  </si>
  <si>
    <t>Roberto Goicoechea (Referee) · Juan Gardeazabal (AR1) · Jose Maria Codesal (AR2)</t>
  </si>
  <si>
    <t>Roberto Goicoechea</t>
  </si>
  <si>
    <t>Kálmán Mészöly · 45|Ferenc Bene · 54</t>
  </si>
  <si>
    <t>Georgi Asparuhov · 15</t>
  </si>
  <si>
    <t>['45&amp;rsquor;|2:1|Kálmán Mészöly', '54&amp;rsquor;|3:1|Ferenc Bene']</t>
  </si>
  <si>
    <t>['15&amp;rsquor;|0:1|Georgi Asparuhov']</t>
  </si>
  <si>
    <t>Ivan Davidov (OG) · 43</t>
  </si>
  <si>
    <t>Jose Villalonga</t>
  </si>
  <si>
    <t>Ignacio Zoco</t>
  </si>
  <si>
    <t>Villa Park, Birmingham</t>
  </si>
  <si>
    <t>Armando Marques (Referee) · Claudio Vicuna (AR1) · Duk Ryong Choi (AR2)</t>
  </si>
  <si>
    <t>Lothar Emmerich · 38|Uwe Seeler · 84</t>
  </si>
  <si>
    <t>Josep Maria Fusté · 22</t>
  </si>
  <si>
    <t>['38&amp;rsquor;|1:1|Lothar Emmerich', '84&amp;rsquor;|2:1|Uwe Seeler']</t>
  </si>
  <si>
    <t>['22&amp;rsquor;|0:1|Josep Maria Fusté']</t>
  </si>
  <si>
    <t>['1&amp;rsquor;|0:0|Wolfgang Overath']</t>
  </si>
  <si>
    <t>['1&amp;rsquor;|0:0|Jesús Glaría']</t>
  </si>
  <si>
    <t>Leonel Sánchez</t>
  </si>
  <si>
    <t>John Adair (Referee) · Pierre Schwinte (AR1) · William Clements (AR2)</t>
  </si>
  <si>
    <t>John Adair</t>
  </si>
  <si>
    <t>Valeriy Porkujan · 28|Valeriy Porkujan · 85</t>
  </si>
  <si>
    <t>Rubén Marcos · 32</t>
  </si>
  <si>
    <t>['28&amp;rsquor;|1:0|Valeriy Porkujan', '85&amp;rsquor;|2:1|Valeriy Porkujan']</t>
  </si>
  <si>
    <t>['32&amp;rsquor;|1:1|Rubén Marcos']</t>
  </si>
  <si>
    <t>Ignacio Trellez</t>
  </si>
  <si>
    <t>Bertil Loeoew (Referee) · Claudio Vicuna (AR1) · Concetto Lo Bello (AR2)</t>
  </si>
  <si>
    <t>Bertil Loeoew</t>
  </si>
  <si>
    <t>Alfredo Foni</t>
  </si>
  <si>
    <t>René Brodmann</t>
  </si>
  <si>
    <t>Joaquim Fernandes Campos (Referee) · Istvan Zsolt (AR1) · Tofik Bakhramov (AR2)</t>
  </si>
  <si>
    <t>Joaquim Fernandes Campos</t>
  </si>
  <si>
    <t>Luis Artime · 53|Ermindo Onega · 81</t>
  </si>
  <si>
    <t>['53&amp;rsquor;|1:0|Luis Artime', '81&amp;rsquor;|2:0|Ermindo Onega']</t>
  </si>
  <si>
    <t>Vicente Feola</t>
  </si>
  <si>
    <t>Orlando Peçanha</t>
  </si>
  <si>
    <t>George Mccabe (Referee) · Leo Callaghan (AR1) · Kenneth Dagnall (AR2)</t>
  </si>
  <si>
    <t>George Mccabe</t>
  </si>
  <si>
    <t>António Simões · 15|Eusébio · 27|Eusébio · 85</t>
  </si>
  <si>
    <t>Rildo da Costa Menezes · 73</t>
  </si>
  <si>
    <t>['15&amp;rsquor;|1:0|António Simões', '27&amp;rsquor;|2:0|Eusébio', '85&amp;rsquor;|3:1|Eusébio']</t>
  </si>
  <si>
    <t>['73&amp;rsquor;|2:1|Rildo da Costa Menezes']</t>
  </si>
  <si>
    <t>Edmondo Fabbri</t>
  </si>
  <si>
    <t>Giacomo Bulgarelli</t>
  </si>
  <si>
    <t>Ayresome Park, Middlesbrough</t>
  </si>
  <si>
    <t>Pierre Schwinte (Referee) · John Adair (AR1) · John Taylor (AR2)</t>
  </si>
  <si>
    <t>Pak Doo-ik · 42</t>
  </si>
  <si>
    <t>['42&amp;rsquor;|1:0|Pak Doo-ik']</t>
  </si>
  <si>
    <t>Konstantin Zecevic (Referee) · Joaquim Fernandes Campos (AR1) · Bertil Loeoew (AR2)</t>
  </si>
  <si>
    <t>Konstantin Zecevic</t>
  </si>
  <si>
    <t>Rafael Albrecht · 65</t>
  </si>
  <si>
    <t>Sandro Salvadore</t>
  </si>
  <si>
    <t>Rudolf Kreitlein (Referee) · William Crawford (AR1) · Aly Hussein Kandil (AR2)</t>
  </si>
  <si>
    <t>Igor Chislenko · 57</t>
  </si>
  <si>
    <t>['57&amp;rsquor;|1:0|Igor Chislenko']</t>
  </si>
  <si>
    <t>['1&amp;rsquor;|0:0|Yozhef Sabo']</t>
  </si>
  <si>
    <t>Jose Maria Codesal (Referee) · Roberto Goicoechea (AR1) · Kurt Tschenscher (AR2)</t>
  </si>
  <si>
    <t>Jose Maria Codesal</t>
  </si>
  <si>
    <t>Eusébio · 38|José Augusto Torres · 81</t>
  </si>
  <si>
    <t>['38&amp;rsquor;|2:0|Eusébio', '81&amp;rsquor;|3:0|José Augusto Torres']</t>
  </si>
  <si>
    <t>Ivan Vutsov (OG) · 17</t>
  </si>
  <si>
    <t>['1&amp;rsquor;|0:0|Eusébio']</t>
  </si>
  <si>
    <t>['1&amp;rsquor;|0:0|Dinko Dermendzhiev']</t>
  </si>
  <si>
    <t>Concetto Lo Bello (Referee) · Duk Ryong Choi (AR1) · Menachem Ashkenazi (AR2)</t>
  </si>
  <si>
    <t>Bobby Charlton · 37|Roger Hunt · 75</t>
  </si>
  <si>
    <t>['37&amp;rsquor;|1:0|Bobby Charlton', '75&amp;rsquor;|2:0|Roger Hunt']</t>
  </si>
  <si>
    <t>Francisco Gento</t>
  </si>
  <si>
    <t>Tofik Bakhramov (Referee) · Istvan Zsolt (AR1) · Hugh Phillips (AR2)</t>
  </si>
  <si>
    <t>Manuel Sanchís · 57|Amancio Amaro · 75</t>
  </si>
  <si>
    <t>René-Pierre Quentin · 28</t>
  </si>
  <si>
    <t>['57&amp;rsquor;|1:1|Manuel Sanchís', '75&amp;rsquor;|2:1|Amancio Amaro']</t>
  </si>
  <si>
    <t>['28&amp;rsquor;|0:1|René-Pierre Quentin']</t>
  </si>
  <si>
    <t>White City, London</t>
  </si>
  <si>
    <t>Karol Galba (Referee) · Leo Callaghan (AR1) · Armando Marques (AR2)</t>
  </si>
  <si>
    <t>Karol Galba</t>
  </si>
  <si>
    <t>Pedro Rocha · 26|Julio César Cortés · 31</t>
  </si>
  <si>
    <t>['26&amp;rsquor;|1:1|Pedro Rocha', '31&amp;rsquor;|2:1|Julio César Cortés']</t>
  </si>
  <si>
    <t>Héctor De Bourgoing (P) · 15</t>
  </si>
  <si>
    <t>Hilderaldo Bellini</t>
  </si>
  <si>
    <t>Kenneth Dagnall (Referee) · Kevin Howley (AR1) · Arturo Yamasaki Maldonado (AR2)</t>
  </si>
  <si>
    <t>Ferenc Bene · 2|János Farkas · 64</t>
  </si>
  <si>
    <t>Tostão · 14</t>
  </si>
  <si>
    <t>['2&amp;rsquor;|1:0|Ferenc Bene', '64&amp;rsquor;|2:1|János Farkas']</t>
  </si>
  <si>
    <t>['14&amp;rsquor;|1:1|Tostão']</t>
  </si>
  <si>
    <t>Kálmán Mészöly (P) · 73</t>
  </si>
  <si>
    <t>Aly Hussein Kandil (Referee) · William Crawford (AR1) · Jim Finney (AR2)</t>
  </si>
  <si>
    <t>Pak Seung-zin · 88</t>
  </si>
  <si>
    <t>['88&amp;rsquor;|1:1|Pak Seung-zin']</t>
  </si>
  <si>
    <t>Rubén Marcos (P) · 26</t>
  </si>
  <si>
    <t>['1&amp;rsquor;|0:0|Rubén Marcos']</t>
  </si>
  <si>
    <t>Dimitar Rumentchev (Referee) · Arturo Yamasaki Maldonado (AR1) · Konstantin Zecevic (AR2)</t>
  </si>
  <si>
    <t>Dimitar Rumentchev</t>
  </si>
  <si>
    <t>Luis Artime · 65|Luis Artime · 79</t>
  </si>
  <si>
    <t>Pirri · 71</t>
  </si>
  <si>
    <t>['65&amp;rsquor;|1:0|Luis Artime', '79&amp;rsquor;|2:1|Luis Artime']</t>
  </si>
  <si>
    <t>['71&amp;rsquor;|1:1|Pirri']</t>
  </si>
  <si>
    <t>Menachem Ashkenazi (Referee) · Joaquim Fernandes Campos (AR1) · Karol Galba (AR2)</t>
  </si>
  <si>
    <t>Gérard Hausser · 62</t>
  </si>
  <si>
    <t>Enrique Borja · 48</t>
  </si>
  <si>
    <t>['62&amp;rsquor;|1:1|Gérard Hausser']</t>
  </si>
  <si>
    <t>['48&amp;rsquor;|0:1|Enrique Borja']</t>
  </si>
  <si>
    <t>Gottfried Dienst (Referee) · Jim Finney (AR1) · Rudolf Kreitlein (AR2)</t>
  </si>
  <si>
    <t>Sandro Mazzola · 8|Paolo Barison · 88</t>
  </si>
  <si>
    <t>['8&amp;rsquor;|1:0|Sandro Mazzola', '88&amp;rsquor;|2:0|Paolo Barison']</t>
  </si>
  <si>
    <t>Leo Callaghan (Referee) · Kevin Howley (AR1) · William Clements (AR2)</t>
  </si>
  <si>
    <t>Leo Callaghan</t>
  </si>
  <si>
    <t>José Augusto de Almeida · 2|José Augusto de Almeida · 67|José Augusto Torres · 90</t>
  </si>
  <si>
    <t>Ferenc Bene · 60</t>
  </si>
  <si>
    <t>['2&amp;rsquor;|1:0|José Augusto de Almeida', '67&amp;rsquor;|2:1|José Augusto de Almeida', '90&amp;rsquor;|3:1|José Augusto Torres']</t>
  </si>
  <si>
    <t>['60&amp;rsquor;|1:1|Ferenc Bene']</t>
  </si>
  <si>
    <t>Kurt Tschenscher (Referee) · George Mccabe (AR1) · John Taylor (AR2)</t>
  </si>
  <si>
    <t>Pelé · 15|Garrincha · 63</t>
  </si>
  <si>
    <t>['15&amp;rsquor;|1:0|Pelé', '63&amp;rsquor;|2:0|Garrincha']</t>
  </si>
  <si>
    <t>['1&amp;rsquor;|0:0|Denílson Custódio Machado']</t>
  </si>
  <si>
    <t>['1&amp;rsquor;|0:0|Dobromir Zhechev', '1&amp;rsquor;|0:0|Ivan Kolev']</t>
  </si>
  <si>
    <t>Juan Gardeazabal (Referee) · Aly Hussein Kandil (AR1) · Gottfried Dienst (AR2)</t>
  </si>
  <si>
    <t>Eduard Malofeyev · 31|Anatoliy Banishevskiy · 33|Eduard Malofeyev · 88</t>
  </si>
  <si>
    <t>['31&amp;rsquor;|1:0|Eduard Malofeyev', '33&amp;rsquor;|2:0|Anatoliy Banishevskiy', '88&amp;rsquor;|3:0|Eduard Malofeyev']</t>
  </si>
  <si>
    <t>['1&amp;rsquor;|0:0|Galimzyan Khusainov']</t>
  </si>
  <si>
    <t>Heinz Schneiter</t>
  </si>
  <si>
    <t>Hugh Phillips (Referee) · John Adair (AR1) · Bertil Loeoew (AR2)</t>
  </si>
  <si>
    <t>Hugh Phillips</t>
  </si>
  <si>
    <t>Sigfried Held · 15|Helmut Haller · 20|Franz Beckenbauer · 39|Franz Beckenbauer · 52</t>
  </si>
  <si>
    <t>['15&amp;rsquor;|1:0|Sigfried Held', '20&amp;rsquor;|2:0|Helmut Haller', '39&amp;rsquor;|3:0|Franz Beckenbauer', '52&amp;rsquor;|4:0|Franz Beckenbauer']</t>
  </si>
  <si>
    <t>Helmut Haller (P) · 77</t>
  </si>
  <si>
    <t>Istvan Zsolt (Referee) · Tofik Bakhramov (AR1) · Dimitar Rumentchev (AR2)</t>
  </si>
  <si>
    <t>Istvan Zsolt</t>
  </si>
  <si>
    <t>Aymore Moreira</t>
  </si>
  <si>
    <t>Mauro Ramos</t>
  </si>
  <si>
    <t>Ladislav Novák</t>
  </si>
  <si>
    <t>Nacional, Santiago De Chile</t>
  </si>
  <si>
    <t>Nikolaj Latychev (Referee) · Leo Horn (AR1) · Bob Davidson (AR2)</t>
  </si>
  <si>
    <t>Nikolaj Latychev</t>
  </si>
  <si>
    <t>Amarildo Tavares da Silveira · 17|Zito · 69|Vavá · 78</t>
  </si>
  <si>
    <t>Josef Masopust · 15</t>
  </si>
  <si>
    <t>['17&amp;rsquor;|1:1|Amarildo Tavares da Silveira', '69&amp;rsquor;|2:1|Zito', '78&amp;rsquor;|3:1|Vavá']</t>
  </si>
  <si>
    <t>['15&amp;rsquor;|0:1|Josef Masopust']</t>
  </si>
  <si>
    <t>Fernando Riera</t>
  </si>
  <si>
    <t>Jorge Toro</t>
  </si>
  <si>
    <t>Ljubomir Lovric</t>
  </si>
  <si>
    <t>Milan Galić</t>
  </si>
  <si>
    <t>Juan Gardeazabal (Referee) · Albert Dusch (AR1) · Andor Dorogi (AR2)</t>
  </si>
  <si>
    <t>Eladio Rojas · 90</t>
  </si>
  <si>
    <t>['90&amp;rsquor;|1:0|Eladio Rojas']</t>
  </si>
  <si>
    <t>Arturo Yamasaki Maldonado (Referee) · Esteban Marino (AR1) · Luis Antonio Ventre (AR2)</t>
  </si>
  <si>
    <t>Garrincha · 9|Garrincha · 32|Vavá · 47|Vavá · 78</t>
  </si>
  <si>
    <t>Jorge Toro · 42</t>
  </si>
  <si>
    <t>['9&amp;rsquor;|1:0|Garrincha', '32&amp;rsquor;|2:0|Garrincha', '47&amp;rsquor;|3:1|Vavá', '78&amp;rsquor;|4:2|Vavá']</t>
  </si>
  <si>
    <t>['42&amp;rsquor;|2:1|Jorge Toro']</t>
  </si>
  <si>
    <t>Leonel Sánchez (P) · 61</t>
  </si>
  <si>
    <t>Garrincha · 83</t>
  </si>
  <si>
    <t>Honorino Landa · 80</t>
  </si>
  <si>
    <t>Estadio Sausalito, Vina Del Mar</t>
  </si>
  <si>
    <t>Gottfried Dienst (Referee) · Carl Steiner (AR1) · Cesare Jonni (AR2)</t>
  </si>
  <si>
    <t>Josef Kadraba · 48|Adolf Scherer · 80</t>
  </si>
  <si>
    <t>Dražan Jerković · 69</t>
  </si>
  <si>
    <t>['48&amp;rsquor;|1:0|Josef Kadraba', '80&amp;rsquor;|2:1|Adolf Scherer']</t>
  </si>
  <si>
    <t>['69&amp;rsquor;|1:1|Dražan Jerković']</t>
  </si>
  <si>
    <t>Adolf Scherer (P) · 84</t>
  </si>
  <si>
    <t>Sergio Navarro</t>
  </si>
  <si>
    <t>Igor Netto</t>
  </si>
  <si>
    <t>Carlos Dittborn, Arica</t>
  </si>
  <si>
    <t>Leo Horn (Referee) · Joao Etzel Filho (AR1) · Karol Galba (AR2)</t>
  </si>
  <si>
    <t>Leo Horn</t>
  </si>
  <si>
    <t>Leonel Sánchez · 11|Eladio Rojas · 29</t>
  </si>
  <si>
    <t>Igor Chislenko · 26</t>
  </si>
  <si>
    <t>['11&amp;rsquor;|1:0|Leonel Sánchez', '29&amp;rsquor;|2:1|Eladio Rojas']</t>
  </si>
  <si>
    <t>['26&amp;rsquor;|1:1|Igor Chislenko']</t>
  </si>
  <si>
    <t>Walter Winterbottom</t>
  </si>
  <si>
    <t>Johnny Haynes</t>
  </si>
  <si>
    <t>Pierre Schwinte (Referee) · Gottfried Dienst (AR1) · Sergio Bustamante (AR2)</t>
  </si>
  <si>
    <t>Garrincha · 31|Vavá · 53|Garrincha · 59</t>
  </si>
  <si>
    <t>Gerry Hitchens · 38</t>
  </si>
  <si>
    <t>['31&amp;rsquor;|1:0|Garrincha', '53&amp;rsquor;|2:1|Vavá', '59&amp;rsquor;|3:1|Garrincha']</t>
  </si>
  <si>
    <t>['38&amp;rsquor;|1:1|Gerry Hitchens']</t>
  </si>
  <si>
    <t>Gyula Grosics</t>
  </si>
  <si>
    <t>Estadio El Teniente-Codelco, Rancagua</t>
  </si>
  <si>
    <t>Nikolaj Latychev (Referee) · Fernando Buergo (AR1) · Dimitar Rumentchev (AR2)</t>
  </si>
  <si>
    <t>Adolf Scherer · 13</t>
  </si>
  <si>
    <t>['13&amp;rsquor;|1:0|Adolf Scherer']</t>
  </si>
  <si>
    <t>Sepp Herberger</t>
  </si>
  <si>
    <t>Hans Schäfer</t>
  </si>
  <si>
    <t>Arturo Yamasaki Maldonado (Referee) · Luis Antonio Ventre (AR1) · Jose Antonio Silva (AR2)</t>
  </si>
  <si>
    <t>Petar Radaković · 85</t>
  </si>
  <si>
    <t>['85&amp;rsquor;|1:0|Petar Radaković']</t>
  </si>
  <si>
    <t>Georgi Pachedzhiev</t>
  </si>
  <si>
    <t>Nikola Kovachev</t>
  </si>
  <si>
    <t>Arthur Blavier (Referee) · Adolfe Molina Reginato (AR1) · Bulnes R. (AR2)</t>
  </si>
  <si>
    <t>Arthur Blavier</t>
  </si>
  <si>
    <t>Antonio Carbajal</t>
  </si>
  <si>
    <t>Gottfried Dienst (Referee) · Branko Tesanic (AR1) · Jose Antonio Sundheim (AR2)</t>
  </si>
  <si>
    <t>Isidoro Díaz · 12|Alfredo del Águila · 29</t>
  </si>
  <si>
    <t>Václav Mašek · 1</t>
  </si>
  <si>
    <t>['12&amp;rsquor;|1:1|Isidoro Díaz', '29&amp;rsquor;|2:1|Alfredo del Águila']</t>
  </si>
  <si>
    <t>['1&amp;rsquor;|0:1|Václav Mašek']</t>
  </si>
  <si>
    <t>Héctor Hernández (P) · 90</t>
  </si>
  <si>
    <t>Paolo Mazza</t>
  </si>
  <si>
    <t>Lorenzo Buffon</t>
  </si>
  <si>
    <t>Karl Rappan</t>
  </si>
  <si>
    <t>Charles Antenen</t>
  </si>
  <si>
    <t>Nikolaj Latychev (Referee) · Bob Davidson (AR1) · Dimitar Rumentchev (AR2)</t>
  </si>
  <si>
    <t>Bruno Mora · 2|Giacomo Bulgarelli · 65|Giacomo Bulgarelli · 67</t>
  </si>
  <si>
    <t>['2&amp;rsquor;|1:0|Bruno Mora', '65&amp;rsquor;|2:0|Giacomo Bulgarelli', '67&amp;rsquor;|3:0|Giacomo Bulgarelli']</t>
  </si>
  <si>
    <t>Adolfo Pedernera</t>
  </si>
  <si>
    <t>Efraín Sánchez</t>
  </si>
  <si>
    <t>Carlos Robles (Referee) · Cesare Jonni (AR1) · Karol Galba (AR2)</t>
  </si>
  <si>
    <t>Carlos Robles</t>
  </si>
  <si>
    <t>Milan Galić · 20|Dražan Jerković · 25|Milan Galić · 61|Vojislav Melić · 82|Dražan Jerković · 87</t>
  </si>
  <si>
    <t>['20&amp;rsquor;|1:0|Milan Galić', '25&amp;rsquor;|2:0|Dražan Jerković', '61&amp;rsquor;|3:0|Milan Galić', '82&amp;rsquor;|4:0|Vojislav Melić', '87&amp;rsquor;|5:0|Dražan Jerković']</t>
  </si>
  <si>
    <t>Bob Davidson (Referee) · Ken Aston (AR1) · Leo Horn (AR2)</t>
  </si>
  <si>
    <t>Uwe Seeler · 82</t>
  </si>
  <si>
    <t>['82&amp;rsquor;|2:0|Uwe Seeler']</t>
  </si>
  <si>
    <t>Horst Szymaniak (P) · 21</t>
  </si>
  <si>
    <t>Juan Carlos Corazzo</t>
  </si>
  <si>
    <t>Cesare Jonni (Referee) · Andor Dorogi (AR1) · Albert Dusch (AR2)</t>
  </si>
  <si>
    <t>Cesare Jonni</t>
  </si>
  <si>
    <t>Aleksei Mamykin · 38|Valentin Kozmich Ivanov · 89</t>
  </si>
  <si>
    <t>José Sasía · 54</t>
  </si>
  <si>
    <t>['38&amp;rsquor;|1:0|Aleksei Mamykin', '89&amp;rsquor;|2:1|Valentin Kozmich Ivanov']</t>
  </si>
  <si>
    <t>['54&amp;rsquor;|1:1|José Sasía']</t>
  </si>
  <si>
    <t>Martín Pando</t>
  </si>
  <si>
    <t>Arturo Yamasaki Maldonado (Referee) · Bulnes R. (AR1) · Juan Gardeazabal (AR2)</t>
  </si>
  <si>
    <t>Helenio Herrera</t>
  </si>
  <si>
    <t>Enrique Collar</t>
  </si>
  <si>
    <t>Sergio Bustamante (Referee) · Esteban Marino (AR1) · Jose Antonio Sundheim (AR2)</t>
  </si>
  <si>
    <t>Sergio Bustamante</t>
  </si>
  <si>
    <t>Amarildo Tavares da Silveira · 72|Amarildo Tavares da Silveira · 86</t>
  </si>
  <si>
    <t>Adelardo Rodríguez · 35</t>
  </si>
  <si>
    <t>['72&amp;rsquor;|1:1|Amarildo Tavares da Silveira', '86&amp;rsquor;|2:1|Amarildo Tavares da Silveira']</t>
  </si>
  <si>
    <t>['35&amp;rsquor;|0:1|Adelardo Rodríguez']</t>
  </si>
  <si>
    <t>Branko Tesanic (Referee) · Claudio Vicuna (AR1) · Walter Jose Van Rosberg (AR2)</t>
  </si>
  <si>
    <t>Branko Tesanic</t>
  </si>
  <si>
    <t>Joaquín Peiró · 90</t>
  </si>
  <si>
    <t>['90&amp;rsquor;|1:0|Joaquín Peiró']</t>
  </si>
  <si>
    <t>Joao Etzel Filho (Referee) · Andor Dorogi (AR1) · Carlos Robles (AR2)</t>
  </si>
  <si>
    <t>4–4</t>
  </si>
  <si>
    <t>Joao Etzel Filho</t>
  </si>
  <si>
    <t>Valentin Kozmich Ivanov · 8|Igor Chislenko · 10|Valentin Kozmich Ivanov · 11|Viktor Ponedelnik · 56</t>
  </si>
  <si>
    <t>Germán Aceros · 21|Marcos Coll · 68|Antonio Rada · 72|Marino Klinger · 76</t>
  </si>
  <si>
    <t>['8&amp;rsquor;|1:0|Valentin Kozmich Ivanov', '10&amp;rsquor;|2:0|Igor Chislenko', '11&amp;rsquor;|3:0|Valentin Kozmich Ivanov', '56&amp;rsquor;|4:1|Viktor Ponedelnik']</t>
  </si>
  <si>
    <t>['21&amp;rsquor;|3:1|Germán Aceros', '68&amp;rsquor;|4:2|Marcos Coll', '72&amp;rsquor;|4:3|Antonio Rada', '76&amp;rsquor;|4:4|Marino Klinger']</t>
  </si>
  <si>
    <t>László Sárosi</t>
  </si>
  <si>
    <t>Kiril Rakarov</t>
  </si>
  <si>
    <t>Juan Gardeazabal (Referee) · Bob Davidson (AR1) · Luis Silva (AR2)</t>
  </si>
  <si>
    <t>Flórián Albert · 1|Flórián Albert · 6|Lajos Tichy · 8|Ernő Solymosi · 12|Flórián Albert · 53|Lajos Tichy · 70</t>
  </si>
  <si>
    <t>Georgi Sokolov · 64</t>
  </si>
  <si>
    <t>['1&amp;rsquor;|1:0|Flórián Albert', '6&amp;rsquor;|2:0|Flórián Albert', '8&amp;rsquor;|3:0|Lajos Tichy', '12&amp;rsquor;|4:0|Ernő Solymosi', '53&amp;rsquor;|5:0|Flórián Albert', '70&amp;rsquor;|6:1|Lajos Tichy']</t>
  </si>
  <si>
    <t>['64&amp;rsquor;|5:1|Georgi Sokolov']</t>
  </si>
  <si>
    <t>Leo Horn (Referee) · Nikolaj Latychev (AR1) · Luis Antonio Ventre (AR2)</t>
  </si>
  <si>
    <t>Albert Brülls · 45|Uwe Seeler · 59</t>
  </si>
  <si>
    <t>Heinz Schneiter · 73</t>
  </si>
  <si>
    <t>['45&amp;rsquor;|1:0|Albert Brülls', '59&amp;rsquor;|2:0|Uwe Seeler']</t>
  </si>
  <si>
    <t>['73&amp;rsquor;|2:1|Heinz Schneiter']</t>
  </si>
  <si>
    <t>Bruno Mora</t>
  </si>
  <si>
    <t>Ken Aston (Referee) · Leo Goldstein (AR1) · Fernando Buergo (AR2)</t>
  </si>
  <si>
    <t>Ken Aston</t>
  </si>
  <si>
    <t>Jaime Ramírez · 73|Jorge Toro · 87</t>
  </si>
  <si>
    <t>['73&amp;rsquor;|1:0|Jaime Ramírez', '87&amp;rsquor;|2:0|Jorge Toro']</t>
  </si>
  <si>
    <t>Giorgio Ferrini · 8|Mario David · 41</t>
  </si>
  <si>
    <t>Pierre Schwinte (Referee) · Artur Massaro (AR1) · Gottfried Dienst (AR2)</t>
  </si>
  <si>
    <t>Rubén Marino Navarro</t>
  </si>
  <si>
    <t>Nikolaj Latychev (Referee) · Adolfe Molina Reginato (AR1) · Raymond Morgan (AR2)</t>
  </si>
  <si>
    <t>Bobby Charlton · 42|Jimmy Greaves · 67</t>
  </si>
  <si>
    <t>José Sanfilippo · 81</t>
  </si>
  <si>
    <t>['42&amp;rsquor;|2:0|Bobby Charlton', '67&amp;rsquor;|3:0|Jimmy Greaves']</t>
  </si>
  <si>
    <t>['81&amp;rsquor;|3:1|José Sanfilippo']</t>
  </si>
  <si>
    <t>Ron Flowers (P) · 17</t>
  </si>
  <si>
    <t>Karol Galba (Referee) · Albert Dusch (AR1) · Cesare Jonni (AR2)</t>
  </si>
  <si>
    <t>Milan Galić · 29|Dražan Jerković · 49</t>
  </si>
  <si>
    <t>Ángel Cabrera · 19</t>
  </si>
  <si>
    <t>['29&amp;rsquor;|2:1|Milan Galić', '49&amp;rsquor;|3:1|Dražan Jerković']</t>
  </si>
  <si>
    <t>['19&amp;rsquor;|0:1|Ángel Cabrera']</t>
  </si>
  <si>
    <t>Josip Skoblar (P) · 25</t>
  </si>
  <si>
    <t>Vladica Popović · 71</t>
  </si>
  <si>
    <t>Ángel Cabrera · 71</t>
  </si>
  <si>
    <t>Bob Davidson (Referee) · Raymond Morgan (AR1) · Luis Antonio Ventre (AR2)</t>
  </si>
  <si>
    <t>Leo Horn (Referee) · Arthur Blavier (AR1) · Leo Goldstein (AR2)</t>
  </si>
  <si>
    <t>Lajos Tichy · 17|Flórián Albert · 71</t>
  </si>
  <si>
    <t>['17&amp;rsquor;|1:0|Lajos Tichy', '71&amp;rsquor;|2:1|Flórián Albert']</t>
  </si>
  <si>
    <t>Ron Flowers (P) · 60</t>
  </si>
  <si>
    <t>Joan Segarra</t>
  </si>
  <si>
    <t>Carl Steiner (Referee) · Esteban Marino (AR1) · Walter Jose Van Rosberg (AR2)</t>
  </si>
  <si>
    <t>Carl Steiner</t>
  </si>
  <si>
    <t>Jozef Štibrányi · 80</t>
  </si>
  <si>
    <t>['80&amp;rsquor;|1:0|Jozef Štibrányi']</t>
  </si>
  <si>
    <t>Albert Dusch (Referee) · Joao Etzel Filho (AR1) · Carlos Robles (AR2)</t>
  </si>
  <si>
    <t>Albert Dusch</t>
  </si>
  <si>
    <t>Valentin Kozmich Ivanov · 51|Viktor Ponedelnik · 83</t>
  </si>
  <si>
    <t>['51&amp;rsquor;|1:0|Valentin Kozmich Ivanov', '83&amp;rsquor;|2:0|Viktor Ponedelnik']</t>
  </si>
  <si>
    <t>Ken Aston (Referee) · Arthur Blavier (AR1) · Arturo Yamasaki Maldonado (AR2)</t>
  </si>
  <si>
    <t>Leonel Sánchez · 44|Jaime Ramírez · 51|Leonel Sánchez · 55</t>
  </si>
  <si>
    <t>Rolf Wüthrich · 6</t>
  </si>
  <si>
    <t>['44&amp;rsquor;|1:1|Leonel Sánchez', '51&amp;rsquor;|2:1|Jaime Ramírez', '55&amp;rsquor;|3:1|Leonel Sánchez']</t>
  </si>
  <si>
    <t>['6&amp;rsquor;|0:1|Rolf Wüthrich']</t>
  </si>
  <si>
    <t>Francisco Zuluaga</t>
  </si>
  <si>
    <t>Andor Dorogi (Referee) · Joao Etzel Filho (AR1) · Karol Galba (AR2)</t>
  </si>
  <si>
    <t>Andor Dorogi</t>
  </si>
  <si>
    <t>Luis Cubilla · 56|José Sasía · 75</t>
  </si>
  <si>
    <t>['56&amp;rsquor;|1:1|Luis Cubilla', '75&amp;rsquor;|2:1|José Sasía']</t>
  </si>
  <si>
    <t>Francisco Zuluaga (P) · 19</t>
  </si>
  <si>
    <t>Gottfried Dienst (Referee) · Carl Steiner (AR1) · Pierre Schwinte (AR2)</t>
  </si>
  <si>
    <t>Mário Zagallo · 56|Pelé · 73</t>
  </si>
  <si>
    <t>['56&amp;rsquor;|1:0|Mário Zagallo', '73&amp;rsquor;|2:0|Pelé']</t>
  </si>
  <si>
    <t>Juan Gardeazabal (Referee) · Fernando Buergo (AR1) · Raymond Morgan (AR2)</t>
  </si>
  <si>
    <t>Héctor Facundo · 4</t>
  </si>
  <si>
    <t>['4&amp;rsquor;|1:0|Héctor Facundo']</t>
  </si>
  <si>
    <t>['1&amp;rsquor;|0:0|Rubén Marino Navarro']</t>
  </si>
  <si>
    <t>George Raynor</t>
  </si>
  <si>
    <t>Nils Liedholm</t>
  </si>
  <si>
    <t>Rasunda Stadium, Solna</t>
  </si>
  <si>
    <t>Maurice Guigue (Referee) · Albert Dusch (AR1) · Juan Gardeazabal (AR2)</t>
  </si>
  <si>
    <t>Maurice Guigue</t>
  </si>
  <si>
    <t>Vavá · 9|Vavá · 32|Pelé · 55|Mário Zagallo · 68|Pelé · 90</t>
  </si>
  <si>
    <t>Nils Liedholm · 4|Agne Simonsson · 80</t>
  </si>
  <si>
    <t>['9&amp;rsquor;|1:1|Vavá', '32&amp;rsquor;|2:1|Vavá', '55&amp;rsquor;|3:1|Pelé', '68&amp;rsquor;|4:1|Mário Zagallo', '90&amp;rsquor;|5:2|Pelé']</t>
  </si>
  <si>
    <t>['4&amp;rsquor;|0:1|Nils Liedholm', '80&amp;rsquor;|4:2|Agne Simonsson']</t>
  </si>
  <si>
    <t>Albert Batteaux</t>
  </si>
  <si>
    <t>Armand Penverne</t>
  </si>
  <si>
    <t>Nya Ullevi, Gothenburg</t>
  </si>
  <si>
    <t>Juan Brozzi (Referee) · Arthur Ellis (AR1) · Bengt Lundell (AR2)</t>
  </si>
  <si>
    <t>6–3</t>
  </si>
  <si>
    <t>Juan Brozzi</t>
  </si>
  <si>
    <t>Just Fontaine · 16|Just Fontaine · 36|Yvon Douis · 50|Just Fontaine · 78|Just Fontaine · 89</t>
  </si>
  <si>
    <t>Hans Cieslarczyk · 18|Helmut Rahn · 52|Hans Schäfer · 84</t>
  </si>
  <si>
    <t>['16&amp;rsquor;|1:0|Just Fontaine', '36&amp;rsquor;|3:1|Just Fontaine', '50&amp;rsquor;|4:1|Yvon Douis', '78&amp;rsquor;|5:2|Just Fontaine', '89&amp;rsquor;|6:3|Just Fontaine']</t>
  </si>
  <si>
    <t>['18&amp;rsquor;|1:1|Hans Cieslarczyk', '52&amp;rsquor;|4:2|Helmut Rahn', '84&amp;rsquor;|5:3|Hans Schäfer']</t>
  </si>
  <si>
    <t>Raymond Kopa (P) · 27</t>
  </si>
  <si>
    <t>Istvan Zsolt (Referee) · Fritz Seipelt (AR1) · Arthur Ellis (AR2)</t>
  </si>
  <si>
    <t>Lennart Skoglund · 32|Gunnar Gren · 81|Kurt Hamrin · 88</t>
  </si>
  <si>
    <t>Hans Schäfer · 24</t>
  </si>
  <si>
    <t>['32&amp;rsquor;|1:1|Lennart Skoglund', '81&amp;rsquor;|2:1|Gunnar Gren', '88&amp;rsquor;|3:1|Kurt Hamrin']</t>
  </si>
  <si>
    <t>['24&amp;rsquor;|0:1|Hans Schäfer']</t>
  </si>
  <si>
    <t>Erich Juskowiak · 59</t>
  </si>
  <si>
    <t>Robert Jonquet</t>
  </si>
  <si>
    <t>Benjamin Griffiths (Referee) · Paul Wyssling (AR1) · Reginald Leafe (AR2)</t>
  </si>
  <si>
    <t>Benjamin Griffiths</t>
  </si>
  <si>
    <t>Vavá · 2|Didi · 39|Pelé · 52|Pelé · 64|Pelé · 75</t>
  </si>
  <si>
    <t>Just Fontaine · 9|Roger Piantoni · 83</t>
  </si>
  <si>
    <t>['2&amp;rsquor;|1:0|Vavá', '39&amp;rsquor;|2:1|Didi', '52&amp;rsquor;|3:1|Pelé', '64&amp;rsquor;|4:1|Pelé', '75&amp;rsquor;|5:1|Pelé']</t>
  </si>
  <si>
    <t>['9&amp;rsquor;|1:1|Just Fontaine', '83&amp;rsquor;|5:2|Roger Piantoni']</t>
  </si>
  <si>
    <t>Peter Doherty</t>
  </si>
  <si>
    <t>Danny Blanchflower</t>
  </si>
  <si>
    <t>Idrottsparken, Norrkï¿½Ping</t>
  </si>
  <si>
    <t>Juan Gardeazabal (Referee) · Nikolaj Latychev (AR1) · Bengt Andren (AR2)</t>
  </si>
  <si>
    <t>Maryan Wisnieski · 44|Just Fontaine · 55|Just Fontaine · 63|Roger Piantoni · 68</t>
  </si>
  <si>
    <t>['44&amp;rsquor;|1:0|Maryan Wisnieski', '55&amp;rsquor;|2:0|Just Fontaine', '63&amp;rsquor;|3:0|Just Fontaine', '68&amp;rsquor;|4:0|Roger Piantoni']</t>
  </si>
  <si>
    <t>Aleksandar Tirnanic</t>
  </si>
  <si>
    <t>Branko Zebec</t>
  </si>
  <si>
    <t>Malmo Stadion, Malmï¿½</t>
  </si>
  <si>
    <t>Paul Wyssling (Referee) · Joaquim Fernandes Campos (AR1) · Leo Helge (AR2)</t>
  </si>
  <si>
    <t>Paul Wyssling</t>
  </si>
  <si>
    <t>Helmut Rahn · 12</t>
  </si>
  <si>
    <t>['12&amp;rsquor;|1:0|Helmut Rahn']</t>
  </si>
  <si>
    <t>James Murphy</t>
  </si>
  <si>
    <t>Dave Bowen</t>
  </si>
  <si>
    <t>Fritz Seipelt (Referee) · Maurice Guigue (AR1) · Albert Dusch (AR2)</t>
  </si>
  <si>
    <t>Fritz Seipelt</t>
  </si>
  <si>
    <t>Pelé · 66</t>
  </si>
  <si>
    <t>['66&amp;rsquor;|1:0|Pelé']</t>
  </si>
  <si>
    <t>Nikita Simonyan</t>
  </si>
  <si>
    <t>Reginald Leafe (Referee) · Juan Brozzi (AR1) · Georg Dragvoll (AR2)</t>
  </si>
  <si>
    <t>Reginald Leafe</t>
  </si>
  <si>
    <t>Kurt Hamrin · 49|Agne Simonsson · 88</t>
  </si>
  <si>
    <t>['49&amp;rsquor;|1:0|Kurt Hamrin', '88&amp;rsquor;|2:0|Agne Simonsson']</t>
  </si>
  <si>
    <t>Karel Kolsky</t>
  </si>
  <si>
    <t>Maurice Guigue (Referee) · Joaquim Fernandes Campos (AR1) · Sten Ahlner (AR2)</t>
  </si>
  <si>
    <t>Group stage play-off</t>
  </si>
  <si>
    <t>Peter McParland · 44|Peter McParland · 99</t>
  </si>
  <si>
    <t>Zdeněk Zikán · 19</t>
  </si>
  <si>
    <t>['44&amp;rsquor;|1:1|Peter McParland', '99&amp;rsquor;|2:1|Peter McParland']</t>
  </si>
  <si>
    <t>['19&amp;rsquor;|0:1|Zdeněk Zikán']</t>
  </si>
  <si>
    <t>Titus Buberník · 102</t>
  </si>
  <si>
    <t>József Bozsik</t>
  </si>
  <si>
    <t>Nikolaj Latychev (Referee) · Jose Maria Codesal (AR1) · Arne Eriksson (AR2)</t>
  </si>
  <si>
    <t>Ivor Allchurch · 55|Terry Medwin · 76</t>
  </si>
  <si>
    <t>Lajos Tichy · 33</t>
  </si>
  <si>
    <t>['55&amp;rsquor;|1:1|Ivor Allchurch', '76&amp;rsquor;|2:1|Terry Medwin']</t>
  </si>
  <si>
    <t>['33&amp;rsquor;|0:1|Lajos Tichy']</t>
  </si>
  <si>
    <t>Ferenc Sipos · 79</t>
  </si>
  <si>
    <t>Billy Wright</t>
  </si>
  <si>
    <t>Albert Dusch (Referee) · Jan Bronkhorst (AR1) · Fritz Seipelt (AR2)</t>
  </si>
  <si>
    <t>Anatoli Ilyin · 68</t>
  </si>
  <si>
    <t>['68&amp;rsquor;|1:0|Anatoli Ilyin']</t>
  </si>
  <si>
    <t>Bengt Gustavsson</t>
  </si>
  <si>
    <t>Lucien Van Nuffel (Referee) · Leo Lemesic (AR1) · Nikolaj Latychev (AR2)</t>
  </si>
  <si>
    <t>Lucien Van Nuffel</t>
  </si>
  <si>
    <t>Aurelio Gonzalez</t>
  </si>
  <si>
    <t>Juan Bautista Agüero</t>
  </si>
  <si>
    <t>Tunavallen, Eskilstuna</t>
  </si>
  <si>
    <t>Martin Macko (Referee) · Benjamin Griffiths (AR1) · Juan Gardeazabal (AR2)</t>
  </si>
  <si>
    <t>Martin Macko</t>
  </si>
  <si>
    <t>José Parodi · 20|Juan Bautista Agüero · 49|Jorge Lino Romero · 80</t>
  </si>
  <si>
    <t>Radivoje Ognjanović · 12|Todor Veselinović · 29|Zdravko Rajkov · 73</t>
  </si>
  <si>
    <t>['20&amp;rsquor;|1:1|José Parodi', '49&amp;rsquor;|2:2|Juan Bautista Agüero', '80&amp;rsquor;|3:3|Jorge Lino Romero']</t>
  </si>
  <si>
    <t>['12&amp;rsquor;|0:1|Radivoje Ognjanović', '29&amp;rsquor;|1:2|Todor Veselinović', '73&amp;rsquor;|2:3|Zdravko Rajkov']</t>
  </si>
  <si>
    <t>Joaquim Fernandes Campos (Referee) · Sten Ahlner (AR1) · Leo Helge (AR2)</t>
  </si>
  <si>
    <t>Helmut Rahn · 20|Uwe Seeler · 79</t>
  </si>
  <si>
    <t>Peter McParland · 19|Peter McParland · 60</t>
  </si>
  <si>
    <t>['20&amp;rsquor;|1:1|Helmut Rahn', '79&amp;rsquor;|2:2|Uwe Seeler']</t>
  </si>
  <si>
    <t>['19&amp;rsquor;|0:1|Peter McParland', '60&amp;rsquor;|1:2|Peter McParland']</t>
  </si>
  <si>
    <t>Guillermo Stabile</t>
  </si>
  <si>
    <t>Pedro Dellacha</t>
  </si>
  <si>
    <t>Olympia Stadium, Helsingborg</t>
  </si>
  <si>
    <t>Arthur Ellis (Referee) · Reginald Leafe (AR1) · Fritz Seipelt (AR2)</t>
  </si>
  <si>
    <t>Arthur Ellis</t>
  </si>
  <si>
    <t>Milan Dvořák · 8|Zdeněk Zikán · 17|Zdeněk Zikán · 40|Jiří Feureisl · 69|Václav Hovorka · 82|Václav Hovorka · 89</t>
  </si>
  <si>
    <t>['8&amp;rsquor;|1:0|Milan Dvořák', '17&amp;rsquor;|2:0|Zdeněk Zikán', '40&amp;rsquor;|3:0|Zdeněk Zikán', '69&amp;rsquor;|4:1|Jiří Feureisl', '82&amp;rsquor;|5:1|Václav Hovorka', '89&amp;rsquor;|6:1|Václav Hovorka']</t>
  </si>
  <si>
    <t>Oreste Corbatta (P) · 65</t>
  </si>
  <si>
    <t>Josef Argauer</t>
  </si>
  <si>
    <t>Gerhard Hanappi</t>
  </si>
  <si>
    <t>Ryavallen, Boras</t>
  </si>
  <si>
    <t>Jan Bronkhorst (Referee) · Albert Dusch (AR1) · Istvan Zsolt (AR2)</t>
  </si>
  <si>
    <t>Jan Bronkhorst</t>
  </si>
  <si>
    <t>Johnny Haynes · 56|Derek Kevan · 73</t>
  </si>
  <si>
    <t>Karl Koller · 16|Alfred Körner · 70</t>
  </si>
  <si>
    <t>['56&amp;rsquor;|1:1|Johnny Haynes', '73&amp;rsquor;|2:2|Derek Kevan']</t>
  </si>
  <si>
    <t>['16&amp;rsquor;|0:1|Karl Koller', '70&amp;rsquor;|1:2|Alfred Körner']</t>
  </si>
  <si>
    <t>Maurice Guigue (Referee) · Birger Nilsen (AR1) · Carl Frederik Jorgensen (AR2)</t>
  </si>
  <si>
    <t>Vavá · 3|Vavá · 77</t>
  </si>
  <si>
    <t>['3&amp;rsquor;|1:0|Vavá', '77&amp;rsquor;|2:0|Vavá']</t>
  </si>
  <si>
    <t>Nándor Hidegkuti</t>
  </si>
  <si>
    <t>Antonio Lopez</t>
  </si>
  <si>
    <t>Jarnvallen, Sandviken</t>
  </si>
  <si>
    <t>Arne Eriksson (Referee) · Jose Maria Codesal (AR1) · Jack Mowat (AR2)</t>
  </si>
  <si>
    <t>Arne Eriksson</t>
  </si>
  <si>
    <t>Lajos Tichy · 19|Lajos Tichy · 46|Károly Sándor · 54|József Bencsics · 69</t>
  </si>
  <si>
    <t>['19&amp;rsquor;|1:0|Lajos Tichy', '46&amp;rsquor;|2:0|Lajos Tichy', '54&amp;rsquor;|3:0|Károly Sándor', '69&amp;rsquor;|4:0|József Bencsics']</t>
  </si>
  <si>
    <t>Dawson Walker</t>
  </si>
  <si>
    <t>Bobby Evans</t>
  </si>
  <si>
    <t>Eyravallen, Orebro</t>
  </si>
  <si>
    <t>Juan Brozzi (Referee) · Vincenzo Orlandini (AR1) · Paul Wyssling (AR2)</t>
  </si>
  <si>
    <t>Raymond Kopa · 22|Just Fontaine · 44</t>
  </si>
  <si>
    <t>Sammy Baird · 66</t>
  </si>
  <si>
    <t>['22&amp;rsquor;|1:0|Raymond Kopa', '44&amp;rsquor;|2:0|Just Fontaine']</t>
  </si>
  <si>
    <t>['66&amp;rsquor;|2:1|Sammy Baird']</t>
  </si>
  <si>
    <t>Jack Mowat (Referee) · Lucien Van Nuffel (AR1) · Georg Dragvoll (AR2)</t>
  </si>
  <si>
    <t>Jack Mowat</t>
  </si>
  <si>
    <t>Kurt Hamrin · 34|Kurt Hamrin · 55</t>
  </si>
  <si>
    <t>Lajos Tichy · 77</t>
  </si>
  <si>
    <t>['34&amp;rsquor;|1:0|Kurt Hamrin', '55&amp;rsquor;|2:0|Kurt Hamrin']</t>
  </si>
  <si>
    <t>['77&amp;rsquor;|2:1|Lajos Tichy']</t>
  </si>
  <si>
    <t>Carl Frederik Jorgensen (Referee) · Birger Nilsen (AR1) · Gosta Ackeborn (AR2)</t>
  </si>
  <si>
    <t>Carl Frederik Jorgensen</t>
  </si>
  <si>
    <t>Anatoli Ilyin · 15|Valentin Kozmich Ivanov · 63</t>
  </si>
  <si>
    <t>['15&amp;rsquor;|1:0|Anatoli Ilyin', '63&amp;rsquor;|2:0|Valentin Kozmich Ivanov']</t>
  </si>
  <si>
    <t>Hans Schäfer · 59|Helmut Rahn · 70</t>
  </si>
  <si>
    <t>Zdeněk Zikán · 43</t>
  </si>
  <si>
    <t>['59&amp;rsquor;|1:2|Hans Schäfer', '70&amp;rsquor;|2:2|Helmut Rahn']</t>
  </si>
  <si>
    <t>['43&amp;rsquor;|0:2|Zdeněk Zikán']</t>
  </si>
  <si>
    <t>Milan Dvořák (P) · 24</t>
  </si>
  <si>
    <t>Orjans Vall, Halmstad</t>
  </si>
  <si>
    <t>Sten Ahlner (Referee) · Joaquim Fernandes Campos (AR1) · Leo Helge (AR2)</t>
  </si>
  <si>
    <t>Sten Ahlner</t>
  </si>
  <si>
    <t>Norberto Menéndez · 55|Ludovico Avio · 59</t>
  </si>
  <si>
    <t>Peter McParland · 3</t>
  </si>
  <si>
    <t>['55&amp;rsquor;|2:1|Norberto Menéndez', '59&amp;rsquor;|3:1|Ludovico Avio']</t>
  </si>
  <si>
    <t>['3&amp;rsquor;|0:1|Peter McParland']</t>
  </si>
  <si>
    <t>Oreste Corbatta (P) · 38</t>
  </si>
  <si>
    <t>Roger Marche</t>
  </si>
  <si>
    <t>Arosvallen, Vasteras</t>
  </si>
  <si>
    <t>Benjamin Griffiths (Referee) · Paul Wyssling (AR1) · Georg Dragvoll (AR2)</t>
  </si>
  <si>
    <t>Aleksandar Petaković · 16|Todor Veselinović · 63|Todor Veselinović · 88</t>
  </si>
  <si>
    <t>Just Fontaine · 4|Just Fontaine · 85</t>
  </si>
  <si>
    <t>['16&amp;rsquor;|1:1|Aleksandar Petaković', '63&amp;rsquor;|2:1|Todor Veselinović', '88&amp;rsquor;|3:2|Todor Veselinović']</t>
  </si>
  <si>
    <t>['4&amp;rsquor;|0:1|Just Fontaine', '85&amp;rsquor;|2:2|Just Fontaine']</t>
  </si>
  <si>
    <t>Tommy Younger</t>
  </si>
  <si>
    <t>Vincenzo Orlandini (Referee) · Juan Gardeazabal (AR1) · Bengt Andren (AR2)</t>
  </si>
  <si>
    <t>Vincenzo Orlandini</t>
  </si>
  <si>
    <t>Juan Bautista Agüero · 4|Cayetano Ré · 45|José Parodi · 73</t>
  </si>
  <si>
    <t>Jackie Mudie · 24|Bobby Collins · 76</t>
  </si>
  <si>
    <t>['4&amp;rsquor;|1:0|Juan Bautista Agüero', '45&amp;rsquor;|2:1|Cayetano Ré', '73&amp;rsquor;|3:1|José Parodi']</t>
  </si>
  <si>
    <t>['24&amp;rsquor;|1:1|Jackie Mudie', '76&amp;rsquor;|3:2|Bobby Collins']</t>
  </si>
  <si>
    <t>Albert Dusch (Referee) · Bertil Loeoew (AR1) · Istvan Zsolt (AR2)</t>
  </si>
  <si>
    <t>Leo Lemesic (Referee) · Nikolaj Latychev (AR1) · Jose Maria Codesal (AR2)</t>
  </si>
  <si>
    <t>Leo Lemesic</t>
  </si>
  <si>
    <t>Jaime Belmonte · 89</t>
  </si>
  <si>
    <t>Ivor Allchurch · 32</t>
  </si>
  <si>
    <t>['89&amp;rsquor;|1:1|Jaime Belmonte']</t>
  </si>
  <si>
    <t>['32&amp;rsquor;|0:1|Ivor Allchurch']</t>
  </si>
  <si>
    <t>Nikolaj Latychev (Referee) · Jack Mowat (AR1) · Arne Eriksson (AR2)</t>
  </si>
  <si>
    <t>Agne Simonsson · 17|Agne Simonsson · 64</t>
  </si>
  <si>
    <t>['17&amp;rsquor;|1:0|Agne Simonsson', '64&amp;rsquor;|3:0|Agne Simonsson']</t>
  </si>
  <si>
    <t>Nils Liedholm (P) · 57</t>
  </si>
  <si>
    <t>Fritz Seipelt (Referee) · Arthur Ellis (AR1) · Joaquim Fernandes Campos (AR2)</t>
  </si>
  <si>
    <t>Wilbur Cush · 20</t>
  </si>
  <si>
    <t>['20&amp;rsquor;|1:0|Wilbur Cush']</t>
  </si>
  <si>
    <t>Jose Maria Codesal (Referee) · Leo Lemesic (AR1) · Lucien Van Nuffel (AR2)</t>
  </si>
  <si>
    <t>József Bozsik · 5</t>
  </si>
  <si>
    <t>John Charles · 27</t>
  </si>
  <si>
    <t>['5&amp;rsquor;|1:0|József Bozsik']</t>
  </si>
  <si>
    <t>['27&amp;rsquor;|1:1|John Charles']</t>
  </si>
  <si>
    <t>Paul Wyssling (Referee) · Vincenzo Orlandini (AR1) · Martin Macko (AR2)</t>
  </si>
  <si>
    <t>Aleksandar Petaković · 6</t>
  </si>
  <si>
    <t>Jimmy Murray · 49</t>
  </si>
  <si>
    <t>['6&amp;rsquor;|1:0|Aleksandar Petaković']</t>
  </si>
  <si>
    <t>['49&amp;rsquor;|1:1|Jimmy Murray']</t>
  </si>
  <si>
    <t>Rimnersvallen, Udevalla</t>
  </si>
  <si>
    <t>Maurice Guigue (Referee) · Albert Dusch (AR1) · Jan Bronkhorst (AR2)</t>
  </si>
  <si>
    <t>José Altafini · 38|Nílton Santos · 49|José Altafini · 89</t>
  </si>
  <si>
    <t>['38&amp;rsquor;|1:0|José Altafini', '49&amp;rsquor;|2:0|Nílton Santos', '89&amp;rsquor;|3:0|José Altafini']</t>
  </si>
  <si>
    <t>Istvan Zsolt (Referee) · Birger Nilsen (AR1) · Carl Frederik Jorgensen (AR2)</t>
  </si>
  <si>
    <t>Nikita Simonyan · 13|Aleksandr Ivanov · 55</t>
  </si>
  <si>
    <t>Derek Kevan · 66</t>
  </si>
  <si>
    <t>['13&amp;rsquor;|1:0|Nikita Simonyan', '55&amp;rsquor;|2:0|Aleksandr Ivanov']</t>
  </si>
  <si>
    <t>['66&amp;rsquor;|2:1|Derek Kevan']</t>
  </si>
  <si>
    <t>Tom Finney (P) · 85</t>
  </si>
  <si>
    <t>Juan Gardeazabal (Referee) · Benjamin Griffiths (AR1) · Juan Brozzi (AR2)</t>
  </si>
  <si>
    <t>7–3</t>
  </si>
  <si>
    <t>Just Fontaine · 24|Just Fontaine · 30|Roger Piantoni · 52|Maryan Wisnieski · 61|Just Fontaine · 67|Raymond Kopa · 70|Jean Vincent · 83</t>
  </si>
  <si>
    <t>Florencio Amarilla · 20|Jorge Lino Romero · 50</t>
  </si>
  <si>
    <t>['24&amp;rsquor;|1:1|Just Fontaine', '30&amp;rsquor;|2:1|Just Fontaine', '52&amp;rsquor;|3:3|Roger Piantoni', '61&amp;rsquor;|4:3|Maryan Wisnieski', '67&amp;rsquor;|5:3|Just Fontaine', '70&amp;rsquor;|6:3|Raymond Kopa', '83&amp;rsquor;|7:3|Jean Vincent']</t>
  </si>
  <si>
    <t>['20&amp;rsquor;|0:1|Florencio Amarilla', '50&amp;rsquor;|2:3|Jorge Lino Romero']</t>
  </si>
  <si>
    <t>Florencio Amarilla (P) · 44</t>
  </si>
  <si>
    <t>Reginald Leafe (Referee) · Leo Helge (AR1) · Sten Ahlner (AR2)</t>
  </si>
  <si>
    <t>Oreste Corbatta · 2</t>
  </si>
  <si>
    <t>Helmut Rahn · 32|Uwe Seeler · 40|Helmut Rahn · 79</t>
  </si>
  <si>
    <t>['2&amp;rsquor;|1:0|Oreste Corbatta']</t>
  </si>
  <si>
    <t>['32&amp;rsquor;|1:1|Helmut Rahn', '40&amp;rsquor;|1:2|Uwe Seeler', '79&amp;rsquor;|1:3|Helmut Rahn']</t>
  </si>
  <si>
    <t>Fritz Walter</t>
  </si>
  <si>
    <t>Gusztav Sebes</t>
  </si>
  <si>
    <t>Ferenc Puskás</t>
  </si>
  <si>
    <t>Wankdorf Stadium, Berne</t>
  </si>
  <si>
    <t>William Ling (Referee) · Vincenzo Orlandini (AR1) · Benjamin Griffiths (AR2)</t>
  </si>
  <si>
    <t>William Ling</t>
  </si>
  <si>
    <t>Max Morlock · 10|Helmut Rahn · 18|Helmut Rahn · 84</t>
  </si>
  <si>
    <t>Ferenc Puskás · 6|Zoltán Czibor · 8</t>
  </si>
  <si>
    <t>['10&amp;rsquor;|1:2|Max Morlock', '18&amp;rsquor;|2:2|Helmut Rahn', '84&amp;rsquor;|3:2|Helmut Rahn']</t>
  </si>
  <si>
    <t>['6&amp;rsquor;|0:1|Ferenc Puskás', '8&amp;rsquor;|0:2|Zoltán Czibor']</t>
  </si>
  <si>
    <t>Walter Nausch</t>
  </si>
  <si>
    <t>Ernst Ocwirk</t>
  </si>
  <si>
    <t>Juan Lopez</t>
  </si>
  <si>
    <t>William Martínez</t>
  </si>
  <si>
    <t>Hardturm, Zurich</t>
  </si>
  <si>
    <t>Paul Wyssling (Referee) · Istvan Zsolt (AR1) · Arthur Ellis (AR2)</t>
  </si>
  <si>
    <t>Ernst Ocwirk · 79</t>
  </si>
  <si>
    <t>Juan Hohberg · 22</t>
  </si>
  <si>
    <t>['79&amp;rsquor;|3:1|Ernst Ocwirk']</t>
  </si>
  <si>
    <t>['22&amp;rsquor;|1:1|Juan Hohberg']</t>
  </si>
  <si>
    <t>Luis Cruz (OG) · 59</t>
  </si>
  <si>
    <t>Ernst Stojaspal (P) · 16</t>
  </si>
  <si>
    <t>La Pontaise, Lausanne</t>
  </si>
  <si>
    <t>Benjamin Griffiths (Referee) · Charlie Faultless (AR1) · Raymond Vincenti (AR2)</t>
  </si>
  <si>
    <t>Zoltán Czibor · 12|Nándor Hidegkuti · 47|Sándor Kocsis · 109|Sándor Kocsis · 116</t>
  </si>
  <si>
    <t>Juan Hohberg · 75|Juan Hohberg · 86</t>
  </si>
  <si>
    <t>['12&amp;rsquor;|1:0|Zoltán Czibor', '47&amp;rsquor;|2:0|Nándor Hidegkuti', '109&amp;rsquor;|3:2|Sándor Kocsis', '116&amp;rsquor;|4:2|Sándor Kocsis']</t>
  </si>
  <si>
    <t>['75&amp;rsquor;|2:1|Juan Hohberg', '86&amp;rsquor;|2:2|Juan Hohberg']</t>
  </si>
  <si>
    <t>St. Jakob, Basel</t>
  </si>
  <si>
    <t>Vincenzo Orlandini (Referee) · Arthur Ellis (AR1) · Fritz Buchmueller (AR2)</t>
  </si>
  <si>
    <t>Hans Schäfer · 31|Max Morlock · 47|Ottmar Walter · 61|Ottmar Walter · 89</t>
  </si>
  <si>
    <t>Erich Probst · 51</t>
  </si>
  <si>
    <t>['31&amp;rsquor;|1:0|Hans Schäfer', '47&amp;rsquor;|2:0|Max Morlock', '61&amp;rsquor;|4:1|Ottmar Walter', '89&amp;rsquor;|6:1|Ottmar Walter']</t>
  </si>
  <si>
    <t>['51&amp;rsquor;|2:1|Erich Probst']</t>
  </si>
  <si>
    <t>Fritz Walter (P) · 54|Fritz Walter (P) · 64</t>
  </si>
  <si>
    <t>Rajko Mitić</t>
  </si>
  <si>
    <t>Charmilles, Geneva</t>
  </si>
  <si>
    <t>Istvan Zsolt (Referee) · Laurent Franken (AR1) · Fritz Buchmueller (AR2)</t>
  </si>
  <si>
    <t>Helmut Rahn · 85</t>
  </si>
  <si>
    <t>['85&amp;rsquor;|2:0|Helmut Rahn']</t>
  </si>
  <si>
    <t>Ivica Horvat (OG) · 9</t>
  </si>
  <si>
    <t>Zeze Moreira</t>
  </si>
  <si>
    <t>Bauer</t>
  </si>
  <si>
    <t>Arthur Ellis (Referee) · William Ling (AR1) · Paul Wyssling (AR2)</t>
  </si>
  <si>
    <t>Nándor Hidegkuti · 4|Sándor Kocsis · 7|Sándor Kocsis · 88</t>
  </si>
  <si>
    <t>Júlio Botelho · 65</t>
  </si>
  <si>
    <t>['4&amp;rsquor;|1:0|Nándor Hidegkuti', '7&amp;rsquor;|2:0|Sándor Kocsis', '88&amp;rsquor;|4:2|Sándor Kocsis']</t>
  </si>
  <si>
    <t>['65&amp;rsquor;|3:2|Júlio Botelho']</t>
  </si>
  <si>
    <t>Mihály Lantos (P) · 60</t>
  </si>
  <si>
    <t>Djalma Santos (P) · 18</t>
  </si>
  <si>
    <t>József Bozsik · 71</t>
  </si>
  <si>
    <t>Nílton Santos · 71|Humberto Tozzi · 79</t>
  </si>
  <si>
    <t>Obdulio Varela</t>
  </si>
  <si>
    <t>Carl Steiner (Referee) · Vasa Stefanovic (AR1) · Vincenzo Orlandini (AR2)</t>
  </si>
  <si>
    <t>Carlos Borges · 5|Obdulio Varela · 39|Juan Alberto Schiaffino · 46|Javier Ambrois · 78</t>
  </si>
  <si>
    <t>Nat Lofthouse · 16|Tom Finney · 67</t>
  </si>
  <si>
    <t>['5&amp;rsquor;|1:0|Carlos Borges', '39&amp;rsquor;|2:1|Obdulio Varela', '46&amp;rsquor;|3:1|Juan Alberto Schiaffino', '78&amp;rsquor;|4:2|Javier Ambrois']</t>
  </si>
  <si>
    <t>['16&amp;rsquor;|1:1|Nat Lofthouse', '67&amp;rsquor;|3:2|Tom Finney']</t>
  </si>
  <si>
    <t>Roger Bocquet</t>
  </si>
  <si>
    <t>Charlie Faultless (Referee) · Manuel Asensi (AR1) · Emil Schmetzer (AR2)</t>
  </si>
  <si>
    <t>5–7</t>
  </si>
  <si>
    <t>Charlie Faultless</t>
  </si>
  <si>
    <t>Robert Ballaman · 16|Josef Hügi · 17|Josef Hügi · 19|Robert Ballaman · 39|Josef Hügi · 60</t>
  </si>
  <si>
    <t>Theodor Wagner · 25|Alfred Körner · 26|Theodor Wagner · 27|Ernst Ocwirk · 32|Alfred Körner · 34|Theodor Wagner · 53|Erich Probst · 76</t>
  </si>
  <si>
    <t>['16&amp;rsquor;|1:0|Robert Ballaman', '17&amp;rsquor;|2:0|Josef Hügi', '19&amp;rsquor;|3:0|Josef Hügi', '39&amp;rsquor;|4:5|Robert Ballaman', '60&amp;rsquor;|5:6|Josef Hügi']</t>
  </si>
  <si>
    <t>['25&amp;rsquor;|3:1|Theodor Wagner', '26&amp;rsquor;|3:2|Alfred Körner', '27&amp;rsquor;|3:3|Theodor Wagner', '32&amp;rsquor;|3:4|Ernst Ocwirk', '34&amp;rsquor;|3:5|Alfred Körner', '53&amp;rsquor;|4:6|Theodor Wagner', '76&amp;rsquor;|5:7|Erich Probst']</t>
  </si>
  <si>
    <t>Sandro Puppo</t>
  </si>
  <si>
    <t>Lefter Küçükandonyadis</t>
  </si>
  <si>
    <t>Raymond Vincenti (Referee) · Charlie Faultless (AR1) · Ernst Doerflinger (AR2)</t>
  </si>
  <si>
    <t>7–2</t>
  </si>
  <si>
    <t>Raymond Vincenti</t>
  </si>
  <si>
    <t>Ottmar Walter · 7|Hans Schäfer · 12|Max Morlock · 30|Max Morlock · 60|Fritz Walter · 62|Max Morlock · 77|Hans Schäfer · 79</t>
  </si>
  <si>
    <t>Mustafa Ertan · 21|Lefter Küçükandonyadis · 82</t>
  </si>
  <si>
    <t>['7&amp;rsquor;|1:0|Ottmar Walter', '12&amp;rsquor;|2:0|Hans Schäfer', '30&amp;rsquor;|3:1|Max Morlock', '60&amp;rsquor;|4:1|Max Morlock', '62&amp;rsquor;|5:1|Fritz Walter', '77&amp;rsquor;|6:1|Max Morlock', '79&amp;rsquor;|7:1|Hans Schäfer']</t>
  </si>
  <si>
    <t>['21&amp;rsquor;|2:1|Mustafa Ertan', '82&amp;rsquor;|7:2|Lefter Küçükandonyadis']</t>
  </si>
  <si>
    <t>Lajos Czeizler</t>
  </si>
  <si>
    <t>Egisto Pandolfini</t>
  </si>
  <si>
    <t>Benjamin Griffiths (Referee) · Jose Da Costa Vieira (AR1) · William Ling (AR2)</t>
  </si>
  <si>
    <t>Josef Hügi · 14|Robert Ballaman · 48|Josef Hügi · 85|Jacques Fatton · 90</t>
  </si>
  <si>
    <t>Fulvio Nesti · 67</t>
  </si>
  <si>
    <t>['14&amp;rsquor;|1:0|Josef Hügi', '48&amp;rsquor;|2:0|Robert Ballaman', '85&amp;rsquor;|3:1|Josef Hügi', '90&amp;rsquor;|4:1|Jacques Fatton']</t>
  </si>
  <si>
    <t>['67&amp;rsquor;|2:1|Fulvio Nesti']</t>
  </si>
  <si>
    <t>William Ling (Referee) · Werner Schicker (AR1) · Benjamin Griffiths (AR2)</t>
  </si>
  <si>
    <t>8–3</t>
  </si>
  <si>
    <t>Sándor Kocsis · 3|Ferenc Puskás · 17|Sándor Kocsis · 21|Nándor Hidegkuti · 52|Nándor Hidegkuti · 54|Sándor Kocsis · 69|József Tóth · 75|Sándor Kocsis · 78</t>
  </si>
  <si>
    <t>Alfred Pfaff · 25|Helmut Rahn · 77|Richard Herrmann · 84</t>
  </si>
  <si>
    <t>['3&amp;rsquor;|1:0|Sándor Kocsis', '17&amp;rsquor;|2:0|Ferenc Puskás', '21&amp;rsquor;|3:0|Sándor Kocsis', '52&amp;rsquor;|4:1|Nándor Hidegkuti', '54&amp;rsquor;|5:1|Nándor Hidegkuti', '69&amp;rsquor;|6:1|Sándor Kocsis', '75&amp;rsquor;|7:1|József Tóth', '78&amp;rsquor;|8:2|Sándor Kocsis']</t>
  </si>
  <si>
    <t>['25&amp;rsquor;|3:1|Alfred Pfaff', '77&amp;rsquor;|7:2|Helmut Rahn', '84&amp;rsquor;|8:3|Richard Herrmann']</t>
  </si>
  <si>
    <t>Turgay Şeren</t>
  </si>
  <si>
    <t>Yong Shik Kim</t>
  </si>
  <si>
    <t>Park Kyu-chung</t>
  </si>
  <si>
    <t>Esteban Marino (Referee) · Vincenzo Orlandini (AR1) · Ernest Schonholzer (AR2)</t>
  </si>
  <si>
    <t>Esteban Marino</t>
  </si>
  <si>
    <t>Suat Mamat · 10|Lefter Küçükandonyadis · 18|Suat Mamat · 30|Burhan Sargun · 37|Burhan Sargun · 64|Burhan Sargun · 70|Erol Keskin · 76</t>
  </si>
  <si>
    <t>['10&amp;rsquor;|1:0|Suat Mamat', '18&amp;rsquor;|2:0|Lefter Küçükandonyadis', '30&amp;rsquor;|3:0|Suat Mamat', '37&amp;rsquor;|4:0|Burhan Sargun', '64&amp;rsquor;|5:0|Burhan Sargun', '70&amp;rsquor;|6:0|Burhan Sargun', '76&amp;rsquor;|7:0|Erol Keskin']</t>
  </si>
  <si>
    <t>Doug Livingstone</t>
  </si>
  <si>
    <t>Joseph Mermans</t>
  </si>
  <si>
    <t>Comunale di Cornaredo, Lugano</t>
  </si>
  <si>
    <t>Carl Steiner (Referee) · Raymond Vincenti (AR1) · Emil Schmetzer (AR2)</t>
  </si>
  <si>
    <t>Carlo Galli · 48|Amleto Frignani · 58|Benito Lorenzi · 78</t>
  </si>
  <si>
    <t>Léopold Anoul · 81</t>
  </si>
  <si>
    <t>['48&amp;rsquor;|2:0|Carlo Galli', '58&amp;rsquor;|3:0|Amleto Frignani', '78&amp;rsquor;|4:0|Benito Lorenzi']</t>
  </si>
  <si>
    <t>['81&amp;rsquor;|4:1|Léopold Anoul']</t>
  </si>
  <si>
    <t>Egisto Pandolfini (P) · 41</t>
  </si>
  <si>
    <t>Istvan Zsolt (Referee) · Jose Da Costa Vieira (AR1) · Vasa Stefanovic (AR2)</t>
  </si>
  <si>
    <t>Jimmy Mullen · 43|Dennis Wilshaw · 69</t>
  </si>
  <si>
    <t>['43&amp;rsquor;|0:1|Jimmy Mullen', '69&amp;rsquor;|0:2|Dennis Wilshaw']</t>
  </si>
  <si>
    <t>Andy Battie</t>
  </si>
  <si>
    <t>Willie Cunningham</t>
  </si>
  <si>
    <t>Vincenzo Orlandini (Referee) · Paul Wyssling (AR1) · Denilo Guidi (AR2)</t>
  </si>
  <si>
    <t>Carlos Borges · 17|Óscar Míguez · 30|Carlos Borges · 47|Julio Abbadie · 54|Carlos Borges · 57|Óscar Míguez · 83|Julio Abbadie · 85</t>
  </si>
  <si>
    <t>['17&amp;rsquor;|1:0|Carlos Borges', '30&amp;rsquor;|2:0|Óscar Míguez', '47&amp;rsquor;|3:0|Carlos Borges', '54&amp;rsquor;|4:0|Julio Abbadie', '57&amp;rsquor;|5:0|Carlos Borges', '83&amp;rsquor;|6:0|Óscar Míguez', '85&amp;rsquor;|7:0|Julio Abbadie']</t>
  </si>
  <si>
    <t>Charlie Faultless (Referee) · Arthur Ellis (AR1) · Albert Von Gunter (AR2)</t>
  </si>
  <si>
    <t>Didi · 69</t>
  </si>
  <si>
    <t>Branko Zebec · 48</t>
  </si>
  <si>
    <t>['69&amp;rsquor;|1:1|Didi']</t>
  </si>
  <si>
    <t>['48&amp;rsquor;|0:1|Branko Zebec']</t>
  </si>
  <si>
    <t>Josef Cejp</t>
  </si>
  <si>
    <t>Vasa Stefanovic (Referee) · Ernst Doerflinger (AR1) · Josef Gulde (AR2)</t>
  </si>
  <si>
    <t>Vasa Stefanovic</t>
  </si>
  <si>
    <t>Ernst Stojaspal · 3|Erich Probst · 4|Erich Probst · 21|Erich Probst · 24|Ernst Stojaspal · 65</t>
  </si>
  <si>
    <t>['3&amp;rsquor;|1:0|Ernst Stojaspal', '4&amp;rsquor;|2:0|Erich Probst', '21&amp;rsquor;|3:0|Erich Probst', '24&amp;rsquor;|4:0|Erich Probst', '65&amp;rsquor;|5:0|Ernst Stojaspal']</t>
  </si>
  <si>
    <t>Pierre Pibarot</t>
  </si>
  <si>
    <t>José Naranjo</t>
  </si>
  <si>
    <t>Manuel Asensi (Referee) · Laurent Franken (AR1) · Rene Baumberger (AR2)</t>
  </si>
  <si>
    <t>Manuel Asensi</t>
  </si>
  <si>
    <t>Jean Vincent · 19</t>
  </si>
  <si>
    <t>José Luis Lamadrid · 54|Tomás Balcázar · 85</t>
  </si>
  <si>
    <t>['19&amp;rsquor;|1:0|Jean Vincent']</t>
  </si>
  <si>
    <t>['54&amp;rsquor;|2:1|José Luis Lamadrid', '85&amp;rsquor;|2:2|Tomás Balcázar']</t>
  </si>
  <si>
    <t>Raúl Cárdenas (OG) · 46</t>
  </si>
  <si>
    <t>Raymond Kopa (P) · 88</t>
  </si>
  <si>
    <t>Giampiero Boniperti</t>
  </si>
  <si>
    <t>Mario Viana (Referee) · Manuel Asensi (AR1) · Esteban Marino (AR2)</t>
  </si>
  <si>
    <t>Mario Viana</t>
  </si>
  <si>
    <t>Robert Ballaman · 18|Josef Hügi · 78</t>
  </si>
  <si>
    <t>Giampiero Boniperti · 44</t>
  </si>
  <si>
    <t>['18&amp;rsquor;|1:0|Robert Ballaman', '78&amp;rsquor;|2:1|Josef Hügi']</t>
  </si>
  <si>
    <t>['44&amp;rsquor;|1:1|Giampiero Boniperti']</t>
  </si>
  <si>
    <t>Min Byung-dae</t>
  </si>
  <si>
    <t>Raymond Vincenti (Referee) · Albert Von Gunter (AR1) · Carl Steiner (AR2)</t>
  </si>
  <si>
    <t>Ferenc Puskás · 12|Mihály Lantos · 18|Sándor Kocsis · 24|Sándor Kocsis · 36|Sándor Kocsis · 50|Zoltán Czibor · 59|Péter Palotás · 75|Péter Palotás · 83|Ferenc Puskás · 89</t>
  </si>
  <si>
    <t>['12&amp;rsquor;|1:0|Ferenc Puskás', '18&amp;rsquor;|2:0|Mihály Lantos', '24&amp;rsquor;|3:0|Sándor Kocsis', '36&amp;rsquor;|4:0|Sándor Kocsis', '50&amp;rsquor;|5:0|Sándor Kocsis', '59&amp;rsquor;|6:0|Zoltán Czibor', '75&amp;rsquor;|7:0|Péter Palotás', '83&amp;rsquor;|8:0|Péter Palotás', '89&amp;rsquor;|9:0|Ferenc Puskás']</t>
  </si>
  <si>
    <t>Jose Da Costa Vieira (Referee) · Istvan Zsolt (AR1) · Armand Merlotti (AR2)</t>
  </si>
  <si>
    <t>Jose Da Costa Vieira</t>
  </si>
  <si>
    <t>Hans Schäfer · 14|Bernhard Klodt · 52|Ottmar Walter · 60|Max Morlock · 84</t>
  </si>
  <si>
    <t>Suat Mamat · 2</t>
  </si>
  <si>
    <t>['14&amp;rsquor;|1:1|Hans Schäfer', '52&amp;rsquor;|2:1|Bernhard Klodt', '60&amp;rsquor;|3:1|Ottmar Walter', '84&amp;rsquor;|4:1|Max Morlock']</t>
  </si>
  <si>
    <t>['2&amp;rsquor;|0:1|Suat Mamat']</t>
  </si>
  <si>
    <t>Emil Schmetzer (Referee) · Fritz Buchmueller (AR1) · Willy Ruffli (AR2)</t>
  </si>
  <si>
    <t>Emil Schmetzer</t>
  </si>
  <si>
    <t>Ivor Broadis · 26|Nat Lofthouse · 36|Ivor Broadis · 63|Nat Lofthouse · 91</t>
  </si>
  <si>
    <t>Léopold Anoul · 5|Henri Coppens · 67|Léopold Anoul · 71</t>
  </si>
  <si>
    <t>['26&amp;rsquor;|1:1|Ivor Broadis', '36&amp;rsquor;|2:1|Nat Lofthouse', '63&amp;rsquor;|3:1|Ivor Broadis', '91&amp;rsquor;|4:3|Nat Lofthouse']</t>
  </si>
  <si>
    <t>['5&amp;rsquor;|0:1|Léopold Anoul', '67&amp;rsquor;|3:2|Henri Coppens', '71&amp;rsquor;|3:3|Léopold Anoul']</t>
  </si>
  <si>
    <t>Jimmy Dickinson (OG) · 94</t>
  </si>
  <si>
    <t>Oldrich Nejedly</t>
  </si>
  <si>
    <t>Arthur Ellis (Referee) · William Ling (AR1) · Werner Schicker (AR2)</t>
  </si>
  <si>
    <t>Óscar Míguez · 71|Juan Alberto Schiaffino · 84</t>
  </si>
  <si>
    <t>['71&amp;rsquor;|1:0|Óscar Míguez', '84&amp;rsquor;|2:0|Juan Alberto Schiaffino']</t>
  </si>
  <si>
    <t>Stjepan Bobek</t>
  </si>
  <si>
    <t>Benjamin Griffiths (Referee) · Rene Baumberger (AR1) · Manuel Asensi (AR2)</t>
  </si>
  <si>
    <t>Miloš Milutinović · 15</t>
  </si>
  <si>
    <t>['15&amp;rsquor;|1:0|Miloš Milutinović']</t>
  </si>
  <si>
    <t>Paul Wyssling (Referee) · Ernest Schonholzer (AR1) · Jose Da Costa Vieira (AR2)</t>
  </si>
  <si>
    <t>Baltazar · 23|Didi · 30|José Lázaro Robles · 34|José Lázaro Robles · 43|Júlio Botelho · 69</t>
  </si>
  <si>
    <t>['23&amp;rsquor;|1:0|Baltazar', '30&amp;rsquor;|2:0|Didi', '34&amp;rsquor;|3:0|José Lázaro Robles', '43&amp;rsquor;|4:0|José Lázaro Robles', '69&amp;rsquor;|5:0|Júlio Botelho']</t>
  </si>
  <si>
    <t>Kurt Schmied</t>
  </si>
  <si>
    <t>Laurent Franken (Referee) · Mario Viana (AR1) · Josef Gulde (AR2)</t>
  </si>
  <si>
    <t>Laurent Franken</t>
  </si>
  <si>
    <t>Erich Probst · 33</t>
  </si>
  <si>
    <t>['33&amp;rsquor;|1:0|Erich Probst']</t>
  </si>
  <si>
    <t>Erik Nilsson</t>
  </si>
  <si>
    <t>Guillermo Eizaguirre</t>
  </si>
  <si>
    <t>Telmo Zarra</t>
  </si>
  <si>
    <t>Pacaembu, Sao Paulo</t>
  </si>
  <si>
    <t>Karel Van Der Meer (Referee) · Jean Lutz (AR1) · Prudencio Garcia (AR2)</t>
  </si>
  <si>
    <t>Final stage</t>
  </si>
  <si>
    <t>Karel Van Der Meer</t>
  </si>
  <si>
    <t>Stig Sundqvist · 15|Bror Mellberg · 33|Karl-Erik Palmér · 80</t>
  </si>
  <si>
    <t>Telmo Zarra · 82</t>
  </si>
  <si>
    <t>['15&amp;rsquor;|1:0|Stig Sundqvist', '33&amp;rsquor;|2:0|Bror Mellberg', '80&amp;rsquor;|3:0|Karl-Erik Palmér']</t>
  </si>
  <si>
    <t>['82&amp;rsquor;|3:1|Telmo Zarra']</t>
  </si>
  <si>
    <t>Flavio Costa</t>
  </si>
  <si>
    <t>Augusto da Costa</t>
  </si>
  <si>
    <t>Maracanï¿½ - Estï¿½dio Jornalista Mï¿½rio Filho, Rio De Janeiro</t>
  </si>
  <si>
    <t>George Reader (Referee) · Arthur Ellis (AR1) · George Mitchell (AR2)</t>
  </si>
  <si>
    <t>George Reader</t>
  </si>
  <si>
    <t>Juan Alberto Schiaffino · 66|Alcides Ghiggia · 79</t>
  </si>
  <si>
    <t>Friaça · 47</t>
  </si>
  <si>
    <t>['66&amp;rsquor;|1:1|Juan Alberto Schiaffino', '79&amp;rsquor;|2:1|Alcides Ghiggia']</t>
  </si>
  <si>
    <t>['47&amp;rsquor;|0:1|Friaça']</t>
  </si>
  <si>
    <t>Agustín Gaínza</t>
  </si>
  <si>
    <t>Reginald Leafe (Referee) · George Mitchell (AR1) · Jose Da Costa Vieira (AR2)</t>
  </si>
  <si>
    <t>Jair da Rosa Pinto · 21|Francisco Aramburu · 31|Francisco Aramburu · 55|Ademir · 57|Zizinho · 67</t>
  </si>
  <si>
    <t>Silvestre Igoa · 71</t>
  </si>
  <si>
    <t>['21&amp;rsquor;|2:0|Jair da Rosa Pinto', '31&amp;rsquor;|3:0|Francisco Aramburu', '55&amp;rsquor;|4:0|Francisco Aramburu', '57&amp;rsquor;|5:0|Ademir', '67&amp;rsquor;|6:0|Zizinho']</t>
  </si>
  <si>
    <t>['71&amp;rsquor;|6:1|Silvestre Igoa']</t>
  </si>
  <si>
    <t>José Parra Martínez (OG) · 15</t>
  </si>
  <si>
    <t>['1&amp;rsquor;|0:0|Bigode']</t>
  </si>
  <si>
    <t>Giovanni Galeati (Referee) · Alois Beranek (AR1) · Cayetano De Nicola (AR2)</t>
  </si>
  <si>
    <t>Giovanni Galeati</t>
  </si>
  <si>
    <t>Alcides Ghiggia · 39|Óscar Míguez · 77|Óscar Míguez · 85</t>
  </si>
  <si>
    <t>Karl-Erik Palmér · 5|Stig Sundqvist · 40</t>
  </si>
  <si>
    <t>['39&amp;rsquor;|1:1|Alcides Ghiggia', '77&amp;rsquor;|2:2|Óscar Míguez', '85&amp;rsquor;|3:2|Óscar Míguez']</t>
  </si>
  <si>
    <t>['5&amp;rsquor;|0:1|Karl-Erik Palmér', '40&amp;rsquor;|1:2|Stig Sundqvist']</t>
  </si>
  <si>
    <t>Arthur Ellis (Referee) · Prudencio Garcia (AR1) · Charles De La Salle (AR2)</t>
  </si>
  <si>
    <t>7–1</t>
  </si>
  <si>
    <t>Ademir · 17|Ademir · 36|Francisco Aramburu · 39|Ademir · 52|Ademir · 58|Maneca · 85|Francisco Aramburu · 88</t>
  </si>
  <si>
    <t>['17&amp;rsquor;|1:0|Ademir', '36&amp;rsquor;|2:0|Ademir', '39&amp;rsquor;|3:0|Francisco Aramburu', '52&amp;rsquor;|4:0|Ademir', '58&amp;rsquor;|5:0|Ademir', '85&amp;rsquor;|6:1|Maneca', '88&amp;rsquor;|7:1|Francisco Aramburu']</t>
  </si>
  <si>
    <t>Sune Andersson (P) · 67</t>
  </si>
  <si>
    <t>Benjamin Griffiths (Referee) · Generoso Dattilo (AR1) · Alfredo Alvarez (AR2)</t>
  </si>
  <si>
    <t>Alcides Ghiggia · 29|Obdulio Varela · 73</t>
  </si>
  <si>
    <t>Estanislau Basora · 37|Estanislau Basora · 39</t>
  </si>
  <si>
    <t>['29&amp;rsquor;|1:0|Alcides Ghiggia', '73&amp;rsquor;|2:2|Obdulio Varela']</t>
  </si>
  <si>
    <t>['37&amp;rsquor;|1:1|Estanislau Basora', '39&amp;rsquor;|1:2|Estanislau Basora']</t>
  </si>
  <si>
    <t>Arturo Bucciardi</t>
  </si>
  <si>
    <t>Sergio Livingstone</t>
  </si>
  <si>
    <t>Bill Jeffrey</t>
  </si>
  <si>
    <t>Walter Bahr</t>
  </si>
  <si>
    <t>Ilha do Retiro, Recife</t>
  </si>
  <si>
    <t>Mario Gardelli (Referee) · Mario Ruben Heyen (AR1) · Alfredo Alvarez (AR2)</t>
  </si>
  <si>
    <t>Mario Gardelli</t>
  </si>
  <si>
    <t>George Robledo · 16|Atilio Cremaschi · 32|Andrés Prieto · 54|Atilio Cremaschi · 60|Fernando Riera · 82</t>
  </si>
  <si>
    <t>Frank Wallace · 47</t>
  </si>
  <si>
    <t>['16&amp;rsquor;|1:0|George Robledo', '32&amp;rsquor;|2:0|Atilio Cremaschi', '54&amp;rsquor;|3:2|Andrés Prieto', '60&amp;rsquor;|4:2|Atilio Cremaschi', '82&amp;rsquor;|5:2|Fernando Riera']</t>
  </si>
  <si>
    <t>['47&amp;rsquor;|2:1|Frank Wallace']</t>
  </si>
  <si>
    <t>Joe Maca (P) · 48</t>
  </si>
  <si>
    <t>Ferruccio Novo</t>
  </si>
  <si>
    <t>Riccardo Carapellese</t>
  </si>
  <si>
    <t>Manuel Fleitas Solich</t>
  </si>
  <si>
    <t>César López Fretes</t>
  </si>
  <si>
    <t>Riccardo Carapellese · 12|Egisto Pandolfini · 63</t>
  </si>
  <si>
    <t>['12&amp;rsquor;|1:0|Riccardo Carapellese', '63&amp;rsquor;|2:0|Egisto Pandolfini']</t>
  </si>
  <si>
    <t>Mario Pretto</t>
  </si>
  <si>
    <t>José Bustamante</t>
  </si>
  <si>
    <t>Independencia, Belo Horizonte</t>
  </si>
  <si>
    <t>George Reader (Referee) · Mario Viana (AR1) · Leo Lemesic (AR2)</t>
  </si>
  <si>
    <t>Óscar Míguez · 14|Ernesto Vidal · 18|Juan Alberto Schiaffino · 23|Óscar Míguez · 40|Óscar Míguez · 51|Juan Alberto Schiaffino · 54|Julio Pérez · 83|Alcides Ghiggia · 87</t>
  </si>
  <si>
    <t>['14&amp;rsquor;|1:0|Óscar Míguez', '18&amp;rsquor;|2:0|Ernesto Vidal', '23&amp;rsquor;|3:0|Juan Alberto Schiaffino', '40&amp;rsquor;|4:0|Óscar Míguez', '51&amp;rsquor;|5:0|Óscar Míguez', '54&amp;rsquor;|6:0|Juan Alberto Schiaffino', '83&amp;rsquor;|7:0|Julio Pérez', '87&amp;rsquor;|8:0|Alcides Ghiggia']</t>
  </si>
  <si>
    <t>Giovanni Galeati (Referee) · Jean Lutz (AR1) · Generoso Dattilo (AR2)</t>
  </si>
  <si>
    <t>Telmo Zarra · 48</t>
  </si>
  <si>
    <t>['48&amp;rsquor;|1:0|Telmo Zarra']</t>
  </si>
  <si>
    <t>Franco Andreoli</t>
  </si>
  <si>
    <t>Octavio Vial</t>
  </si>
  <si>
    <t>Horacio Casarín</t>
  </si>
  <si>
    <t>Eucaliptos, Porto Alegre</t>
  </si>
  <si>
    <t>Ivan Eklind (Referee) · Gunnar Dahlner (AR1) · Sergio Bustamante (AR2)</t>
  </si>
  <si>
    <t>Ivan Eklind</t>
  </si>
  <si>
    <t>René Bader · 10|Charles Antenen · 44</t>
  </si>
  <si>
    <t>Horacio Casarín · 89</t>
  </si>
  <si>
    <t>['10&amp;rsquor;|1:0|René Bader', '44&amp;rsquor;|2:0|Charles Antenen']</t>
  </si>
  <si>
    <t>['89&amp;rsquor;|2:1|Horacio Casarín']</t>
  </si>
  <si>
    <t>Milorad Arsenijevic</t>
  </si>
  <si>
    <t>Zlatko Čajkovski</t>
  </si>
  <si>
    <t>Benjamin Griffiths (Referee) · Alois Beranek (AR1) · Jose Da Costa Vieira (AR2)</t>
  </si>
  <si>
    <t>Ademir · 4|Zizinho · 69</t>
  </si>
  <si>
    <t>['4&amp;rsquor;|1:0|Ademir', '69&amp;rsquor;|2:0|Zizinho']</t>
  </si>
  <si>
    <t>Alberto Malcher (Referee) · Esteban Marino (AR1) · Alfredo Alvarez (AR2)</t>
  </si>
  <si>
    <t>Alberto Malcher</t>
  </si>
  <si>
    <t>Estanislau Basora · 17|Telmo Zarra · 30</t>
  </si>
  <si>
    <t>['17&amp;rsquor;|1:0|Estanislau Basora', '30&amp;rsquor;|2:0|Telmo Zarra']</t>
  </si>
  <si>
    <t>Ed McIlvenny</t>
  </si>
  <si>
    <t>Generoso Dattilo (Referee) · Charles De La Salle (AR1) · Giovanni Galeati (AR2)</t>
  </si>
  <si>
    <t>Generoso Dattilo</t>
  </si>
  <si>
    <t>Joe Gaetjens · 38</t>
  </si>
  <si>
    <t>['38&amp;rsquor;|1:0|Joe Gaetjens']</t>
  </si>
  <si>
    <t>Durival de Brito, Curitiba</t>
  </si>
  <si>
    <t>Robert Mitchell (Referee) · Leo Lemesic (AR1) · Prudencio Garcia (AR2)</t>
  </si>
  <si>
    <t>Robert Mitchell</t>
  </si>
  <si>
    <t>Stig Sundqvist · 17|Karl-Erik Palmér · 26</t>
  </si>
  <si>
    <t>César López Fretes · 35|Atilio López · 74</t>
  </si>
  <si>
    <t>['17&amp;rsquor;|1:0|Stig Sundqvist', '26&amp;rsquor;|2:0|Karl-Erik Palmér']</t>
  </si>
  <si>
    <t>['35&amp;rsquor;|2:1|César López Fretes', '74&amp;rsquor;|2:2|Atilio López']</t>
  </si>
  <si>
    <t>Alfred Bickel</t>
  </si>
  <si>
    <t>Ramon Azon Roma (Referee) · Sergio Bustamante (AR1) · Cayetano De Nicola (AR2)</t>
  </si>
  <si>
    <t>Ramon Azon Roma</t>
  </si>
  <si>
    <t>Alfredo II · 3|Baltazar · 32</t>
  </si>
  <si>
    <t>Jacques Fatton · 17|Jacques Fatton · 88</t>
  </si>
  <si>
    <t>['3&amp;rsquor;|1:0|Alfredo II', '32&amp;rsquor;|2:1|Baltazar']</t>
  </si>
  <si>
    <t>['17&amp;rsquor;|1:1|Jacques Fatton', '88&amp;rsquor;|2:2|Jacques Fatton']</t>
  </si>
  <si>
    <t>Ivica Horvat</t>
  </si>
  <si>
    <t>Reginald Leafe (Referee) · Gunnar Dahlner (AR1) · Karel Van Der Meer (AR2)</t>
  </si>
  <si>
    <t>Stjepan Bobek · 20|Željko Čajkovski · 23|Željko Čajkovski · 51|Kosta Tomašević · 81</t>
  </si>
  <si>
    <t>['20&amp;rsquor;|1:0|Stjepan Bobek', '23&amp;rsquor;|2:0|Željko Čajkovski', '51&amp;rsquor;|3:0|Željko Čajkovski', '81&amp;rsquor;|4:0|Kosta Tomašević']</t>
  </si>
  <si>
    <t>Héctor Ortiz (P) · 89</t>
  </si>
  <si>
    <t>Jean Lutz (Referee) · Alois Beranek (AR1) · Carlos Tejada (AR2)</t>
  </si>
  <si>
    <t>Jean Lutz</t>
  </si>
  <si>
    <t>Hasse Jeppson · 25|Sune Andersson · 34|Hasse Jeppson · 69</t>
  </si>
  <si>
    <t>Riccardo Carapellese · 7|Ermes Muccinelli · 78</t>
  </si>
  <si>
    <t>['25&amp;rsquor;|1:1|Hasse Jeppson', '34&amp;rsquor;|2:1|Sune Andersson', '69&amp;rsquor;|3:1|Hasse Jeppson']</t>
  </si>
  <si>
    <t>['7&amp;rsquor;|0:1|Riccardo Carapellese', '78&amp;rsquor;|3:2|Ermes Muccinelli']</t>
  </si>
  <si>
    <t>Karel Van Der Meer (Referee) · Mario Gardelli (AR1) · Gunnar Dahlner (AR2)</t>
  </si>
  <si>
    <t>Stan Mortensen · 39|Wilf Mannion · 51</t>
  </si>
  <si>
    <t>['39&amp;rsquor;|1:0|Stan Mortensen', '51&amp;rsquor;|2:0|Wilf Mannion']</t>
  </si>
  <si>
    <t>Ignacio Eizaguirre</t>
  </si>
  <si>
    <t>Harry Keough</t>
  </si>
  <si>
    <t>Mario Viana (Referee) · Jose Da Costa Vieira (AR1) · Charles De La Salle (AR2)</t>
  </si>
  <si>
    <t>Silvestre Igoa · 81|Estanislau Basora · 83|Telmo Zarra · 89</t>
  </si>
  <si>
    <t>Gino Pariani · 17</t>
  </si>
  <si>
    <t>['81&amp;rsquor;|1:1|Silvestre Igoa', '83&amp;rsquor;|2:1|Estanislau Basora', '89&amp;rsquor;|3:1|Telmo Zarra']</t>
  </si>
  <si>
    <t>['17&amp;rsquor;|0:1|Gino Pariani']</t>
  </si>
  <si>
    <t>Giovanni Galeati (Referee) · Ivan Eklind (AR1) · Generoso Dattilo (AR2)</t>
  </si>
  <si>
    <t>Rajko Mitić · 59|Kosta Tomašević · 70|Tihomir Ognjanov · 84</t>
  </si>
  <si>
    <t>['59&amp;rsquor;|1:0|Rajko Mitić', '70&amp;rsquor;|2:0|Kosta Tomašević', '84&amp;rsquor;|3:0|Tihomir Ognjanov']</t>
  </si>
  <si>
    <t>Alfonso Montemayor</t>
  </si>
  <si>
    <t>George Reader (Referee) · Benjamin Griffiths (AR1) · George Mitchell (AR2)</t>
  </si>
  <si>
    <t>Ademir · 30|Jair da Rosa Pinto · 65|Baltazar · 71|Ademir · 79</t>
  </si>
  <si>
    <t>['30&amp;rsquor;|1:0|Ademir', '65&amp;rsquor;|2:0|Jair da Rosa Pinto', '71&amp;rsquor;|3:0|Baltazar', '79&amp;rsquor;|4:0|Ademir']</t>
  </si>
  <si>
    <t>Ademar Pimenta</t>
  </si>
  <si>
    <t>Leônidas</t>
  </si>
  <si>
    <t>Joszef Nagy</t>
  </si>
  <si>
    <t>Kurt Svanström</t>
  </si>
  <si>
    <t>Stade du Parc Lescure, Bordeaux</t>
  </si>
  <si>
    <t>Jean Langenus (Referee) · Olive D. (AR1) · Ferdinand Valprede (AR2)</t>
  </si>
  <si>
    <t>Jean Langenus</t>
  </si>
  <si>
    <t>Romeu Pellicciari · 44|Leônidas · 63|Leônidas · 74|José Perácio · 80</t>
  </si>
  <si>
    <t>Sven Jonasson · 28|Arne Nyberg · 38</t>
  </si>
  <si>
    <t>['44&amp;rsquor;|1:2|Romeu Pellicciari', '63&amp;rsquor;|2:2|Leônidas', '74&amp;rsquor;|3:2|Leônidas', '80&amp;rsquor;|4:2|José Perácio']</t>
  </si>
  <si>
    <t>['28&amp;rsquor;|0:1|Sven Jonasson', '38&amp;rsquor;|0:2|Arne Nyberg']</t>
  </si>
  <si>
    <t>Vittorio Pozzo</t>
  </si>
  <si>
    <t>Giuseppe Meazza</t>
  </si>
  <si>
    <t>Karoly Dietz</t>
  </si>
  <si>
    <t>György Sárosi</t>
  </si>
  <si>
    <t>Stade Olympique, Colombes</t>
  </si>
  <si>
    <t>Georges Capdeville (Referee) · Hans Wuethrich (AR1) · Gustav Krist (AR2)</t>
  </si>
  <si>
    <t>Georges Capdeville</t>
  </si>
  <si>
    <t>Gino Colaussi · 6|Silvio Piola · 16|Gino Colaussi · 35|Silvio Piola · 82</t>
  </si>
  <si>
    <t>Pál Titkos · 8|György Sárosi · 70</t>
  </si>
  <si>
    <t>['6&amp;rsquor;|1:0|Gino Colaussi', '16&amp;rsquor;|2:1|Silvio Piola', '35&amp;rsquor;|3:1|Gino Colaussi', '82&amp;rsquor;|4:2|Silvio Piola']</t>
  </si>
  <si>
    <t>['8&amp;rsquor;|1:1|Pál Titkos', '70&amp;rsquor;|3:2|György Sárosi']</t>
  </si>
  <si>
    <t>Tore Keller</t>
  </si>
  <si>
    <t>Lucien Leclercq (Referee) · Johannes Van Moorsel (AR1) · Giuseppe Scarpi (AR2)</t>
  </si>
  <si>
    <t>Lucien Leclercq</t>
  </si>
  <si>
    <t>Pál Titkos · 37|Gyula Zsengellér · 39|György Sárosi · 65|Gyula Zsengellér · 85</t>
  </si>
  <si>
    <t>Arne Nyberg · 1</t>
  </si>
  <si>
    <t>['37&amp;rsquor;|2:1|Pál Titkos', '39&amp;rsquor;|3:1|Gyula Zsengellér', '65&amp;rsquor;|4:1|György Sárosi', '85&amp;rsquor;|5:1|Gyula Zsengellér']</t>
  </si>
  <si>
    <t>['1&amp;rsquor;|0:1|Arne Nyberg']</t>
  </si>
  <si>
    <t>Sven Jacobsson (OG) · 19</t>
  </si>
  <si>
    <t>Martim Mércio da Silveira</t>
  </si>
  <si>
    <t>Stade Vï¿½lodrome, Marseilles</t>
  </si>
  <si>
    <t>Hans Wuethrich (Referee) · Alois Beranek (AR1) · Paul Marenco (AR2)</t>
  </si>
  <si>
    <t>Hans Wuethrich</t>
  </si>
  <si>
    <t>Gino Colaussi · 51</t>
  </si>
  <si>
    <t>Romeu Pellicciari · 87</t>
  </si>
  <si>
    <t>['51&amp;rsquor;|1:0|Gino Colaussi']</t>
  </si>
  <si>
    <t>['87&amp;rsquor;|2:1|Romeu Pellicciari']</t>
  </si>
  <si>
    <t>Giuseppe Meazza (P) · 60</t>
  </si>
  <si>
    <t>Vaclav Meissner</t>
  </si>
  <si>
    <t>Jaroslav Burgr</t>
  </si>
  <si>
    <t>Georges Capdeville (Referee) · Paul Marenco (AR1) · Ernest Kissenberger (AR2)</t>
  </si>
  <si>
    <t>Leônidas · 57|Roberto · 63</t>
  </si>
  <si>
    <t>Vlastimil Kopecký · 25</t>
  </si>
  <si>
    <t>['57&amp;rsquor;|1:1|Leônidas', '63&amp;rsquor;|2:1|Roberto']</t>
  </si>
  <si>
    <t>['25&amp;rsquor;|0:1|Vlastimil Kopecký']</t>
  </si>
  <si>
    <t>Jose Tapia</t>
  </si>
  <si>
    <t>Tomás Fernández</t>
  </si>
  <si>
    <t>Fort Carree, Antibes</t>
  </si>
  <si>
    <t>Gustav Krist (Referee) · Karl Weingartner (AR1) · Victor Sdez (AR2)</t>
  </si>
  <si>
    <t>Gustav Krist</t>
  </si>
  <si>
    <t>Harry Andersson · 9|Gustav Wetterström · 22|Gustav Wetterström · 37|Gustav Wetterström · 44|Tore Keller · 80|Harry Andersson · 81|Arne Nyberg · 84|Harry Andersson · 89</t>
  </si>
  <si>
    <t>['9&amp;rsquor;|1:0|Harry Andersson', '22&amp;rsquor;|2:0|Gustav Wetterström', '37&amp;rsquor;|3:0|Gustav Wetterström', '44&amp;rsquor;|4:0|Gustav Wetterström', '80&amp;rsquor;|5:0|Tore Keller', '81&amp;rsquor;|6:0|Harry Andersson', '84&amp;rsquor;|7:0|Arne Nyberg', '89&amp;rsquor;|8:0|Harry Andersson']</t>
  </si>
  <si>
    <t>František Plánička</t>
  </si>
  <si>
    <t>Pal Von Hertzka (Referee) · Giuseppe Scarpi (AR1) · Charles De La Salle (AR2)</t>
  </si>
  <si>
    <t>Pal Von Hertzka</t>
  </si>
  <si>
    <t>Leônidas · 30</t>
  </si>
  <si>
    <t>['30&amp;rsquor;|1:0|Leônidas']</t>
  </si>
  <si>
    <t>Oldřich Nejedlý (P) · 65</t>
  </si>
  <si>
    <t>Zezé Procópio · 14|Arthur Machado · 89</t>
  </si>
  <si>
    <t>Jan Říha · 89</t>
  </si>
  <si>
    <t>André Abegglen</t>
  </si>
  <si>
    <t>Victor Boucquey, Lille</t>
  </si>
  <si>
    <t>Rinaldo Barlassina (Referee) · Alois Beranek (AR1) · Boutoure D. (AR2)</t>
  </si>
  <si>
    <t>Rinaldo Barlassina</t>
  </si>
  <si>
    <t>György Sárosi · 40|Gyula Zsengellér · 89</t>
  </si>
  <si>
    <t>['40&amp;rsquor;|1:0|György Sárosi', '89&amp;rsquor;|2:0|Gyula Zsengellér']</t>
  </si>
  <si>
    <t>Gaston Barreau</t>
  </si>
  <si>
    <t>Étienne Mattler</t>
  </si>
  <si>
    <t>Louis Baert (Referee) · Hans Wuethrich (AR1) · Ivan Eklind (AR2)</t>
  </si>
  <si>
    <t>Louis Baert</t>
  </si>
  <si>
    <t>Gino Colaussi · 9|Silvio Piola · 51|Silvio Piola · 72</t>
  </si>
  <si>
    <t>Oscar Heisserer · 10</t>
  </si>
  <si>
    <t>['9&amp;rsquor;|1:0|Gino Colaussi', '51&amp;rsquor;|2:1|Silvio Piola', '72&amp;rsquor;|3:1|Silvio Piola']</t>
  </si>
  <si>
    <t>['10&amp;rsquor;|1:1|Oscar Heisserer']</t>
  </si>
  <si>
    <t>Severino Minelli</t>
  </si>
  <si>
    <t>Fritz Szepan</t>
  </si>
  <si>
    <t>Ivan Eklind (Referee) · Louis Baert (AR1) · Johannes Van Moorsel (AR2)</t>
  </si>
  <si>
    <t>Eugen Walaschek · 42|Alfred Bickel · 64|André Abegglen · 75|André Abegglen · 78</t>
  </si>
  <si>
    <t>Wilhelm Hahnemann · 8</t>
  </si>
  <si>
    <t>['42&amp;rsquor;|1:2|Eugen Walaschek', '64&amp;rsquor;|2:2|Alfred Bickel', '75&amp;rsquor;|3:2|André Abegglen', '78&amp;rsquor;|4:2|André Abegglen']</t>
  </si>
  <si>
    <t>['8&amp;rsquor;|0:1|Wilhelm Hahnemann']</t>
  </si>
  <si>
    <t>Ernst Lörtscher (OG) · 22</t>
  </si>
  <si>
    <t>Coloman Braun</t>
  </si>
  <si>
    <t>Ștefan Dobay</t>
  </si>
  <si>
    <t>Stade Municipal, Toulouse</t>
  </si>
  <si>
    <t>Alfred Birlem (Referee) · Pierre Capdeville (AR1) · Paul Marenco (AR2)</t>
  </si>
  <si>
    <t>Alfred Birlem</t>
  </si>
  <si>
    <t>Héctor Socorro · 51|Tomás Fernández · 57</t>
  </si>
  <si>
    <t>Ștefan Dobay · 35</t>
  </si>
  <si>
    <t>['51&amp;rsquor;|1:1|Héctor Socorro', '57&amp;rsquor;|2:1|Tomás Fernández']</t>
  </si>
  <si>
    <t>['35&amp;rsquor;|0:1|Ștefan Dobay']</t>
  </si>
  <si>
    <t>Asbjorn Halvorsen</t>
  </si>
  <si>
    <t>Nils Eriksen</t>
  </si>
  <si>
    <t>Alois Beranek (Referee) · Boutoure D. (AR1) · Trehou D. (AR2)</t>
  </si>
  <si>
    <t>Alois Beranek</t>
  </si>
  <si>
    <t>Pietro Ferraris · 2|Silvio Piola · 94</t>
  </si>
  <si>
    <t>Arne Brustad · 83</t>
  </si>
  <si>
    <t>['2&amp;rsquor;|1:0|Pietro Ferraris', '94&amp;rsquor;|2:1|Silvio Piola']</t>
  </si>
  <si>
    <t>['83&amp;rsquor;|1:1|Arne Brustad']</t>
  </si>
  <si>
    <t>Nicolae Kovács</t>
  </si>
  <si>
    <t>Giuseppe Scarpi (Referee) · Ferdinand Valprede (AR1) · Jean Merkcx (AR2)</t>
  </si>
  <si>
    <t>Giuseppe Scarpi</t>
  </si>
  <si>
    <t>Héctor Socorro · 44|José Magriñá · 69|Héctor Socorro · 103</t>
  </si>
  <si>
    <t>Silviu Bindea · 35|Iuliu Barátky · 88|Ștefan Dobay · 105</t>
  </si>
  <si>
    <t>['44&amp;rsquor;|1:1|Héctor Socorro', '69&amp;rsquor;|2:1|José Magriñá', '103&amp;rsquor;|3:2|Héctor Socorro']</t>
  </si>
  <si>
    <t>['35&amp;rsquor;|0:1|Silviu Bindea', '88&amp;rsquor;|2:2|Iuliu Barátky', '105&amp;rsquor;|3:3|Ștefan Dobay']</t>
  </si>
  <si>
    <t>Dutch East Indies</t>
  </si>
  <si>
    <t>Johannes Van Mastenbroek</t>
  </si>
  <si>
    <t>Frans Alfred Meeng</t>
  </si>
  <si>
    <t>Velodrome Municipale, Reims</t>
  </si>
  <si>
    <t>Roger Conrie (Referee) · Charles De La Salle (AR1) · Karl Weingartner (AR2)</t>
  </si>
  <si>
    <t>Roger Conrie</t>
  </si>
  <si>
    <t>Vilmos Kohut · 13|Géza Toldi · 15|György Sárosi · 28|Gyula Zsengellér · 35|Gyula Zsengellér · 76|György Sárosi · 89</t>
  </si>
  <si>
    <t>['13&amp;rsquor;|1:0|Vilmos Kohut', '15&amp;rsquor;|2:0|Géza Toldi', '28&amp;rsquor;|3:0|György Sárosi', '35&amp;rsquor;|4:0|Gyula Zsengellér', '76&amp;rsquor;|5:0|Gyula Zsengellér', '89&amp;rsquor;|6:0|György Sárosi']</t>
  </si>
  <si>
    <t>Jack Butler</t>
  </si>
  <si>
    <t>Émile Stijnen</t>
  </si>
  <si>
    <t>Hans Wuethrich (Referee) · Gustav Krist (AR1) · Alfred Birlem (AR2)</t>
  </si>
  <si>
    <t>Émile Veinante · 1|Jean Nicolas · 16|Jean Nicolas · 69</t>
  </si>
  <si>
    <t>Henri Isemborghs · 38</t>
  </si>
  <si>
    <t>['1&amp;rsquor;|1:0|Émile Veinante', '16&amp;rsquor;|2:0|Jean Nicolas', '69&amp;rsquor;|3:1|Jean Nicolas']</t>
  </si>
  <si>
    <t>['38&amp;rsquor;|2:1|Henri Isemborghs']</t>
  </si>
  <si>
    <t>Jozef Kaluza</t>
  </si>
  <si>
    <t>Władysław Szczepaniak</t>
  </si>
  <si>
    <t>Stade de la Meinau, Strasbourg</t>
  </si>
  <si>
    <t>Ivan Eklind (Referee) · Louis Poissant (AR1) · Ernest Kissenberger (AR2)</t>
  </si>
  <si>
    <t>6–5</t>
  </si>
  <si>
    <t>Leônidas · 18|Romeu Pellicciari · 25|José Perácio · 44|José Perácio · 71|Leônidas · 93|Leônidas · 104</t>
  </si>
  <si>
    <t>Ernst Wilimowski · 53|Ernst Wilimowski · 59|Ernst Wilimowski · 89|Ernst Wilimowski · 118</t>
  </si>
  <si>
    <t>['18&amp;rsquor;|1:0|Leônidas', '25&amp;rsquor;|2:1|Romeu Pellicciari', '44&amp;rsquor;|3:1|José Perácio', '71&amp;rsquor;|4:3|José Perácio', '93&amp;rsquor;|5:4|Leônidas', '104&amp;rsquor;|6:4|Leônidas']</t>
  </si>
  <si>
    <t>['53&amp;rsquor;|3:2|Ernst Wilimowski', '59&amp;rsquor;|3:3|Ernst Wilimowski', '89&amp;rsquor;|4:4|Ernst Wilimowski', '118&amp;rsquor;|6:5|Ernst Wilimowski']</t>
  </si>
  <si>
    <t>Friedrich Scherfke (P) · 23</t>
  </si>
  <si>
    <t>Bob Glendenning</t>
  </si>
  <si>
    <t>Puck van Heel</t>
  </si>
  <si>
    <t>Cavee Verte, Le Havre</t>
  </si>
  <si>
    <t>Lucien Leclercq (Referee) · Olive D. (AR1) · Victor Sdez (AR2)</t>
  </si>
  <si>
    <t>Josef Košťálek · 93|Josef Zeman · 111|Oldřich Nejedlý · 118</t>
  </si>
  <si>
    <t>['93&amp;rsquor;|1:0|Josef Košťálek', '111&amp;rsquor;|2:0|Josef Zeman', '118&amp;rsquor;|3:0|Oldřich Nejedlý']</t>
  </si>
  <si>
    <t>Hans Mock</t>
  </si>
  <si>
    <t>Jean Langenus (Referee) · Paul Marenco (AR1) · Johannes Van Moorsel (AR2)</t>
  </si>
  <si>
    <t>André Abegglen · 43</t>
  </si>
  <si>
    <t>Josef Gauchel · 29</t>
  </si>
  <si>
    <t>['43&amp;rsquor;|1:1|André Abegglen']</t>
  </si>
  <si>
    <t>['29&amp;rsquor;|0:1|Josef Gauchel']</t>
  </si>
  <si>
    <t>Hans Pesser · 96</t>
  </si>
  <si>
    <t>Gianpiero Combi</t>
  </si>
  <si>
    <t>Karel Petru</t>
  </si>
  <si>
    <t>Nazionale PNF, Rome</t>
  </si>
  <si>
    <t>Ivan Eklind (Referee) · Louis Baert (AR1) · Mihaly Ivancsics (AR2)</t>
  </si>
  <si>
    <t>Raimundo Orsi · 81|Angelo Schiavio · 95</t>
  </si>
  <si>
    <t>Antonín Puč · 71</t>
  </si>
  <si>
    <t>['81&amp;rsquor;|1:1|Raimundo Orsi', '95&amp;rsquor;|2:1|Angelo Schiavio']</t>
  </si>
  <si>
    <t>['71&amp;rsquor;|0:1|Antonín Puč']</t>
  </si>
  <si>
    <t>Otto Nerz</t>
  </si>
  <si>
    <t>Hugo Meisl</t>
  </si>
  <si>
    <t>Johann Horvath</t>
  </si>
  <si>
    <t>Giorgio Ascarelli, Naples</t>
  </si>
  <si>
    <t>Albino Carraro (Referee) · Camillo Caironi (AR1) · Pedro Escartin (AR2)</t>
  </si>
  <si>
    <t>Albino Carraro</t>
  </si>
  <si>
    <t>Ernst Lehner · 1|Edmund Conen · 27|Ernst Lehner · 42</t>
  </si>
  <si>
    <t>Johann Horvath · 28|Karl Sesta · 54</t>
  </si>
  <si>
    <t>['1&amp;rsquor;|1:0|Ernst Lehner', '27&amp;rsquor;|2:0|Edmund Conen', '42&amp;rsquor;|3:1|Ernst Lehner']</t>
  </si>
  <si>
    <t>['28&amp;rsquor;|2:1|Johann Horvath', '54&amp;rsquor;|3:2|Karl Sesta']</t>
  </si>
  <si>
    <t>Rinaldo Barlassina (Referee) · Alois Beranek (AR1) · Pedro Escartin (AR2)</t>
  </si>
  <si>
    <t>Oldřich Nejedlý · 21|Oldřich Nejedlý · 69|Oldřich Nejedlý · 80</t>
  </si>
  <si>
    <t>Rudolf Noack · 62</t>
  </si>
  <si>
    <t>['21&amp;rsquor;|1:0|Oldřich Nejedlý', '69&amp;rsquor;|2:1|Oldřich Nejedlý', '80&amp;rsquor;|3:1|Oldřich Nejedlý']</t>
  </si>
  <si>
    <t>['62&amp;rsquor;|1:1|Rudolf Noack']</t>
  </si>
  <si>
    <t>Josef Smistik</t>
  </si>
  <si>
    <t>San Siro, Milan</t>
  </si>
  <si>
    <t>Ivan Eklind (Referee) · Louis Baert (AR1) · Bohumil Zenisek (AR2)</t>
  </si>
  <si>
    <t>Enrique Guaita · 19</t>
  </si>
  <si>
    <t>['19&amp;rsquor;|1:0|Enrique Guaita']</t>
  </si>
  <si>
    <t>Amadeo Garcia</t>
  </si>
  <si>
    <t>Jacinto Quincoces</t>
  </si>
  <si>
    <t>Giovanni Berta, Florence</t>
  </si>
  <si>
    <t>Rene Mercet (Referee) · Mihaly Ivancsics (AR1) · Bohumil Zenisek (AR2)</t>
  </si>
  <si>
    <t>Rene Mercet</t>
  </si>
  <si>
    <t>Giuseppe Meazza · 11</t>
  </si>
  <si>
    <t>['11&amp;rsquor;|1:0|Giuseppe Meazza']</t>
  </si>
  <si>
    <t>Odon Nadas</t>
  </si>
  <si>
    <t>László Sternberg</t>
  </si>
  <si>
    <t>Littorale, Bologna</t>
  </si>
  <si>
    <t>Francesco Mattea (Referee) · Pedro Escartin (AR1) · Alfred Birlem (AR2)</t>
  </si>
  <si>
    <t>Francesco Mattea</t>
  </si>
  <si>
    <t>Johann Horvath · 8|Karl Zischek · 51</t>
  </si>
  <si>
    <t>['8&amp;rsquor;|1:0|Johann Horvath', '51&amp;rsquor;|2:0|Karl Zischek']</t>
  </si>
  <si>
    <t>György Sárosi (P) · 60</t>
  </si>
  <si>
    <t>Imre Markos · 63</t>
  </si>
  <si>
    <t>Henry Mueller</t>
  </si>
  <si>
    <t>Stadio Benito Mussolini, Turin</t>
  </si>
  <si>
    <t>Alois Beranek (Referee) · Youssuf Mohamed (AR1) · Jacques Baert (AR2)</t>
  </si>
  <si>
    <t>František Svoboda · 24|Jiří Sobotka · 49|Oldřich Nejedlý · 82</t>
  </si>
  <si>
    <t>Leopold Kielholz · 18|Willy Jäggi · 78</t>
  </si>
  <si>
    <t>['24&amp;rsquor;|1:1|František Svoboda', '49&amp;rsquor;|2:1|Jiří Sobotka', '82&amp;rsquor;|3:2|Oldřich Nejedlý']</t>
  </si>
  <si>
    <t>['18&amp;rsquor;|0:1|Leopold Kielholz', '78&amp;rsquor;|2:2|Willy Jäggi']</t>
  </si>
  <si>
    <t>Ricardo Zamora</t>
  </si>
  <si>
    <t>Louis Baert (Referee) · Bohumil Zenisek (AR1) · Mihaly Ivancsics (AR2)</t>
  </si>
  <si>
    <t>Giovanni Ferrari · 44</t>
  </si>
  <si>
    <t>Luis Regueiro · 30</t>
  </si>
  <si>
    <t>['44&amp;rsquor;|1:1|Giovanni Ferrari']</t>
  </si>
  <si>
    <t>['30&amp;rsquor;|0:1|Luis Regueiro']</t>
  </si>
  <si>
    <t>Nils Rosén</t>
  </si>
  <si>
    <t>Rinaldo Barlassina (Referee) · Rene Mercet (AR1) · Johannes Van Moorsel (AR2)</t>
  </si>
  <si>
    <t>Karl Hohmann · 60|Karl Hohmann · 63</t>
  </si>
  <si>
    <t>Gösta Dunker · 82</t>
  </si>
  <si>
    <t>['60&amp;rsquor;|1:0|Karl Hohmann', '63&amp;rsquor;|2:0|Karl Hohmann']</t>
  </si>
  <si>
    <t>['82&amp;rsquor;|2:1|Gösta Dunker']</t>
  </si>
  <si>
    <t>Constantin Radulescu</t>
  </si>
  <si>
    <t>Emerich Vogl</t>
  </si>
  <si>
    <t>Littorio, Trieste</t>
  </si>
  <si>
    <t>Jean Langenus (Referee) · Giuseppe Scarpi (AR1) · Raffaele Scorzoni (AR2)</t>
  </si>
  <si>
    <t>Antonín Puč · 50|Oldřich Nejedlý · 67</t>
  </si>
  <si>
    <t>Ștefan Dobay · 11</t>
  </si>
  <si>
    <t>['50&amp;rsquor;|1:1|Antonín Puč', '67&amp;rsquor;|2:1|Oldřich Nejedlý']</t>
  </si>
  <si>
    <t>['11&amp;rsquor;|0:1|Ștefan Dobay']</t>
  </si>
  <si>
    <t>James Mcrea</t>
  </si>
  <si>
    <t>Mahmoud Mokhtar El-Tetsh</t>
  </si>
  <si>
    <t>Rinaldo Barlassina (Referee) · Generoso Dattilo (AR1) · Otello Sassi (AR2)</t>
  </si>
  <si>
    <t>Pál Teleki · 11|Géza Toldi · 31|Jenő Vincze · 53|Géza Toldi · 61</t>
  </si>
  <si>
    <t>Abdulrahman Fawzi · 35|Abdulrahman Fawzi · 39</t>
  </si>
  <si>
    <t>['11&amp;rsquor;|1:0|Pál Teleki', '31&amp;rsquor;|2:0|Géza Toldi', '53&amp;rsquor;|3:2|Jenő Vincze', '61&amp;rsquor;|4:2|Géza Toldi']</t>
  </si>
  <si>
    <t>['35&amp;rsquor;|2:1|Abdulrahman Fawzi', '39&amp;rsquor;|2:2|Abdulrahman Fawzi']</t>
  </si>
  <si>
    <t>George Kimpton</t>
  </si>
  <si>
    <t>Alex Thépot</t>
  </si>
  <si>
    <t>Johannes Van Moorsel (Referee) · Camillo Caironi (AR1) · Louis Baert (AR2)</t>
  </si>
  <si>
    <t>Johannes Van Moorsel</t>
  </si>
  <si>
    <t>Matthias Sindelar · 44|Anton Schall · 93|Josef Bican · 109</t>
  </si>
  <si>
    <t>Jean Nicolas · 18</t>
  </si>
  <si>
    <t>['44&amp;rsquor;|1:1|Matthias Sindelar', '93&amp;rsquor;|2:1|Anton Schall', '109&amp;rsquor;|3:1|Josef Bican']</t>
  </si>
  <si>
    <t>['18&amp;rsquor;|0:1|Jean Nicolas']</t>
  </si>
  <si>
    <t>Georges Verriest (P) · 116</t>
  </si>
  <si>
    <t>Ivan Eklind (Referee) · Alois Beranek (AR1) · Ferruccio Bonivento (AR2)</t>
  </si>
  <si>
    <t>Leopold Kielholz · 7|Leopold Kielholz · 43|André Abegglen · 66</t>
  </si>
  <si>
    <t>Kick Smit · 29|Leen Vente · 69</t>
  </si>
  <si>
    <t>['7&amp;rsquor;|1:0|Leopold Kielholz', '43&amp;rsquor;|2:1|Leopold Kielholz', '66&amp;rsquor;|3:1|André Abegglen']</t>
  </si>
  <si>
    <t>['29&amp;rsquor;|1:1|Kick Smit', '69&amp;rsquor;|3:2|Leen Vente']</t>
  </si>
  <si>
    <t>Felipe Pascucci</t>
  </si>
  <si>
    <t>Alfredo Devincenzi</t>
  </si>
  <si>
    <t>Eugen Braun (Referee) · Albino Carraro (AR1) · Giuseppe Turbiani (AR2)</t>
  </si>
  <si>
    <t>Eugen Braun</t>
  </si>
  <si>
    <t>Sven Jonasson · 9|Sven Jonasson · 67|Knut Kroon · 79</t>
  </si>
  <si>
    <t>Ernesto Belis · 4|Alberto Galateo · 48</t>
  </si>
  <si>
    <t>['9&amp;rsquor;|1:1|Sven Jonasson', '67&amp;rsquor;|2:2|Sven Jonasson', '79&amp;rsquor;|3:2|Knut Kroon']</t>
  </si>
  <si>
    <t>['4&amp;rsquor;|0:1|Ernesto Belis', '48&amp;rsquor;|1:2|Alberto Galateo']</t>
  </si>
  <si>
    <t>Luiz Vinhaes</t>
  </si>
  <si>
    <t>Alfred Birlem (Referee) · Ettore Carminati (AR1) · Mihaly Ivancsics (AR2)</t>
  </si>
  <si>
    <t>José Iraragorri · 25|Isidro Lángara · 29</t>
  </si>
  <si>
    <t>Leônidas · 55</t>
  </si>
  <si>
    <t>['25&amp;rsquor;|2:0|José Iraragorri', '29&amp;rsquor;|3:0|Isidro Lángara']</t>
  </si>
  <si>
    <t>['55&amp;rsquor;|3:1|Leônidas']</t>
  </si>
  <si>
    <t>José Iraragorri (P) · 18</t>
  </si>
  <si>
    <t>Hector Goetinck</t>
  </si>
  <si>
    <t>Félix Welkenhuysen</t>
  </si>
  <si>
    <t>Francesco Mattea (Referee) · Ermenegildo Melandri (AR1) · Jacques Baert (AR2)</t>
  </si>
  <si>
    <t>Stanislaus Kobierski · 25|Otto Siffling · 49|Edmund Conen · 66|Edmund Conen · 70|Edmund Conen · 87</t>
  </si>
  <si>
    <t>Bernard Voorhoof · 29|Bernard Voorhoof · 43</t>
  </si>
  <si>
    <t>['25&amp;rsquor;|1:0|Stanislaus Kobierski', '49&amp;rsquor;|2:2|Otto Siffling', '66&amp;rsquor;|3:2|Edmund Conen', '70&amp;rsquor;|4:2|Edmund Conen', '87&amp;rsquor;|5:2|Edmund Conen']</t>
  </si>
  <si>
    <t>['29&amp;rsquor;|1:1|Bernard Voorhoof', '43&amp;rsquor;|1:2|Bernard Voorhoof']</t>
  </si>
  <si>
    <t>Virginio Rosetta</t>
  </si>
  <si>
    <t>David Gould</t>
  </si>
  <si>
    <t>George Moorhouse</t>
  </si>
  <si>
    <t>Rene Mercet (Referee) · Pedro Escartin (AR1) · Bohumil Zenisek (AR2)</t>
  </si>
  <si>
    <t>Angelo Schiavio · 18|Raimundo Orsi · 20|Angelo Schiavio · 29|Giovanni Ferrari · 63|Angelo Schiavio · 64|Raimundo Orsi · 69|Giuseppe Meazza · 90</t>
  </si>
  <si>
    <t>Aldo Donelli · 57</t>
  </si>
  <si>
    <t>['18&amp;rsquor;|1:0|Angelo Schiavio', '20&amp;rsquor;|2:0|Raimundo Orsi', '29&amp;rsquor;|3:0|Angelo Schiavio', '63&amp;rsquor;|4:1|Giovanni Ferrari', '64&amp;rsquor;|5:1|Angelo Schiavio', '69&amp;rsquor;|6:1|Raimundo Orsi', '90&amp;rsquor;|7:1|Giuseppe Meazza']</t>
  </si>
  <si>
    <t>['57&amp;rsquor;|3:1|Aldo Donelli']</t>
  </si>
  <si>
    <t>Alberto Suppici</t>
  </si>
  <si>
    <t>José Nasazzi</t>
  </si>
  <si>
    <t>Francisco Olazar</t>
  </si>
  <si>
    <t>Manuel Ferreira</t>
  </si>
  <si>
    <t>Estadio Centenario, Montevideo</t>
  </si>
  <si>
    <t>Jean Langenus (Referee) · Ulises Saucedo (AR1) · Henry Cristophe (AR2)</t>
  </si>
  <si>
    <t>Pablo Dorado · 12|Pedro Cea · 57|Santos Iriarte · 68|Héctor Castro · 89</t>
  </si>
  <si>
    <t>Carlos Peucelle · 20|Guillermo Stábile · 37</t>
  </si>
  <si>
    <t>['12&amp;rsquor;|1:0|Pablo Dorado', '57&amp;rsquor;|2:2|Pedro Cea', '68&amp;rsquor;|3:2|Santos Iriarte', '89&amp;rsquor;|4:2|Héctor Castro']</t>
  </si>
  <si>
    <t>['20&amp;rsquor;|1:1|Carlos Peucelle', '37&amp;rsquor;|1:2|Guillermo Stábile']</t>
  </si>
  <si>
    <t>Bosko Simonovic</t>
  </si>
  <si>
    <t>Milutin Ivković</t>
  </si>
  <si>
    <t>Gilberto Rego (Referee) · Ulises Saucedo (AR1) · Thomas Balway (AR2)</t>
  </si>
  <si>
    <t>Gilberto Rego</t>
  </si>
  <si>
    <t>Pedro Cea · 18|Peregrino Anselmo · 20|Peregrino Anselmo · 31|Santos Iriarte · 61|Pedro Cea · 67|Pedro Cea · 72</t>
  </si>
  <si>
    <t>Đorđe Vujadinović · 4</t>
  </si>
  <si>
    <t>['18&amp;rsquor;|1:1|Pedro Cea', '20&amp;rsquor;|2:1|Peregrino Anselmo', '31&amp;rsquor;|3:1|Peregrino Anselmo', '61&amp;rsquor;|4:1|Santos Iriarte', '67&amp;rsquor;|5:1|Pedro Cea', '72&amp;rsquor;|6:1|Pedro Cea']</t>
  </si>
  <si>
    <t>['4&amp;rsquor;|0:1|Đorđe Vujadinović']</t>
  </si>
  <si>
    <t>Bob Millar</t>
  </si>
  <si>
    <t>Tom Florie</t>
  </si>
  <si>
    <t>Jean Langenus (Referee) · Gaspar Vallejo (AR1) · Alberto Warnken (AR2)</t>
  </si>
  <si>
    <t>Luis Monti · 20|Alejandro Scopelli · 56|Guillermo Stábile · 69|Carlos Peucelle · 80|Carlos Peucelle · 85|Guillermo Stábile · 87</t>
  </si>
  <si>
    <t>Jim Brown · 89</t>
  </si>
  <si>
    <t>['20&amp;rsquor;|1:0|Luis Monti', '56&amp;rsquor;|2:0|Alejandro Scopelli', '69&amp;rsquor;|3:0|Guillermo Stábile', '80&amp;rsquor;|4:0|Carlos Peucelle', '85&amp;rsquor;|5:0|Carlos Peucelle', '87&amp;rsquor;|6:0|Guillermo Stábile']</t>
  </si>
  <si>
    <t>['89&amp;rsquor;|6:1|Jim Brown']</t>
  </si>
  <si>
    <t>Gyorgy Orth</t>
  </si>
  <si>
    <t>Guillermo Subiabre</t>
  </si>
  <si>
    <t>Jean Langenus (Referee) · Henry Cristophe (AR1) · Ulises Saucedo (AR2)</t>
  </si>
  <si>
    <t>Guillermo Stábile · 12|Guillermo Stábile · 13|Mario Evaristo · 51</t>
  </si>
  <si>
    <t>Guillermo Subiabre · 15</t>
  </si>
  <si>
    <t>['12&amp;rsquor;|1:0|Guillermo Stábile', '13&amp;rsquor;|2:0|Guillermo Stábile', '51&amp;rsquor;|3:1|Mario Evaristo']</t>
  </si>
  <si>
    <t>['15&amp;rsquor;|2:1|Guillermo Subiabre']</t>
  </si>
  <si>
    <t>Octav Luchide</t>
  </si>
  <si>
    <t>Gilberto Rego (Referee) · Alberto Warnken (AR1) · Ulises Saucedo (AR2)</t>
  </si>
  <si>
    <t>Pablo Dorado · 7|Héctor Scarone · 24|Peregrino Anselmo · 30|Pedro Cea · 35</t>
  </si>
  <si>
    <t>['7&amp;rsquor;|1:0|Pablo Dorado', '24&amp;rsquor;|2:0|Héctor Scarone', '30&amp;rsquor;|3:0|Peregrino Anselmo', '35&amp;rsquor;|4:0|Pedro Cea']</t>
  </si>
  <si>
    <t>Pindaro De Carvalho</t>
  </si>
  <si>
    <t>Preguinho</t>
  </si>
  <si>
    <t>Ulises Saucedo</t>
  </si>
  <si>
    <t>Rafael Méndez</t>
  </si>
  <si>
    <t>Thomas Balway (Referee) · Francisco Mateucci (AR1) · Gaspar Vallejo (AR2)</t>
  </si>
  <si>
    <t>Thomas Balway</t>
  </si>
  <si>
    <t>Moderato Wisintainer · 37|Preguinho · 67|Moderato Wisintainer · 73|Preguinho · 83</t>
  </si>
  <si>
    <t>['37&amp;rsquor;|1:0|Moderato Wisintainer', '67&amp;rsquor;|2:0|Preguinho', '73&amp;rsquor;|3:0|Moderato Wisintainer', '83&amp;rsquor;|4:0|Preguinho']</t>
  </si>
  <si>
    <t>Jose Durand Laguna</t>
  </si>
  <si>
    <t>Luis Vargas Peña</t>
  </si>
  <si>
    <t>Pierre Braine</t>
  </si>
  <si>
    <t>Ricardo Vallarino (Referee) · Jose Macias (AR1) · Domingo Lombardi (AR2)</t>
  </si>
  <si>
    <t>Ricardo Vallarino</t>
  </si>
  <si>
    <t>Luis Vargas Peña · 40</t>
  </si>
  <si>
    <t>['40&amp;rsquor;|1:0|Luis Vargas Peña']</t>
  </si>
  <si>
    <t>Carlos Schneeberger</t>
  </si>
  <si>
    <t>Raoul Caudron</t>
  </si>
  <si>
    <t>Alexandre Villaplane</t>
  </si>
  <si>
    <t>Anibal Tejada (Referee) · Domingo Lombardi (AR1) · Gilberto Rego (AR2)</t>
  </si>
  <si>
    <t>Anibal Tejada</t>
  </si>
  <si>
    <t>Guillermo Subiabre · 65</t>
  </si>
  <si>
    <t>['65&amp;rsquor;|1:0|Guillermo Subiabre']</t>
  </si>
  <si>
    <t>Ángel Bossio</t>
  </si>
  <si>
    <t>Juan Luque</t>
  </si>
  <si>
    <t>Rafael Garza Gutiérrez</t>
  </si>
  <si>
    <t>Ulises Saucedo (Referee) · Gualberto Alonso (AR1) · Constantin Radulescu (AR2)</t>
  </si>
  <si>
    <t>Ulises Saucedo</t>
  </si>
  <si>
    <t>Guillermo Stábile · 8|Adolfo Zumelzú · 12|Guillermo Stábile · 17|Francisco Varallo · 53|Adolfo Zumelzú · 55|Guillermo Stábile · 80</t>
  </si>
  <si>
    <t>Manuel Rosas · 65|Roberto Gayón · 75</t>
  </si>
  <si>
    <t>['8&amp;rsquor;|1:0|Guillermo Stábile', '12&amp;rsquor;|2:0|Adolfo Zumelzú', '17&amp;rsquor;|3:0|Guillermo Stábile', '53&amp;rsquor;|4:1|Francisco Varallo', '55&amp;rsquor;|5:1|Adolfo Zumelzú', '80&amp;rsquor;|6:3|Guillermo Stábile']</t>
  </si>
  <si>
    <t>['65&amp;rsquor;|5:2|Manuel Rosas', '75&amp;rsquor;|5:3|Roberto Gayón']</t>
  </si>
  <si>
    <t>Manuel Rosas (P) · 42</t>
  </si>
  <si>
    <t>Francisco Bru</t>
  </si>
  <si>
    <t>Antonio Maquilón</t>
  </si>
  <si>
    <t>Jean Langenus (Referee) · Thomas Balway (AR1) · Henry Cristophe (AR2)</t>
  </si>
  <si>
    <t>Héctor Castro · 60</t>
  </si>
  <si>
    <t>['60&amp;rsquor;|1:0|Héctor Castro']</t>
  </si>
  <si>
    <t>Parque Central, Montevideo</t>
  </si>
  <si>
    <t>Francisco Mateucci (Referee) · Domingo Lombardi (AR1) · Alberto Warnken (AR2)</t>
  </si>
  <si>
    <t>Francisco Mateucci</t>
  </si>
  <si>
    <t>Ivan Bek · 60|Blagoje Marjanović · 65|Ivan Bek · 67|Đorđe Vujadinović · 85</t>
  </si>
  <si>
    <t>['60&amp;rsquor;|1:0|Ivan Bek', '65&amp;rsquor;|2:0|Blagoje Marjanović', '67&amp;rsquor;|3:0|Ivan Bek', '85&amp;rsquor;|4:0|Đorđe Vujadinović']</t>
  </si>
  <si>
    <t>Jose Macias (Referee) · Martin Aphesteguy (AR1) · Anibal Tejada (AR2)</t>
  </si>
  <si>
    <t>Jose Macias</t>
  </si>
  <si>
    <t>Bert Patenaude · 10|Bert Patenaude · 15|Bert Patenaude · 50</t>
  </si>
  <si>
    <t>['10&amp;rsquor;|1:0|Bert Patenaude', '15&amp;rsquor;|2:0|Bert Patenaude', '50&amp;rsquor;|3:0|Bert Patenaude']</t>
  </si>
  <si>
    <t>Henry Cristophe (Referee) · Martin Aphesteguy (AR1) · Jean Langenus (AR2)</t>
  </si>
  <si>
    <t>Henry Cristophe</t>
  </si>
  <si>
    <t>Carlos Vidal · 3|Carlos Vidal · 65</t>
  </si>
  <si>
    <t>['3&amp;rsquor;|1:0|Carlos Vidal', '65&amp;rsquor;|3:0|Carlos Vidal']</t>
  </si>
  <si>
    <t>Manuel Rosas (OG) · 51</t>
  </si>
  <si>
    <t>Gilberto Rego (Referee) · Ulises Saucedo (AR1) · Constantin Radulescu (AR2)</t>
  </si>
  <si>
    <t>Luis Monti · 81</t>
  </si>
  <si>
    <t>['81&amp;rsquor;|1:0|Luis Monti']</t>
  </si>
  <si>
    <t>Anibal Tejada (Referee) · Ricardo Vallarino (AR1) · Thomas Balway (AR2)</t>
  </si>
  <si>
    <t>Aleksandar Tirnanić · 21|Ivan Bek · 30</t>
  </si>
  <si>
    <t>Preguinho · 62</t>
  </si>
  <si>
    <t>['21&amp;rsquor;|1:0|Aleksandar Tirnanić', '30&amp;rsquor;|2:0|Ivan Bek']</t>
  </si>
  <si>
    <t>['62&amp;rsquor;|2:1|Preguinho']</t>
  </si>
  <si>
    <t>Plácido Galindo</t>
  </si>
  <si>
    <t>Pocitos, Montevideo</t>
  </si>
  <si>
    <t>Alberto Warnken (Referee) · Jean Langenus (AR1) · Francisco Mateucci (AR2)</t>
  </si>
  <si>
    <t>Alberto Warnken</t>
  </si>
  <si>
    <t>Adalbert Deșu · 1|Constantin Stanciu · 79|Nicolae Kovács · 89</t>
  </si>
  <si>
    <t>Luis de Souza Ferreira · 75</t>
  </si>
  <si>
    <t>['1&amp;rsquor;|1:0|Adalbert Deșu', '79&amp;rsquor;|2:1|Constantin Stanciu', '89&amp;rsquor;|3:1|Nicolae Kovács']</t>
  </si>
  <si>
    <t>['75&amp;rsquor;|1:1|Luis de Souza Ferreira']</t>
  </si>
  <si>
    <t>Plácido Galindo · 70</t>
  </si>
  <si>
    <t>Jose Macias (Referee) · Francisco Mateucci (AR1) · Alberto Warnken (AR2)</t>
  </si>
  <si>
    <t>Bart McGhee · 23|Tom Florie · 45|Bert Patenaude · 69</t>
  </si>
  <si>
    <t>['23&amp;rsquor;|1:0|Bart McGhee', '45&amp;rsquor;|2:0|Tom Florie', '69&amp;rsquor;|3:0|Bert Patenaude']</t>
  </si>
  <si>
    <t>Domingo Lombardi (Referee) · Henry Cristophe (AR1) · Gilberto Rego (AR2)</t>
  </si>
  <si>
    <t>Domingo Lombardi</t>
  </si>
  <si>
    <t>Lucien Laurent · 19|Marcel Langiller · 40|André Maschinot · 43|André Maschinot · 87</t>
  </si>
  <si>
    <t>Juan Carreño · 70</t>
  </si>
  <si>
    <t>['19&amp;rsquor;|1:0|Lucien Laurent', '40&amp;rsquor;|2:0|Marcel Langiller', '43&amp;rsquor;|3:0|André Maschinot', '87&amp;rsquor;|4:1|André Maschinot']</t>
  </si>
  <si>
    <t>['70&amp;rsquor;|3:1|Juan Carreño']</t>
  </si>
  <si>
    <t>Row Labels</t>
  </si>
  <si>
    <t>Grand Total</t>
  </si>
  <si>
    <t>Average of away_score</t>
  </si>
  <si>
    <t>Average of home_score</t>
  </si>
  <si>
    <t>Sum of Total Goals</t>
  </si>
  <si>
    <t>1930-1939</t>
  </si>
  <si>
    <t>1950-1959</t>
  </si>
  <si>
    <t>1960-1969</t>
  </si>
  <si>
    <t>1970-1979</t>
  </si>
  <si>
    <t>1980-1989</t>
  </si>
  <si>
    <t>1990-1999</t>
  </si>
  <si>
    <t>2000-2009</t>
  </si>
  <si>
    <t>2010-2019</t>
  </si>
  <si>
    <t>2020-2029</t>
  </si>
  <si>
    <t>World Cup Dashboard</t>
  </si>
  <si>
    <t>Max Points</t>
  </si>
  <si>
    <t>Avg.Home Score</t>
  </si>
  <si>
    <t>Avg.Away Score</t>
  </si>
  <si>
    <t>Total_Goals</t>
  </si>
  <si>
    <t>Sum of Propularity</t>
  </si>
  <si>
    <t>Max of 2026_rank</t>
  </si>
  <si>
    <t>Max of 2022_rank</t>
  </si>
  <si>
    <t>Top Rank 2026</t>
  </si>
  <si>
    <t>Top Rank 2022</t>
  </si>
  <si>
    <t>Count of Champion</t>
  </si>
  <si>
    <t>Comparasion of Ranking</t>
  </si>
  <si>
    <t>Average of AttendanceAvg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</si>
</sst>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5" formatCode="_(* #,##0_);_(* \(#,##0\);_(* &quot;-&quot;??_);_(@_)"/>
    <numFmt numFmtId="166" formatCode="_(* #,##0.000_);_(* \(#,##0.000\);_(* &quot;-&quot;??_);_(@_)"/>
  </numFmts>
  <fonts count="4" x14ac:knownFonts="1">
    <font>
      <sz val="12"/>
      <color theme="1"/>
      <name val="Aptos Narrow"/>
      <family val="2"/>
      <scheme val="minor"/>
    </font>
    <font>
      <b/>
      <sz val="12"/>
      <color theme="1"/>
      <name val="Aptos Narrow"/>
      <scheme val="minor"/>
    </font>
    <font>
      <sz val="12"/>
      <color theme="1"/>
      <name val="Aptos Narrow"/>
      <family val="2"/>
      <scheme val="minor"/>
    </font>
    <font>
      <sz val="36"/>
      <color theme="0"/>
      <name val="Aptos Narrow (Body)"/>
    </font>
  </fonts>
  <fills count="3">
    <fill>
      <patternFill patternType="none"/>
    </fill>
    <fill>
      <patternFill patternType="gray125"/>
    </fill>
    <fill>
      <patternFill patternType="solid">
        <fgColor rgb="FF0070C0"/>
        <bgColor indexed="64"/>
      </patternFill>
    </fill>
  </fills>
  <borders count="26">
    <border>
      <left/>
      <right/>
      <top/>
      <bottom/>
      <diagonal/>
    </border>
    <border>
      <left/>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top style="medium">
        <color indexed="64"/>
      </top>
      <bottom/>
      <diagonal/>
    </border>
    <border>
      <left/>
      <right/>
      <top/>
      <bottom style="medium">
        <color indexed="64"/>
      </bottom>
      <diagonal/>
    </border>
  </borders>
  <cellStyleXfs count="2">
    <xf numFmtId="0" fontId="0" fillId="0" borderId="0"/>
    <xf numFmtId="43" fontId="2" fillId="0" borderId="0" applyFont="0" applyFill="0" applyBorder="0" applyAlignment="0" applyProtection="0"/>
  </cellStyleXfs>
  <cellXfs count="50">
    <xf numFmtId="0" fontId="0" fillId="0" borderId="0" xfId="0"/>
    <xf numFmtId="22" fontId="0" fillId="0" borderId="0" xfId="0" applyNumberFormat="1"/>
    <xf numFmtId="0" fontId="1" fillId="0" borderId="0" xfId="0" applyFont="1" applyAlignment="1">
      <alignment horizontal="center" vertical="center"/>
    </xf>
    <xf numFmtId="0" fontId="1" fillId="0" borderId="0" xfId="0" applyFont="1" applyAlignment="1">
      <alignment horizontal="center"/>
    </xf>
    <xf numFmtId="0" fontId="0" fillId="0" borderId="0" xfId="0" applyNumberFormat="1"/>
    <xf numFmtId="165" fontId="0" fillId="0" borderId="0" xfId="1" applyNumberFormat="1" applyFont="1"/>
    <xf numFmtId="0" fontId="1" fillId="0" borderId="0" xfId="0" applyFont="1"/>
    <xf numFmtId="0" fontId="0" fillId="0" borderId="0" xfId="0" applyBorder="1"/>
    <xf numFmtId="0" fontId="0" fillId="0" borderId="1" xfId="0" applyBorder="1"/>
    <xf numFmtId="14" fontId="0" fillId="0" borderId="0" xfId="0" applyNumberFormat="1"/>
    <xf numFmtId="0" fontId="0" fillId="0" borderId="2" xfId="0" applyBorder="1"/>
    <xf numFmtId="0" fontId="0" fillId="0" borderId="3" xfId="0" applyBorder="1"/>
    <xf numFmtId="0" fontId="0" fillId="0" borderId="4" xfId="0" applyBorder="1"/>
    <xf numFmtId="0" fontId="0" fillId="0" borderId="0" xfId="0" pivotButton="1"/>
    <xf numFmtId="0" fontId="0" fillId="0" borderId="0" xfId="0" applyAlignment="1">
      <alignment horizontal="left"/>
    </xf>
    <xf numFmtId="166" fontId="0" fillId="0" borderId="0" xfId="0" applyNumberFormat="1"/>
    <xf numFmtId="165" fontId="0" fillId="0" borderId="0" xfId="0" applyNumberFormat="1"/>
    <xf numFmtId="0" fontId="0" fillId="2" borderId="0" xfId="0" applyFill="1" applyAlignment="1">
      <alignment horizontal="center"/>
    </xf>
    <xf numFmtId="0" fontId="3" fillId="2" borderId="0" xfId="0" applyFont="1" applyFill="1" applyAlignment="1">
      <alignment horizont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43" fontId="0" fillId="0" borderId="18" xfId="1" applyFont="1" applyBorder="1" applyAlignment="1">
      <alignment horizontal="center" vertical="center"/>
    </xf>
    <xf numFmtId="43" fontId="0" fillId="0" borderId="19" xfId="1" applyFont="1" applyBorder="1" applyAlignment="1">
      <alignment horizontal="center" vertical="center"/>
    </xf>
    <xf numFmtId="2" fontId="0" fillId="0" borderId="18" xfId="1" applyNumberFormat="1" applyFont="1" applyBorder="1" applyAlignment="1">
      <alignment horizontal="center" vertical="center"/>
    </xf>
    <xf numFmtId="2" fontId="0" fillId="0" borderId="19" xfId="1" applyNumberFormat="1" applyFont="1" applyBorder="1" applyAlignment="1">
      <alignment horizontal="center" vertical="center"/>
    </xf>
    <xf numFmtId="2" fontId="0" fillId="0" borderId="17" xfId="1" applyNumberFormat="1" applyFont="1" applyBorder="1" applyAlignment="1">
      <alignment horizontal="center" vertical="center"/>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166" fontId="0" fillId="0" borderId="5" xfId="0" applyNumberFormat="1" applyBorder="1"/>
    <xf numFmtId="166" fontId="0" fillId="0" borderId="6" xfId="0" applyNumberFormat="1" applyBorder="1"/>
    <xf numFmtId="166" fontId="0" fillId="0" borderId="7" xfId="0" applyNumberFormat="1" applyBorder="1"/>
    <xf numFmtId="166" fontId="0" fillId="0" borderId="8" xfId="0" applyNumberFormat="1" applyBorder="1"/>
    <xf numFmtId="166" fontId="0" fillId="0" borderId="9" xfId="0" applyNumberFormat="1" applyBorder="1"/>
    <xf numFmtId="166" fontId="0" fillId="0" borderId="10" xfId="0" applyNumberFormat="1" applyBorder="1"/>
    <xf numFmtId="10" fontId="0" fillId="0" borderId="0" xfId="0" applyNumberFormat="1"/>
    <xf numFmtId="0" fontId="1" fillId="0" borderId="24" xfId="0" applyFont="1" applyBorder="1" applyAlignment="1">
      <alignment horizontal="center" vertical="center"/>
    </xf>
    <xf numFmtId="0" fontId="1" fillId="0" borderId="13" xfId="0" applyFont="1" applyBorder="1" applyAlignment="1">
      <alignment horizontal="center" vertical="center"/>
    </xf>
    <xf numFmtId="0" fontId="1" fillId="0" borderId="0" xfId="0" applyFont="1" applyBorder="1" applyAlignment="1">
      <alignment horizontal="center" vertical="center"/>
    </xf>
    <xf numFmtId="0" fontId="1" fillId="0" borderId="14" xfId="0" applyFont="1" applyBorder="1" applyAlignment="1">
      <alignment horizontal="center" vertical="center"/>
    </xf>
    <xf numFmtId="0" fontId="0" fillId="0" borderId="13" xfId="0" pivotButton="1" applyBorder="1" applyAlignment="1">
      <alignment horizontal="center" vertical="center"/>
    </xf>
    <xf numFmtId="0" fontId="0" fillId="0" borderId="0" xfId="0" applyBorder="1" applyAlignment="1">
      <alignment horizontal="center" vertical="center" wrapText="1"/>
    </xf>
    <xf numFmtId="0" fontId="0" fillId="0" borderId="14" xfId="0" applyBorder="1" applyAlignment="1">
      <alignment horizontal="center" vertical="center" wrapText="1"/>
    </xf>
    <xf numFmtId="0" fontId="0" fillId="0" borderId="13" xfId="0" applyBorder="1" applyAlignment="1">
      <alignment horizontal="left"/>
    </xf>
    <xf numFmtId="0" fontId="0" fillId="0" borderId="0" xfId="0" applyNumberFormat="1" applyBorder="1"/>
    <xf numFmtId="0" fontId="0" fillId="0" borderId="14" xfId="0" applyNumberFormat="1" applyBorder="1"/>
    <xf numFmtId="0" fontId="0" fillId="0" borderId="15" xfId="0" applyBorder="1" applyAlignment="1">
      <alignment horizontal="left"/>
    </xf>
    <xf numFmtId="0" fontId="0" fillId="0" borderId="25" xfId="0" applyNumberFormat="1" applyBorder="1"/>
    <xf numFmtId="0" fontId="0" fillId="0" borderId="16" xfId="0" applyNumberFormat="1" applyBorder="1"/>
  </cellXfs>
  <cellStyles count="2">
    <cellStyle name="Comma" xfId="1" builtinId="3"/>
    <cellStyle name="Normal" xfId="0" builtinId="0"/>
  </cellStyles>
  <dxfs count="341">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35" formatCode="_(* #,##0.00_);_(* \(#,##0.00\);_(* &quot;-&quot;??_);_(@_)"/>
    </dxf>
    <dxf>
      <numFmt numFmtId="166" formatCode="_(* #,##0.000_);_(* \(#,##0.000\);_(* &quot;-&quot;??_);_(@_)"/>
    </dxf>
    <dxf>
      <numFmt numFmtId="166" formatCode="_(* #,##0.000_);_(* \(#,##0.00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5" formatCode="_(* #,##0_);_(* \(#,##0\);_(* &quot;-&quot;??_);_(@_)"/>
    </dxf>
    <dxf>
      <numFmt numFmtId="165" formatCode="_(* #,##0_);_(* \(#,##0\);_(* &quot;-&quot;??_);_(@_)"/>
    </dxf>
    <dxf>
      <numFmt numFmtId="35" formatCode="_(* #,##0.00_);_(* \(#,##0.00\);_(* &quot;-&quot;??_);_(@_)"/>
    </dxf>
    <dxf>
      <numFmt numFmtId="166" formatCode="_(* #,##0.000_);_(* \(#,##0.00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fgColor theme="8" tint="0.39991454817346722"/>
          <bgColor theme="8" tint="0.39994506668294322"/>
        </patternFill>
      </fill>
    </dxf>
    <dxf>
      <alignment wrapText="1"/>
    </dxf>
    <dxf>
      <alignment wrapText="1"/>
    </dxf>
    <dxf>
      <alignment vertical="center"/>
    </dxf>
    <dxf>
      <alignment vertical="center"/>
    </dxf>
    <dxf>
      <alignment horizontal="center"/>
    </dxf>
    <dxf>
      <alignment horizontal="center"/>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6" formatCode="_(* #,##0.000_);_(* \(#,##0.000\);_(* &quot;-&quot;??_);_(@_)"/>
    </dxf>
    <dxf>
      <numFmt numFmtId="166" formatCode="_(* #,##0.000_);_(* \(#,##0.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Lessons survey and world cup.xlsx]pivot!PivotTable10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Goals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pivot!$A$40:$A$52</c:f>
              <c:strCache>
                <c:ptCount val="12"/>
                <c:pt idx="0">
                  <c:v>Final</c:v>
                </c:pt>
                <c:pt idx="1">
                  <c:v>Final stage</c:v>
                </c:pt>
                <c:pt idx="2">
                  <c:v>First group stage</c:v>
                </c:pt>
                <c:pt idx="3">
                  <c:v>First round</c:v>
                </c:pt>
                <c:pt idx="4">
                  <c:v>Group stage</c:v>
                </c:pt>
                <c:pt idx="5">
                  <c:v>Group stage play-off</c:v>
                </c:pt>
                <c:pt idx="6">
                  <c:v>Quarter-finals</c:v>
                </c:pt>
                <c:pt idx="7">
                  <c:v>Round of 16</c:v>
                </c:pt>
                <c:pt idx="8">
                  <c:v>Second group stage</c:v>
                </c:pt>
                <c:pt idx="9">
                  <c:v>Second round</c:v>
                </c:pt>
                <c:pt idx="10">
                  <c:v>Semi-finals</c:v>
                </c:pt>
                <c:pt idx="11">
                  <c:v>Third-place match</c:v>
                </c:pt>
              </c:strCache>
            </c:strRef>
          </c:cat>
          <c:val>
            <c:numRef>
              <c:f>pivot!$B$40:$B$52</c:f>
              <c:numCache>
                <c:formatCode>_(* #,##0_);_(* \(#,##0\);_(* "-"??_);_(@_)</c:formatCode>
                <c:ptCount val="12"/>
                <c:pt idx="0">
                  <c:v>80</c:v>
                </c:pt>
                <c:pt idx="1">
                  <c:v>31</c:v>
                </c:pt>
                <c:pt idx="2">
                  <c:v>100</c:v>
                </c:pt>
                <c:pt idx="3">
                  <c:v>123</c:v>
                </c:pt>
                <c:pt idx="4">
                  <c:v>1564</c:v>
                </c:pt>
                <c:pt idx="5">
                  <c:v>21</c:v>
                </c:pt>
                <c:pt idx="6">
                  <c:v>196</c:v>
                </c:pt>
                <c:pt idx="7">
                  <c:v>303</c:v>
                </c:pt>
                <c:pt idx="8">
                  <c:v>29</c:v>
                </c:pt>
                <c:pt idx="9">
                  <c:v>65</c:v>
                </c:pt>
                <c:pt idx="10">
                  <c:v>132</c:v>
                </c:pt>
                <c:pt idx="11">
                  <c:v>76</c:v>
                </c:pt>
              </c:numCache>
            </c:numRef>
          </c:val>
          <c:extLst>
            <c:ext xmlns:c16="http://schemas.microsoft.com/office/drawing/2014/chart" uri="{C3380CC4-5D6E-409C-BE32-E72D297353CC}">
              <c16:uniqueId val="{00000000-99B8-6E49-8B14-1D67AD366F29}"/>
            </c:ext>
          </c:extLst>
        </c:ser>
        <c:dLbls>
          <c:dLblPos val="outEnd"/>
          <c:showLegendKey val="0"/>
          <c:showVal val="1"/>
          <c:showCatName val="0"/>
          <c:showSerName val="0"/>
          <c:showPercent val="0"/>
          <c:showBubbleSize val="0"/>
        </c:dLbls>
        <c:gapWidth val="219"/>
        <c:overlap val="-27"/>
        <c:axId val="1539416832"/>
        <c:axId val="1539419072"/>
      </c:barChart>
      <c:catAx>
        <c:axId val="153941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39419072"/>
        <c:crosses val="autoZero"/>
        <c:auto val="1"/>
        <c:lblAlgn val="ctr"/>
        <c:lblOffset val="100"/>
        <c:noMultiLvlLbl val="0"/>
      </c:catAx>
      <c:valAx>
        <c:axId val="15394190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3941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Lessons survey and world cup.xlsx]pivot!PivotTable12</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 5 Propularity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TH"/>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pivot!$B$85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7237-BD43-9C3C-0760EE88AD7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237-BD43-9C3C-0760EE88AD7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7237-BD43-9C3C-0760EE88AD7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237-BD43-9C3C-0760EE88AD7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7237-BD43-9C3C-0760EE88AD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pivot!$A$86:$A$91</c:f>
              <c:strCache>
                <c:ptCount val="5"/>
                <c:pt idx="0">
                  <c:v>Germany</c:v>
                </c:pt>
                <c:pt idx="1">
                  <c:v>Mexico</c:v>
                </c:pt>
                <c:pt idx="2">
                  <c:v>Brazil</c:v>
                </c:pt>
                <c:pt idx="3">
                  <c:v>United States</c:v>
                </c:pt>
                <c:pt idx="4">
                  <c:v>Italy</c:v>
                </c:pt>
              </c:strCache>
            </c:strRef>
          </c:cat>
          <c:val>
            <c:numRef>
              <c:f>pivot!$B$86:$B$91</c:f>
              <c:numCache>
                <c:formatCode>0.00%</c:formatCode>
                <c:ptCount val="5"/>
                <c:pt idx="0">
                  <c:v>0.25293015565300681</c:v>
                </c:pt>
                <c:pt idx="1">
                  <c:v>0.22850443818820665</c:v>
                </c:pt>
                <c:pt idx="2">
                  <c:v>0.20207428659829985</c:v>
                </c:pt>
                <c:pt idx="3">
                  <c:v>0.17078530526527638</c:v>
                </c:pt>
                <c:pt idx="4">
                  <c:v>0.14570581429521037</c:v>
                </c:pt>
              </c:numCache>
            </c:numRef>
          </c:val>
          <c:extLst>
            <c:ext xmlns:c16="http://schemas.microsoft.com/office/drawing/2014/chart" uri="{C3380CC4-5D6E-409C-BE32-E72D297353CC}">
              <c16:uniqueId val="{00000000-7237-BD43-9C3C-0760EE88AD74}"/>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Lessons survey and world cup.xlsx]pivot!PivotTable18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Champion Winner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solidFill>
            <a:schemeClr val="accent1"/>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pivot!$H$86</c:f>
              <c:strCache>
                <c:ptCount val="1"/>
                <c:pt idx="0">
                  <c:v>Total</c:v>
                </c:pt>
              </c:strCache>
            </c:strRef>
          </c:tx>
          <c:spPr>
            <a:solidFill>
              <a:schemeClr val="accent1"/>
            </a:solidFill>
            <a:ln w="0">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pivot!$G$87:$G$94</c:f>
              <c:strCache>
                <c:ptCount val="7"/>
                <c:pt idx="0">
                  <c:v>Brazil</c:v>
                </c:pt>
                <c:pt idx="1">
                  <c:v>Italy</c:v>
                </c:pt>
                <c:pt idx="2">
                  <c:v>Argentina</c:v>
                </c:pt>
                <c:pt idx="3">
                  <c:v>Uruguay</c:v>
                </c:pt>
                <c:pt idx="4">
                  <c:v>West Germany</c:v>
                </c:pt>
                <c:pt idx="5">
                  <c:v>France</c:v>
                </c:pt>
                <c:pt idx="6">
                  <c:v>Germany</c:v>
                </c:pt>
              </c:strCache>
            </c:strRef>
          </c:cat>
          <c:val>
            <c:numRef>
              <c:f>pivot!$H$87:$H$94</c:f>
              <c:numCache>
                <c:formatCode>General</c:formatCode>
                <c:ptCount val="7"/>
                <c:pt idx="0">
                  <c:v>5</c:v>
                </c:pt>
                <c:pt idx="1">
                  <c:v>4</c:v>
                </c:pt>
                <c:pt idx="2">
                  <c:v>3</c:v>
                </c:pt>
                <c:pt idx="3">
                  <c:v>2</c:v>
                </c:pt>
                <c:pt idx="4">
                  <c:v>2</c:v>
                </c:pt>
                <c:pt idx="5">
                  <c:v>2</c:v>
                </c:pt>
                <c:pt idx="6">
                  <c:v>2</c:v>
                </c:pt>
              </c:numCache>
            </c:numRef>
          </c:val>
          <c:extLst>
            <c:ext xmlns:c16="http://schemas.microsoft.com/office/drawing/2014/chart" uri="{C3380CC4-5D6E-409C-BE32-E72D297353CC}">
              <c16:uniqueId val="{00000000-41EE-1041-82E4-194ED63D081C}"/>
            </c:ext>
          </c:extLst>
        </c:ser>
        <c:dLbls>
          <c:showLegendKey val="0"/>
          <c:showVal val="0"/>
          <c:showCatName val="0"/>
          <c:showSerName val="0"/>
          <c:showPercent val="0"/>
          <c:showBubbleSize val="0"/>
        </c:dLbls>
        <c:gapWidth val="219"/>
        <c:overlap val="-27"/>
        <c:axId val="1501921280"/>
        <c:axId val="1501926656"/>
      </c:barChart>
      <c:catAx>
        <c:axId val="150192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01926656"/>
        <c:crosses val="autoZero"/>
        <c:auto val="1"/>
        <c:lblAlgn val="ctr"/>
        <c:lblOffset val="100"/>
        <c:noMultiLvlLbl val="0"/>
      </c:catAx>
      <c:valAx>
        <c:axId val="1501926656"/>
        <c:scaling>
          <c:orientation val="minMax"/>
        </c:scaling>
        <c:delete val="1"/>
        <c:axPos val="l"/>
        <c:numFmt formatCode="General" sourceLinked="1"/>
        <c:majorTickMark val="none"/>
        <c:minorTickMark val="none"/>
        <c:tickLblPos val="nextTo"/>
        <c:crossAx val="1501921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Lessons survey and world cup.xlsx]pivot!PivotTable21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 Attendance</a:t>
            </a:r>
            <a:r>
              <a:rPr lang="en-US" b="1" baseline="0"/>
              <a: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pivot!$N$85</c:f>
              <c:strCache>
                <c:ptCount val="1"/>
                <c:pt idx="0">
                  <c:v>Total</c:v>
                </c:pt>
              </c:strCache>
            </c:strRef>
          </c:tx>
          <c:spPr>
            <a:ln w="28575" cap="rnd">
              <a:solidFill>
                <a:schemeClr val="accent1"/>
              </a:solidFill>
              <a:round/>
            </a:ln>
            <a:effectLst/>
          </c:spPr>
          <c:marker>
            <c:symbol val="none"/>
          </c:marker>
          <c:cat>
            <c:strRef>
              <c:f>pivot!$M$86:$M$108</c:f>
              <c:strCache>
                <c:ptCount val="22"/>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strCache>
            </c:strRef>
          </c:cat>
          <c:val>
            <c:numRef>
              <c:f>pivot!$N$86:$N$108</c:f>
              <c:numCache>
                <c:formatCode>General</c:formatCode>
                <c:ptCount val="22"/>
                <c:pt idx="0">
                  <c:v>32808</c:v>
                </c:pt>
                <c:pt idx="1">
                  <c:v>21353</c:v>
                </c:pt>
                <c:pt idx="2">
                  <c:v>20872</c:v>
                </c:pt>
                <c:pt idx="3">
                  <c:v>47511</c:v>
                </c:pt>
                <c:pt idx="4">
                  <c:v>29562</c:v>
                </c:pt>
                <c:pt idx="5">
                  <c:v>23423</c:v>
                </c:pt>
                <c:pt idx="6">
                  <c:v>27912</c:v>
                </c:pt>
                <c:pt idx="7">
                  <c:v>48848</c:v>
                </c:pt>
                <c:pt idx="8">
                  <c:v>50124</c:v>
                </c:pt>
                <c:pt idx="9">
                  <c:v>49099</c:v>
                </c:pt>
                <c:pt idx="10">
                  <c:v>40679</c:v>
                </c:pt>
                <c:pt idx="11">
                  <c:v>40572</c:v>
                </c:pt>
                <c:pt idx="12">
                  <c:v>46039</c:v>
                </c:pt>
                <c:pt idx="13">
                  <c:v>48389</c:v>
                </c:pt>
                <c:pt idx="14">
                  <c:v>68991</c:v>
                </c:pt>
                <c:pt idx="15">
                  <c:v>45367</c:v>
                </c:pt>
                <c:pt idx="16">
                  <c:v>42271</c:v>
                </c:pt>
                <c:pt idx="17">
                  <c:v>52384</c:v>
                </c:pt>
                <c:pt idx="18">
                  <c:v>49670</c:v>
                </c:pt>
                <c:pt idx="19">
                  <c:v>53592</c:v>
                </c:pt>
                <c:pt idx="20">
                  <c:v>47371</c:v>
                </c:pt>
                <c:pt idx="21">
                  <c:v>53191</c:v>
                </c:pt>
              </c:numCache>
            </c:numRef>
          </c:val>
          <c:smooth val="0"/>
          <c:extLst>
            <c:ext xmlns:c16="http://schemas.microsoft.com/office/drawing/2014/chart" uri="{C3380CC4-5D6E-409C-BE32-E72D297353CC}">
              <c16:uniqueId val="{00000000-5BC4-724D-9D54-5B89AA883277}"/>
            </c:ext>
          </c:extLst>
        </c:ser>
        <c:dLbls>
          <c:showLegendKey val="0"/>
          <c:showVal val="0"/>
          <c:showCatName val="0"/>
          <c:showSerName val="0"/>
          <c:showPercent val="0"/>
          <c:showBubbleSize val="0"/>
        </c:dLbls>
        <c:smooth val="0"/>
        <c:axId val="1538640064"/>
        <c:axId val="1502018880"/>
      </c:lineChart>
      <c:catAx>
        <c:axId val="153864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02018880"/>
        <c:crosses val="autoZero"/>
        <c:auto val="1"/>
        <c:lblAlgn val="ctr"/>
        <c:lblOffset val="100"/>
        <c:noMultiLvlLbl val="0"/>
      </c:catAx>
      <c:valAx>
        <c:axId val="1502018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38640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Lessons survey and world cup.xlsx]pivot!PivotTable10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Goals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pivot!$A$40:$A$52</c:f>
              <c:strCache>
                <c:ptCount val="12"/>
                <c:pt idx="0">
                  <c:v>Final</c:v>
                </c:pt>
                <c:pt idx="1">
                  <c:v>Final stage</c:v>
                </c:pt>
                <c:pt idx="2">
                  <c:v>First group stage</c:v>
                </c:pt>
                <c:pt idx="3">
                  <c:v>First round</c:v>
                </c:pt>
                <c:pt idx="4">
                  <c:v>Group stage</c:v>
                </c:pt>
                <c:pt idx="5">
                  <c:v>Group stage play-off</c:v>
                </c:pt>
                <c:pt idx="6">
                  <c:v>Quarter-finals</c:v>
                </c:pt>
                <c:pt idx="7">
                  <c:v>Round of 16</c:v>
                </c:pt>
                <c:pt idx="8">
                  <c:v>Second group stage</c:v>
                </c:pt>
                <c:pt idx="9">
                  <c:v>Second round</c:v>
                </c:pt>
                <c:pt idx="10">
                  <c:v>Semi-finals</c:v>
                </c:pt>
                <c:pt idx="11">
                  <c:v>Third-place match</c:v>
                </c:pt>
              </c:strCache>
            </c:strRef>
          </c:cat>
          <c:val>
            <c:numRef>
              <c:f>pivot!$B$40:$B$52</c:f>
              <c:numCache>
                <c:formatCode>_(* #,##0_);_(* \(#,##0\);_(* "-"??_);_(@_)</c:formatCode>
                <c:ptCount val="12"/>
                <c:pt idx="0">
                  <c:v>80</c:v>
                </c:pt>
                <c:pt idx="1">
                  <c:v>31</c:v>
                </c:pt>
                <c:pt idx="2">
                  <c:v>100</c:v>
                </c:pt>
                <c:pt idx="3">
                  <c:v>123</c:v>
                </c:pt>
                <c:pt idx="4">
                  <c:v>1564</c:v>
                </c:pt>
                <c:pt idx="5">
                  <c:v>21</c:v>
                </c:pt>
                <c:pt idx="6">
                  <c:v>196</c:v>
                </c:pt>
                <c:pt idx="7">
                  <c:v>303</c:v>
                </c:pt>
                <c:pt idx="8">
                  <c:v>29</c:v>
                </c:pt>
                <c:pt idx="9">
                  <c:v>65</c:v>
                </c:pt>
                <c:pt idx="10">
                  <c:v>132</c:v>
                </c:pt>
                <c:pt idx="11">
                  <c:v>76</c:v>
                </c:pt>
              </c:numCache>
            </c:numRef>
          </c:val>
          <c:extLst>
            <c:ext xmlns:c16="http://schemas.microsoft.com/office/drawing/2014/chart" uri="{C3380CC4-5D6E-409C-BE32-E72D297353CC}">
              <c16:uniqueId val="{00000000-0BEA-1744-8250-6A420EE537C3}"/>
            </c:ext>
          </c:extLst>
        </c:ser>
        <c:dLbls>
          <c:dLblPos val="outEnd"/>
          <c:showLegendKey val="0"/>
          <c:showVal val="1"/>
          <c:showCatName val="0"/>
          <c:showSerName val="0"/>
          <c:showPercent val="0"/>
          <c:showBubbleSize val="0"/>
        </c:dLbls>
        <c:gapWidth val="219"/>
        <c:axId val="1539416832"/>
        <c:axId val="1539419072"/>
      </c:barChart>
      <c:catAx>
        <c:axId val="153941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39419072"/>
        <c:crosses val="autoZero"/>
        <c:auto val="1"/>
        <c:lblAlgn val="ctr"/>
        <c:lblOffset val="100"/>
        <c:noMultiLvlLbl val="0"/>
      </c:catAx>
      <c:valAx>
        <c:axId val="1539419072"/>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39416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bevel/>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Lessons survey and world cup.xlsx]pivot!PivotTable12</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 Propularity</a:t>
            </a:r>
          </a:p>
        </c:rich>
      </c:tx>
      <c:layout>
        <c:manualLayout>
          <c:xMode val="edge"/>
          <c:yMode val="edge"/>
          <c:x val="5.9678338080080369E-3"/>
          <c:y val="1.673610025143684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TH"/>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092946892276763"/>
          <c:y val="0.11207608468378875"/>
          <c:w val="0.63048182275087949"/>
          <c:h val="0.82655821439427613"/>
        </c:manualLayout>
      </c:layout>
      <c:pieChart>
        <c:varyColors val="1"/>
        <c:ser>
          <c:idx val="0"/>
          <c:order val="0"/>
          <c:tx>
            <c:strRef>
              <c:f>pivot!$B$85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B9D-6246-B75B-41B1E6698EC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B9D-6246-B75B-41B1E6698EC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B9D-6246-B75B-41B1E6698EC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B9D-6246-B75B-41B1E6698EC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B9D-6246-B75B-41B1E6698EC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TH"/>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pivot!$A$86:$A$91</c:f>
              <c:strCache>
                <c:ptCount val="5"/>
                <c:pt idx="0">
                  <c:v>Germany</c:v>
                </c:pt>
                <c:pt idx="1">
                  <c:v>Mexico</c:v>
                </c:pt>
                <c:pt idx="2">
                  <c:v>Brazil</c:v>
                </c:pt>
                <c:pt idx="3">
                  <c:v>United States</c:v>
                </c:pt>
                <c:pt idx="4">
                  <c:v>Italy</c:v>
                </c:pt>
              </c:strCache>
            </c:strRef>
          </c:cat>
          <c:val>
            <c:numRef>
              <c:f>pivot!$B$86:$B$91</c:f>
              <c:numCache>
                <c:formatCode>0.00%</c:formatCode>
                <c:ptCount val="5"/>
                <c:pt idx="0">
                  <c:v>0.25293015565300681</c:v>
                </c:pt>
                <c:pt idx="1">
                  <c:v>0.22850443818820665</c:v>
                </c:pt>
                <c:pt idx="2">
                  <c:v>0.20207428659829985</c:v>
                </c:pt>
                <c:pt idx="3">
                  <c:v>0.17078530526527638</c:v>
                </c:pt>
                <c:pt idx="4">
                  <c:v>0.14570581429521037</c:v>
                </c:pt>
              </c:numCache>
            </c:numRef>
          </c:val>
          <c:extLst>
            <c:ext xmlns:c16="http://schemas.microsoft.com/office/drawing/2014/chart" uri="{C3380CC4-5D6E-409C-BE32-E72D297353CC}">
              <c16:uniqueId val="{0000000A-1B9D-6246-B75B-41B1E6698EC1}"/>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Lessons survey and world cup.xlsx]pivot!PivotTable18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Champion Winner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solidFill>
            <a:schemeClr val="accent1"/>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pivot!$H$86</c:f>
              <c:strCache>
                <c:ptCount val="1"/>
                <c:pt idx="0">
                  <c:v>Total</c:v>
                </c:pt>
              </c:strCache>
            </c:strRef>
          </c:tx>
          <c:spPr>
            <a:solidFill>
              <a:schemeClr val="accent1"/>
            </a:solidFill>
            <a:ln w="0">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pivot!$G$87:$G$94</c:f>
              <c:strCache>
                <c:ptCount val="7"/>
                <c:pt idx="0">
                  <c:v>Brazil</c:v>
                </c:pt>
                <c:pt idx="1">
                  <c:v>Italy</c:v>
                </c:pt>
                <c:pt idx="2">
                  <c:v>Argentina</c:v>
                </c:pt>
                <c:pt idx="3">
                  <c:v>Uruguay</c:v>
                </c:pt>
                <c:pt idx="4">
                  <c:v>West Germany</c:v>
                </c:pt>
                <c:pt idx="5">
                  <c:v>France</c:v>
                </c:pt>
                <c:pt idx="6">
                  <c:v>Germany</c:v>
                </c:pt>
              </c:strCache>
            </c:strRef>
          </c:cat>
          <c:val>
            <c:numRef>
              <c:f>pivot!$H$87:$H$94</c:f>
              <c:numCache>
                <c:formatCode>General</c:formatCode>
                <c:ptCount val="7"/>
                <c:pt idx="0">
                  <c:v>5</c:v>
                </c:pt>
                <c:pt idx="1">
                  <c:v>4</c:v>
                </c:pt>
                <c:pt idx="2">
                  <c:v>3</c:v>
                </c:pt>
                <c:pt idx="3">
                  <c:v>2</c:v>
                </c:pt>
                <c:pt idx="4">
                  <c:v>2</c:v>
                </c:pt>
                <c:pt idx="5">
                  <c:v>2</c:v>
                </c:pt>
                <c:pt idx="6">
                  <c:v>2</c:v>
                </c:pt>
              </c:numCache>
            </c:numRef>
          </c:val>
          <c:extLst>
            <c:ext xmlns:c16="http://schemas.microsoft.com/office/drawing/2014/chart" uri="{C3380CC4-5D6E-409C-BE32-E72D297353CC}">
              <c16:uniqueId val="{00000000-D725-FE43-9A9F-34895B04D3A0}"/>
            </c:ext>
          </c:extLst>
        </c:ser>
        <c:dLbls>
          <c:showLegendKey val="0"/>
          <c:showVal val="0"/>
          <c:showCatName val="0"/>
          <c:showSerName val="0"/>
          <c:showPercent val="0"/>
          <c:showBubbleSize val="0"/>
        </c:dLbls>
        <c:gapWidth val="219"/>
        <c:overlap val="-27"/>
        <c:axId val="1501921280"/>
        <c:axId val="1501926656"/>
      </c:barChart>
      <c:catAx>
        <c:axId val="150192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01926656"/>
        <c:crosses val="autoZero"/>
        <c:auto val="1"/>
        <c:lblAlgn val="ctr"/>
        <c:lblOffset val="100"/>
        <c:noMultiLvlLbl val="0"/>
      </c:catAx>
      <c:valAx>
        <c:axId val="1501926656"/>
        <c:scaling>
          <c:orientation val="minMax"/>
        </c:scaling>
        <c:delete val="1"/>
        <c:axPos val="l"/>
        <c:numFmt formatCode="General" sourceLinked="1"/>
        <c:majorTickMark val="none"/>
        <c:minorTickMark val="none"/>
        <c:tickLblPos val="nextTo"/>
        <c:crossAx val="1501921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Lessons survey and world cup.xlsx]pivot!PivotTable21</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 Attendance</a:t>
            </a:r>
            <a:r>
              <a:rPr lang="en-US" b="1" baseline="0"/>
              <a: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pivot!$N$85</c:f>
              <c:strCache>
                <c:ptCount val="1"/>
                <c:pt idx="0">
                  <c:v>Total</c:v>
                </c:pt>
              </c:strCache>
            </c:strRef>
          </c:tx>
          <c:spPr>
            <a:ln w="28575" cap="rnd">
              <a:solidFill>
                <a:schemeClr val="accent1"/>
              </a:solidFill>
              <a:round/>
            </a:ln>
            <a:effectLst/>
          </c:spPr>
          <c:marker>
            <c:symbol val="none"/>
          </c:marker>
          <c:cat>
            <c:strRef>
              <c:f>pivot!$M$86:$M$108</c:f>
              <c:strCache>
                <c:ptCount val="22"/>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strCache>
            </c:strRef>
          </c:cat>
          <c:val>
            <c:numRef>
              <c:f>pivot!$N$86:$N$108</c:f>
              <c:numCache>
                <c:formatCode>General</c:formatCode>
                <c:ptCount val="22"/>
                <c:pt idx="0">
                  <c:v>32808</c:v>
                </c:pt>
                <c:pt idx="1">
                  <c:v>21353</c:v>
                </c:pt>
                <c:pt idx="2">
                  <c:v>20872</c:v>
                </c:pt>
                <c:pt idx="3">
                  <c:v>47511</c:v>
                </c:pt>
                <c:pt idx="4">
                  <c:v>29562</c:v>
                </c:pt>
                <c:pt idx="5">
                  <c:v>23423</c:v>
                </c:pt>
                <c:pt idx="6">
                  <c:v>27912</c:v>
                </c:pt>
                <c:pt idx="7">
                  <c:v>48848</c:v>
                </c:pt>
                <c:pt idx="8">
                  <c:v>50124</c:v>
                </c:pt>
                <c:pt idx="9">
                  <c:v>49099</c:v>
                </c:pt>
                <c:pt idx="10">
                  <c:v>40679</c:v>
                </c:pt>
                <c:pt idx="11">
                  <c:v>40572</c:v>
                </c:pt>
                <c:pt idx="12">
                  <c:v>46039</c:v>
                </c:pt>
                <c:pt idx="13">
                  <c:v>48389</c:v>
                </c:pt>
                <c:pt idx="14">
                  <c:v>68991</c:v>
                </c:pt>
                <c:pt idx="15">
                  <c:v>45367</c:v>
                </c:pt>
                <c:pt idx="16">
                  <c:v>42271</c:v>
                </c:pt>
                <c:pt idx="17">
                  <c:v>52384</c:v>
                </c:pt>
                <c:pt idx="18">
                  <c:v>49670</c:v>
                </c:pt>
                <c:pt idx="19">
                  <c:v>53592</c:v>
                </c:pt>
                <c:pt idx="20">
                  <c:v>47371</c:v>
                </c:pt>
                <c:pt idx="21">
                  <c:v>53191</c:v>
                </c:pt>
              </c:numCache>
            </c:numRef>
          </c:val>
          <c:smooth val="0"/>
          <c:extLst>
            <c:ext xmlns:c16="http://schemas.microsoft.com/office/drawing/2014/chart" uri="{C3380CC4-5D6E-409C-BE32-E72D297353CC}">
              <c16:uniqueId val="{00000000-22AB-9245-BC21-B6769D93512A}"/>
            </c:ext>
          </c:extLst>
        </c:ser>
        <c:dLbls>
          <c:showLegendKey val="0"/>
          <c:showVal val="0"/>
          <c:showCatName val="0"/>
          <c:showSerName val="0"/>
          <c:showPercent val="0"/>
          <c:showBubbleSize val="0"/>
        </c:dLbls>
        <c:smooth val="0"/>
        <c:axId val="1538640064"/>
        <c:axId val="1502018880"/>
      </c:lineChart>
      <c:catAx>
        <c:axId val="153864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02018880"/>
        <c:crosses val="autoZero"/>
        <c:auto val="1"/>
        <c:lblAlgn val="ctr"/>
        <c:lblOffset val="100"/>
        <c:noMultiLvlLbl val="0"/>
      </c:catAx>
      <c:valAx>
        <c:axId val="1502018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1538640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78036</xdr:colOff>
      <xdr:row>38</xdr:row>
      <xdr:rowOff>16985</xdr:rowOff>
    </xdr:from>
    <xdr:to>
      <xdr:col>6</xdr:col>
      <xdr:colOff>488108</xdr:colOff>
      <xdr:row>51</xdr:row>
      <xdr:rowOff>74823</xdr:rowOff>
    </xdr:to>
    <xdr:graphicFrame macro="">
      <xdr:nvGraphicFramePr>
        <xdr:cNvPr id="4" name="Chart 3">
          <a:extLst>
            <a:ext uri="{FF2B5EF4-FFF2-40B4-BE49-F238E27FC236}">
              <a16:creationId xmlns:a16="http://schemas.microsoft.com/office/drawing/2014/main" id="{04A8A4F9-050C-3EF4-B546-4A15C8D93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246349</xdr:colOff>
      <xdr:row>85</xdr:row>
      <xdr:rowOff>1681</xdr:rowOff>
    </xdr:from>
    <xdr:to>
      <xdr:col>4</xdr:col>
      <xdr:colOff>535542</xdr:colOff>
      <xdr:row>98</xdr:row>
      <xdr:rowOff>206565</xdr:rowOff>
    </xdr:to>
    <xdr:graphicFrame macro="">
      <xdr:nvGraphicFramePr>
        <xdr:cNvPr id="6" name="Chart 5">
          <a:extLst>
            <a:ext uri="{FF2B5EF4-FFF2-40B4-BE49-F238E27FC236}">
              <a16:creationId xmlns:a16="http://schemas.microsoft.com/office/drawing/2014/main" id="{F41A97D1-7FEA-01A0-687B-6A07A24F8B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781892</xdr:colOff>
      <xdr:row>94</xdr:row>
      <xdr:rowOff>131744</xdr:rowOff>
    </xdr:from>
    <xdr:to>
      <xdr:col>10</xdr:col>
      <xdr:colOff>579916</xdr:colOff>
      <xdr:row>107</xdr:row>
      <xdr:rowOff>189583</xdr:rowOff>
    </xdr:to>
    <xdr:graphicFrame macro="">
      <xdr:nvGraphicFramePr>
        <xdr:cNvPr id="7" name="Championwinner">
          <a:extLst>
            <a:ext uri="{FF2B5EF4-FFF2-40B4-BE49-F238E27FC236}">
              <a16:creationId xmlns:a16="http://schemas.microsoft.com/office/drawing/2014/main" id="{8A27A403-707C-105D-5C1B-B2E5A3807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406400</xdr:colOff>
      <xdr:row>88</xdr:row>
      <xdr:rowOff>20320</xdr:rowOff>
    </xdr:from>
    <xdr:to>
      <xdr:col>19</xdr:col>
      <xdr:colOff>426720</xdr:colOff>
      <xdr:row>101</xdr:row>
      <xdr:rowOff>121920</xdr:rowOff>
    </xdr:to>
    <xdr:graphicFrame macro="">
      <xdr:nvGraphicFramePr>
        <xdr:cNvPr id="8" name="Chart 7">
          <a:extLst>
            <a:ext uri="{FF2B5EF4-FFF2-40B4-BE49-F238E27FC236}">
              <a16:creationId xmlns:a16="http://schemas.microsoft.com/office/drawing/2014/main" id="{188BD2EA-530D-7D20-A7DE-90CBB38C5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736600</xdr:colOff>
      <xdr:row>79</xdr:row>
      <xdr:rowOff>43180</xdr:rowOff>
    </xdr:from>
    <xdr:to>
      <xdr:col>17</xdr:col>
      <xdr:colOff>203200</xdr:colOff>
      <xdr:row>85</xdr:row>
      <xdr:rowOff>111760</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D5014ED3-E383-A7EF-283E-3926049A796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500600" y="16095980"/>
              <a:ext cx="237236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12330</xdr:colOff>
      <xdr:row>6</xdr:row>
      <xdr:rowOff>61649</xdr:rowOff>
    </xdr:from>
    <xdr:to>
      <xdr:col>3</xdr:col>
      <xdr:colOff>505533</xdr:colOff>
      <xdr:row>19</xdr:row>
      <xdr:rowOff>123300</xdr:rowOff>
    </xdr:to>
    <xdr:graphicFrame macro="">
      <xdr:nvGraphicFramePr>
        <xdr:cNvPr id="2" name="Chart 1">
          <a:extLst>
            <a:ext uri="{FF2B5EF4-FFF2-40B4-BE49-F238E27FC236}">
              <a16:creationId xmlns:a16="http://schemas.microsoft.com/office/drawing/2014/main" id="{A23E9376-C2D1-9244-92F3-6BD63B4BC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23090</xdr:rowOff>
    </xdr:from>
    <xdr:to>
      <xdr:col>3</xdr:col>
      <xdr:colOff>508000</xdr:colOff>
      <xdr:row>30</xdr:row>
      <xdr:rowOff>204106</xdr:rowOff>
    </xdr:to>
    <xdr:graphicFrame macro="">
      <xdr:nvGraphicFramePr>
        <xdr:cNvPr id="3" name="Chart 2">
          <a:extLst>
            <a:ext uri="{FF2B5EF4-FFF2-40B4-BE49-F238E27FC236}">
              <a16:creationId xmlns:a16="http://schemas.microsoft.com/office/drawing/2014/main" id="{0A0B621C-4F85-AC43-99D4-35D603CD6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546211</xdr:colOff>
      <xdr:row>20</xdr:row>
      <xdr:rowOff>11546</xdr:rowOff>
    </xdr:from>
    <xdr:to>
      <xdr:col>7</xdr:col>
      <xdr:colOff>738909</xdr:colOff>
      <xdr:row>30</xdr:row>
      <xdr:rowOff>212079</xdr:rowOff>
    </xdr:to>
    <xdr:graphicFrame macro="">
      <xdr:nvGraphicFramePr>
        <xdr:cNvPr id="4" name="Championwinner">
          <a:extLst>
            <a:ext uri="{FF2B5EF4-FFF2-40B4-BE49-F238E27FC236}">
              <a16:creationId xmlns:a16="http://schemas.microsoft.com/office/drawing/2014/main" id="{DF972E09-C94B-F942-A400-881FF8BA6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572507</xdr:colOff>
      <xdr:row>6</xdr:row>
      <xdr:rowOff>62802</xdr:rowOff>
    </xdr:from>
    <xdr:to>
      <xdr:col>9</xdr:col>
      <xdr:colOff>20934</xdr:colOff>
      <xdr:row>19</xdr:row>
      <xdr:rowOff>104576</xdr:rowOff>
    </xdr:to>
    <xdr:graphicFrame macro="">
      <xdr:nvGraphicFramePr>
        <xdr:cNvPr id="5" name="Chart 4">
          <a:extLst>
            <a:ext uri="{FF2B5EF4-FFF2-40B4-BE49-F238E27FC236}">
              <a16:creationId xmlns:a16="http://schemas.microsoft.com/office/drawing/2014/main" id="{C4F265DB-582B-3841-AD7D-D908F014D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63500</xdr:colOff>
      <xdr:row>10</xdr:row>
      <xdr:rowOff>88900</xdr:rowOff>
    </xdr:from>
    <xdr:to>
      <xdr:col>10</xdr:col>
      <xdr:colOff>939800</xdr:colOff>
      <xdr:row>19</xdr:row>
      <xdr:rowOff>101600</xdr:rowOff>
    </xdr:to>
    <mc:AlternateContent xmlns:mc="http://schemas.openxmlformats.org/markup-compatibility/2006">
      <mc:Choice xmlns:a14="http://schemas.microsoft.com/office/drawing/2010/main" Requires="a14">
        <xdr:graphicFrame macro="">
          <xdr:nvGraphicFramePr>
            <xdr:cNvPr id="8" name="Host 1">
              <a:extLst>
                <a:ext uri="{FF2B5EF4-FFF2-40B4-BE49-F238E27FC236}">
                  <a16:creationId xmlns:a16="http://schemas.microsoft.com/office/drawing/2014/main" id="{C8515313-54B8-0A4D-94E1-F5A5F8663243}"/>
                </a:ext>
              </a:extLst>
            </xdr:cNvPr>
            <xdr:cNvGraphicFramePr/>
          </xdr:nvGraphicFramePr>
          <xdr:xfrm>
            <a:off x="0" y="0"/>
            <a:ext cx="0" cy="0"/>
          </xdr:xfrm>
          <a:graphic>
            <a:graphicData uri="http://schemas.microsoft.com/office/drawing/2010/slicer">
              <sle:slicer xmlns:sle="http://schemas.microsoft.com/office/drawing/2010/slicer" name="Host 1"/>
            </a:graphicData>
          </a:graphic>
        </xdr:graphicFrame>
      </mc:Choice>
      <mc:Fallback>
        <xdr:sp macro="" textlink="">
          <xdr:nvSpPr>
            <xdr:cNvPr id="0" name=""/>
            <xdr:cNvSpPr>
              <a:spLocks noTextEdit="1"/>
            </xdr:cNvSpPr>
          </xdr:nvSpPr>
          <xdr:spPr>
            <a:xfrm>
              <a:off x="7429500" y="2019300"/>
              <a:ext cx="1854200" cy="184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50800</xdr:colOff>
      <xdr:row>3</xdr:row>
      <xdr:rowOff>25400</xdr:rowOff>
    </xdr:from>
    <xdr:to>
      <xdr:col>10</xdr:col>
      <xdr:colOff>927100</xdr:colOff>
      <xdr:row>10</xdr:row>
      <xdr:rowOff>5080</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DC55FC71-A2D4-4C44-84E5-33106AE3661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416800" y="647700"/>
              <a:ext cx="185420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ple" refreshedDate="46246.985226273151" createdVersion="8" refreshedVersion="8" minRefreshableVersion="3" recordCount="964" xr:uid="{4FB04A63-0E74-EC4D-8489-93F594527646}">
  <cacheSource type="worksheet">
    <worksheetSource name="matches_1930_2022"/>
  </cacheSource>
  <cacheFields count="45">
    <cacheField name="home_team" numFmtId="0">
      <sharedItems/>
    </cacheField>
    <cacheField name="away_team" numFmtId="0">
      <sharedItems/>
    </cacheField>
    <cacheField name="home_score" numFmtId="0">
      <sharedItems containsSemiMixedTypes="0" containsString="0" containsNumber="1" containsInteger="1" minValue="0" maxValue="10"/>
    </cacheField>
    <cacheField name="home_xg" numFmtId="0">
      <sharedItems containsString="0" containsBlank="1" containsNumber="1" minValue="0.1" maxValue="5.2"/>
    </cacheField>
    <cacheField name="home_penalty" numFmtId="0">
      <sharedItems containsString="0" containsBlank="1" containsNumber="1" containsInteger="1" minValue="0" maxValue="5"/>
    </cacheField>
    <cacheField name="away_score" numFmtId="0">
      <sharedItems containsSemiMixedTypes="0" containsString="0" containsNumber="1" containsInteger="1" minValue="0" maxValue="7"/>
    </cacheField>
    <cacheField name="away_xg" numFmtId="0">
      <sharedItems containsString="0" containsBlank="1" containsNumber="1" minValue="0" maxValue="5.7"/>
    </cacheField>
    <cacheField name="away_penalty" numFmtId="0">
      <sharedItems containsString="0" containsBlank="1" containsNumber="1" containsInteger="1" minValue="0" maxValue="5"/>
    </cacheField>
    <cacheField name="home_manager" numFmtId="0">
      <sharedItems/>
    </cacheField>
    <cacheField name="home_captain" numFmtId="0">
      <sharedItems/>
    </cacheField>
    <cacheField name="away_manager" numFmtId="0">
      <sharedItems/>
    </cacheField>
    <cacheField name="away_captain" numFmtId="0">
      <sharedItems/>
    </cacheField>
    <cacheField name="Attendance" numFmtId="0">
      <sharedItems containsSemiMixedTypes="0" containsString="0" containsNumber="1" containsInteger="1" minValue="2000" maxValue="173850"/>
    </cacheField>
    <cacheField name="Venue" numFmtId="0">
      <sharedItems/>
    </cacheField>
    <cacheField name="Officials" numFmtId="0">
      <sharedItems/>
    </cacheField>
    <cacheField name="Round" numFmtId="0">
      <sharedItems count="12">
        <s v="Final"/>
        <s v="Third-place match"/>
        <s v="Semi-finals"/>
        <s v="Quarter-finals"/>
        <s v="Round of 16"/>
        <s v="Group stage"/>
        <s v="Second group stage"/>
        <s v="First group stage"/>
        <s v="Second round"/>
        <s v="First round"/>
        <s v="Group stage play-off"/>
        <s v="Final stage"/>
      </sharedItems>
    </cacheField>
    <cacheField name="Date" numFmtId="14">
      <sharedItems containsSemiMixedTypes="0" containsNonDate="0" containsDate="1" containsString="0" minDate="1930-07-13T00:00:00" maxDate="2022-12-19T00:00:00" count="378">
        <d v="2022-12-18T00:00:00"/>
        <d v="2022-12-17T00:00:00"/>
        <d v="2022-12-14T00:00:00"/>
        <d v="2022-12-13T00:00:00"/>
        <d v="2022-12-10T00:00:00"/>
        <d v="2022-12-09T00:00:00"/>
        <d v="2022-12-06T00:00:00"/>
        <d v="2022-12-05T00:00:00"/>
        <d v="2022-12-04T00:00:00"/>
        <d v="2022-12-03T00:00:00"/>
        <d v="2022-12-02T00:00:00"/>
        <d v="2022-12-01T00:00:00"/>
        <d v="2022-11-30T00:00:00"/>
        <d v="2022-11-29T00:00:00"/>
        <d v="2022-11-28T00:00:00"/>
        <d v="2022-11-27T00:00:00"/>
        <d v="2022-11-26T00:00:00"/>
        <d v="2022-11-25T00:00:00"/>
        <d v="2022-11-24T00:00:00"/>
        <d v="2022-11-23T00:00:00"/>
        <d v="2022-11-22T00:00:00"/>
        <d v="2022-11-21T00:00:00"/>
        <d v="2022-11-20T00:00:00"/>
        <d v="2018-07-15T00:00:00"/>
        <d v="2018-07-14T00:00:00"/>
        <d v="2018-07-11T00:00:00"/>
        <d v="2018-07-10T00:00:00"/>
        <d v="2018-07-07T00:00:00"/>
        <d v="2018-07-06T00:00:00"/>
        <d v="2018-07-03T00:00:00"/>
        <d v="2018-07-02T00:00:00"/>
        <d v="2018-07-01T00:00:00"/>
        <d v="2018-06-30T00:00:00"/>
        <d v="2018-06-28T00:00:00"/>
        <d v="2018-06-27T00:00:00"/>
        <d v="2018-06-26T00:00:00"/>
        <d v="2018-06-25T00:00:00"/>
        <d v="2018-06-24T00:00:00"/>
        <d v="2018-06-23T00:00:00"/>
        <d v="2018-06-22T00:00:00"/>
        <d v="2018-06-21T00:00:00"/>
        <d v="2018-06-20T00:00:00"/>
        <d v="2018-06-19T00:00:00"/>
        <d v="2018-06-18T00:00:00"/>
        <d v="2018-06-17T00:00:00"/>
        <d v="2018-06-16T00:00:00"/>
        <d v="2018-06-15T00:00:00"/>
        <d v="2018-06-14T00:00:00"/>
        <d v="2014-07-13T00:00:00"/>
        <d v="2014-07-12T00:00:00"/>
        <d v="2014-07-09T00:00:00"/>
        <d v="2014-07-08T00:00:00"/>
        <d v="2014-07-05T00:00:00"/>
        <d v="2014-07-04T00:00:00"/>
        <d v="2014-07-01T00:00:00"/>
        <d v="2014-06-30T00:00:00"/>
        <d v="2014-06-29T00:00:00"/>
        <d v="2014-06-28T00:00:00"/>
        <d v="2014-06-26T00:00:00"/>
        <d v="2014-06-25T00:00:00"/>
        <d v="2014-06-24T00:00:00"/>
        <d v="2014-06-23T00:00:00"/>
        <d v="2014-06-22T00:00:00"/>
        <d v="2014-06-21T00:00:00"/>
        <d v="2014-06-20T00:00:00"/>
        <d v="2014-06-19T00:00:00"/>
        <d v="2014-06-18T00:00:00"/>
        <d v="2014-06-17T00:00:00"/>
        <d v="2014-06-16T00:00:00"/>
        <d v="2014-06-15T00:00:00"/>
        <d v="2014-06-14T00:00:00"/>
        <d v="2014-06-13T00:00:00"/>
        <d v="2014-06-12T00:00:00"/>
        <d v="2010-07-11T00:00:00"/>
        <d v="2010-07-10T00:00:00"/>
        <d v="2010-07-07T00:00:00"/>
        <d v="2010-07-06T00:00:00"/>
        <d v="2010-07-03T00:00:00"/>
        <d v="2010-07-02T00:00:00"/>
        <d v="2010-06-29T00:00:00"/>
        <d v="2010-06-28T00:00:00"/>
        <d v="2010-06-27T00:00:00"/>
        <d v="2010-06-26T00:00:00"/>
        <d v="2010-06-25T00:00:00"/>
        <d v="2010-06-24T00:00:00"/>
        <d v="2010-06-23T00:00:00"/>
        <d v="2010-06-22T00:00:00"/>
        <d v="2010-06-21T00:00:00"/>
        <d v="2010-06-20T00:00:00"/>
        <d v="2010-06-19T00:00:00"/>
        <d v="2010-06-18T00:00:00"/>
        <d v="2010-06-17T00:00:00"/>
        <d v="2010-06-16T00:00:00"/>
        <d v="2010-06-15T00:00:00"/>
        <d v="2010-06-14T00:00:00"/>
        <d v="2010-06-13T00:00:00"/>
        <d v="2010-06-12T00:00:00"/>
        <d v="2010-06-11T00:00:00"/>
        <d v="2006-07-09T00:00:00"/>
        <d v="2006-07-08T00:00:00"/>
        <d v="2006-07-05T00:00:00"/>
        <d v="2006-07-04T00:00:00"/>
        <d v="2006-07-01T00:00:00"/>
        <d v="2006-06-30T00:00:00"/>
        <d v="2006-06-27T00:00:00"/>
        <d v="2006-06-26T00:00:00"/>
        <d v="2006-06-25T00:00:00"/>
        <d v="2006-06-24T00:00:00"/>
        <d v="2006-06-23T00:00:00"/>
        <d v="2006-06-22T00:00:00"/>
        <d v="2006-06-21T00:00:00"/>
        <d v="2006-06-20T00:00:00"/>
        <d v="2006-06-19T00:00:00"/>
        <d v="2006-06-18T00:00:00"/>
        <d v="2006-06-17T00:00:00"/>
        <d v="2006-06-16T00:00:00"/>
        <d v="2006-06-15T00:00:00"/>
        <d v="2006-06-14T00:00:00"/>
        <d v="2006-06-13T00:00:00"/>
        <d v="2006-06-12T00:00:00"/>
        <d v="2006-06-11T00:00:00"/>
        <d v="2006-06-10T00:00:00"/>
        <d v="2006-06-09T00:00:00"/>
        <d v="2002-06-30T00:00:00"/>
        <d v="2002-06-29T00:00:00"/>
        <d v="2002-06-26T00:00:00"/>
        <d v="2002-06-25T00:00:00"/>
        <d v="2002-06-22T00:00:00"/>
        <d v="2002-06-21T00:00:00"/>
        <d v="2002-06-18T00:00:00"/>
        <d v="2002-06-17T00:00:00"/>
        <d v="2002-06-16T00:00:00"/>
        <d v="2002-06-15T00:00:00"/>
        <d v="2002-06-14T00:00:00"/>
        <d v="2002-06-13T00:00:00"/>
        <d v="2002-06-12T00:00:00"/>
        <d v="2002-06-11T00:00:00"/>
        <d v="2002-06-10T00:00:00"/>
        <d v="2002-06-09T00:00:00"/>
        <d v="2002-06-08T00:00:00"/>
        <d v="2002-06-07T00:00:00"/>
        <d v="2002-06-06T00:00:00"/>
        <d v="2002-06-05T00:00:00"/>
        <d v="2002-06-04T00:00:00"/>
        <d v="2002-06-03T00:00:00"/>
        <d v="2002-06-02T00:00:00"/>
        <d v="2002-06-01T00:00:00"/>
        <d v="2002-05-31T00:00:00"/>
        <d v="1998-07-12T00:00:00"/>
        <d v="1998-07-11T00:00:00"/>
        <d v="1998-07-08T00:00:00"/>
        <d v="1998-07-07T00:00:00"/>
        <d v="1998-07-04T00:00:00"/>
        <d v="1998-07-03T00:00:00"/>
        <d v="1998-06-30T00:00:00"/>
        <d v="1998-06-29T00:00:00"/>
        <d v="1998-06-28T00:00:00"/>
        <d v="1998-06-27T00:00:00"/>
        <d v="1998-06-26T00:00:00"/>
        <d v="1998-06-25T00:00:00"/>
        <d v="1998-06-24T00:00:00"/>
        <d v="1998-06-23T00:00:00"/>
        <d v="1998-06-22T00:00:00"/>
        <d v="1998-06-21T00:00:00"/>
        <d v="1998-06-20T00:00:00"/>
        <d v="1998-06-19T00:00:00"/>
        <d v="1998-06-18T00:00:00"/>
        <d v="1998-06-17T00:00:00"/>
        <d v="1998-06-16T00:00:00"/>
        <d v="1998-06-15T00:00:00"/>
        <d v="1998-06-14T00:00:00"/>
        <d v="1998-06-13T00:00:00"/>
        <d v="1998-06-12T00:00:00"/>
        <d v="1998-06-11T00:00:00"/>
        <d v="1998-06-10T00:00:00"/>
        <d v="1994-07-17T00:00:00"/>
        <d v="1994-07-16T00:00:00"/>
        <d v="1994-07-13T00:00:00"/>
        <d v="1994-07-10T00:00:00"/>
        <d v="1994-07-09T00:00:00"/>
        <d v="1994-07-05T00:00:00"/>
        <d v="1994-07-04T00:00:00"/>
        <d v="1994-07-03T00:00:00"/>
        <d v="1994-07-02T00:00:00"/>
        <d v="1994-06-30T00:00:00"/>
        <d v="1994-06-29T00:00:00"/>
        <d v="1994-06-28T00:00:00"/>
        <d v="1994-06-27T00:00:00"/>
        <d v="1994-06-26T00:00:00"/>
        <d v="1994-06-25T00:00:00"/>
        <d v="1994-06-24T00:00:00"/>
        <d v="1994-06-23T00:00:00"/>
        <d v="1994-06-22T00:00:00"/>
        <d v="1994-06-21T00:00:00"/>
        <d v="1994-06-20T00:00:00"/>
        <d v="1994-06-19T00:00:00"/>
        <d v="1994-06-18T00:00:00"/>
        <d v="1994-06-17T00:00:00"/>
        <d v="1990-07-08T00:00:00"/>
        <d v="1990-07-07T00:00:00"/>
        <d v="1990-07-04T00:00:00"/>
        <d v="1990-07-03T00:00:00"/>
        <d v="1990-07-01T00:00:00"/>
        <d v="1990-06-30T00:00:00"/>
        <d v="1990-06-26T00:00:00"/>
        <d v="1990-06-25T00:00:00"/>
        <d v="1990-06-24T00:00:00"/>
        <d v="1990-06-23T00:00:00"/>
        <d v="1990-06-21T00:00:00"/>
        <d v="1990-06-20T00:00:00"/>
        <d v="1990-06-19T00:00:00"/>
        <d v="1990-06-18T00:00:00"/>
        <d v="1990-06-17T00:00:00"/>
        <d v="1990-06-16T00:00:00"/>
        <d v="1990-06-15T00:00:00"/>
        <d v="1990-06-14T00:00:00"/>
        <d v="1990-06-13T00:00:00"/>
        <d v="1990-06-12T00:00:00"/>
        <d v="1990-06-11T00:00:00"/>
        <d v="1990-06-10T00:00:00"/>
        <d v="1990-06-09T00:00:00"/>
        <d v="1990-06-08T00:00:00"/>
        <d v="1986-06-29T00:00:00"/>
        <d v="1986-06-28T00:00:00"/>
        <d v="1986-06-25T00:00:00"/>
        <d v="1986-06-22T00:00:00"/>
        <d v="1986-06-21T00:00:00"/>
        <d v="1986-06-18T00:00:00"/>
        <d v="1986-06-17T00:00:00"/>
        <d v="1986-06-16T00:00:00"/>
        <d v="1986-06-15T00:00:00"/>
        <d v="1986-06-13T00:00:00"/>
        <d v="1986-06-12T00:00:00"/>
        <d v="1986-06-11T00:00:00"/>
        <d v="1986-06-10T00:00:00"/>
        <d v="1986-06-09T00:00:00"/>
        <d v="1986-06-08T00:00:00"/>
        <d v="1986-06-07T00:00:00"/>
        <d v="1986-06-06T00:00:00"/>
        <d v="1986-06-05T00:00:00"/>
        <d v="1986-06-04T00:00:00"/>
        <d v="1986-06-03T00:00:00"/>
        <d v="1986-06-02T00:00:00"/>
        <d v="1986-06-01T00:00:00"/>
        <d v="1986-05-31T00:00:00"/>
        <d v="1982-07-11T00:00:00"/>
        <d v="1982-07-10T00:00:00"/>
        <d v="1982-07-08T00:00:00"/>
        <d v="1982-07-05T00:00:00"/>
        <d v="1982-07-04T00:00:00"/>
        <d v="1982-07-02T00:00:00"/>
        <d v="1982-07-01T00:00:00"/>
        <d v="1982-06-29T00:00:00"/>
        <d v="1982-06-28T00:00:00"/>
        <d v="1982-06-25T00:00:00"/>
        <d v="1982-06-24T00:00:00"/>
        <d v="1982-06-23T00:00:00"/>
        <d v="1982-06-22T00:00:00"/>
        <d v="1982-06-21T00:00:00"/>
        <d v="1982-06-20T00:00:00"/>
        <d v="1982-06-19T00:00:00"/>
        <d v="1982-06-18T00:00:00"/>
        <d v="1982-06-17T00:00:00"/>
        <d v="1982-06-16T00:00:00"/>
        <d v="1982-06-15T00:00:00"/>
        <d v="1982-06-14T00:00:00"/>
        <d v="1982-06-13T00:00:00"/>
        <d v="1978-06-25T00:00:00"/>
        <d v="1978-06-24T00:00:00"/>
        <d v="1978-06-21T00:00:00"/>
        <d v="1978-06-18T00:00:00"/>
        <d v="1978-06-14T00:00:00"/>
        <d v="1978-06-11T00:00:00"/>
        <d v="1978-06-10T00:00:00"/>
        <d v="1978-06-07T00:00:00"/>
        <d v="1978-06-06T00:00:00"/>
        <d v="1978-06-03T00:00:00"/>
        <d v="1978-06-02T00:00:00"/>
        <d v="1978-06-01T00:00:00"/>
        <d v="1974-07-07T00:00:00"/>
        <d v="1974-07-06T00:00:00"/>
        <d v="1974-07-03T00:00:00"/>
        <d v="1974-06-30T00:00:00"/>
        <d v="1974-06-26T00:00:00"/>
        <d v="1974-06-23T00:00:00"/>
        <d v="1974-06-22T00:00:00"/>
        <d v="1974-06-19T00:00:00"/>
        <d v="1974-06-18T00:00:00"/>
        <d v="1974-06-15T00:00:00"/>
        <d v="1974-06-14T00:00:00"/>
        <d v="1974-06-13T00:00:00"/>
        <d v="1970-06-21T00:00:00"/>
        <d v="1970-06-20T00:00:00"/>
        <d v="1970-06-17T00:00:00"/>
        <d v="1970-06-14T00:00:00"/>
        <d v="1970-06-11T00:00:00"/>
        <d v="1970-06-10T00:00:00"/>
        <d v="1970-06-07T00:00:00"/>
        <d v="1970-06-06T00:00:00"/>
        <d v="1970-06-03T00:00:00"/>
        <d v="1970-06-02T00:00:00"/>
        <d v="1970-05-31T00:00:00"/>
        <d v="1966-07-30T00:00:00"/>
        <d v="1966-07-28T00:00:00"/>
        <d v="1966-07-26T00:00:00"/>
        <d v="1966-07-25T00:00:00"/>
        <d v="1966-07-23T00:00:00"/>
        <d v="1966-07-20T00:00:00"/>
        <d v="1966-07-19T00:00:00"/>
        <d v="1966-07-16T00:00:00"/>
        <d v="1966-07-15T00:00:00"/>
        <d v="1966-07-13T00:00:00"/>
        <d v="1966-07-12T00:00:00"/>
        <d v="1966-07-11T00:00:00"/>
        <d v="1962-06-17T00:00:00"/>
        <d v="1962-06-16T00:00:00"/>
        <d v="1962-06-13T00:00:00"/>
        <d v="1962-06-10T00:00:00"/>
        <d v="1962-06-07T00:00:00"/>
        <d v="1962-06-06T00:00:00"/>
        <d v="1962-06-03T00:00:00"/>
        <d v="1962-06-02T00:00:00"/>
        <d v="1962-05-31T00:00:00"/>
        <d v="1962-05-30T00:00:00"/>
        <d v="1958-06-29T00:00:00"/>
        <d v="1958-06-28T00:00:00"/>
        <d v="1958-06-24T00:00:00"/>
        <d v="1958-06-19T00:00:00"/>
        <d v="1958-06-17T00:00:00"/>
        <d v="1958-06-15T00:00:00"/>
        <d v="1958-06-12T00:00:00"/>
        <d v="1958-06-11T00:00:00"/>
        <d v="1958-06-08T00:00:00"/>
        <d v="1954-07-04T00:00:00"/>
        <d v="1954-07-03T00:00:00"/>
        <d v="1954-06-30T00:00:00"/>
        <d v="1954-06-27T00:00:00"/>
        <d v="1954-06-26T00:00:00"/>
        <d v="1954-06-23T00:00:00"/>
        <d v="1954-06-20T00:00:00"/>
        <d v="1954-06-19T00:00:00"/>
        <d v="1954-06-17T00:00:00"/>
        <d v="1954-06-16T00:00:00"/>
        <d v="1950-07-16T00:00:00"/>
        <d v="1950-07-13T00:00:00"/>
        <d v="1950-07-09T00:00:00"/>
        <d v="1950-07-02T00:00:00"/>
        <d v="1950-07-01T00:00:00"/>
        <d v="1950-06-29T00:00:00"/>
        <d v="1950-06-28T00:00:00"/>
        <d v="1950-06-25T00:00:00"/>
        <d v="1950-06-24T00:00:00"/>
        <d v="1938-06-19T00:00:00"/>
        <d v="1938-06-16T00:00:00"/>
        <d v="1938-06-14T00:00:00"/>
        <d v="1938-06-12T00:00:00"/>
        <d v="1938-06-09T00:00:00"/>
        <d v="1938-06-05T00:00:00"/>
        <d v="1938-06-04T00:00:00"/>
        <d v="1934-06-10T00:00:00"/>
        <d v="1934-06-07T00:00:00"/>
        <d v="1934-06-03T00:00:00"/>
        <d v="1934-06-01T00:00:00"/>
        <d v="1934-05-31T00:00:00"/>
        <d v="1934-05-27T00:00:00"/>
        <d v="1930-07-30T00:00:00"/>
        <d v="1930-07-27T00:00:00"/>
        <d v="1930-07-26T00:00:00"/>
        <d v="1930-07-22T00:00:00"/>
        <d v="1930-07-21T00:00:00"/>
        <d v="1930-07-20T00:00:00"/>
        <d v="1930-07-19T00:00:00"/>
        <d v="1930-07-18T00:00:00"/>
        <d v="1930-07-17T00:00:00"/>
        <d v="1930-07-16T00:00:00"/>
        <d v="1930-07-15T00:00:00"/>
        <d v="1930-07-14T00:00:00"/>
        <d v="1930-07-13T00:00:00"/>
      </sharedItems>
    </cacheField>
    <cacheField name="Score" numFmtId="0">
      <sharedItems/>
    </cacheField>
    <cacheField name="Referee" numFmtId="0">
      <sharedItems/>
    </cacheField>
    <cacheField name="Notes" numFmtId="0">
      <sharedItems/>
    </cacheField>
    <cacheField name="Host" numFmtId="0">
      <sharedItems count="17">
        <s v="Qatar"/>
        <s v="Russia"/>
        <s v="Brazil"/>
        <s v="South Africa"/>
        <s v="Germany"/>
        <s v="Korea Republic, Japan"/>
        <s v="France"/>
        <s v="United States"/>
        <s v="Italy"/>
        <s v="Mexico"/>
        <s v="Spain"/>
        <s v="Argentina"/>
        <s v="England"/>
        <s v="Chile"/>
        <s v="Sweden"/>
        <s v="Switzerland"/>
        <s v="Uruguay"/>
      </sharedItems>
    </cacheField>
    <cacheField name="Year" numFmtId="0">
      <sharedItems containsSemiMixedTypes="0" containsString="0" containsNumber="1" containsInteger="1" minValue="1930" maxValue="2022" count="22">
        <n v="2022"/>
        <n v="2018"/>
        <n v="2014"/>
        <n v="2010"/>
        <n v="2006"/>
        <n v="2002"/>
        <n v="1998"/>
        <n v="1994"/>
        <n v="1990"/>
        <n v="1986"/>
        <n v="1982"/>
        <n v="1978"/>
        <n v="1974"/>
        <n v="1970"/>
        <n v="1966"/>
        <n v="1962"/>
        <n v="1958"/>
        <n v="1954"/>
        <n v="1950"/>
        <n v="1938"/>
        <n v="1934"/>
        <n v="1930"/>
      </sharedItems>
      <fieldGroup base="21">
        <rangePr startNum="1930" endNum="2022" groupInterval="10"/>
        <groupItems count="12">
          <s v="&lt;1930"/>
          <s v="1930-1939"/>
          <s v="1940-1949"/>
          <s v="1950-1959"/>
          <s v="1960-1969"/>
          <s v="1970-1979"/>
          <s v="1980-1989"/>
          <s v="1990-1999"/>
          <s v="2000-2009"/>
          <s v="2010-2019"/>
          <s v="2020-2029"/>
          <s v="&gt;2030"/>
        </groupItems>
      </fieldGroup>
    </cacheField>
    <cacheField name="home_goal" numFmtId="0">
      <sharedItems/>
    </cacheField>
    <cacheField name="away_goal" numFmtId="0">
      <sharedItems/>
    </cacheField>
    <cacheField name="home_goal_long" numFmtId="0">
      <sharedItems longText="1"/>
    </cacheField>
    <cacheField name="away_goal_long" numFmtId="0">
      <sharedItems longText="1"/>
    </cacheField>
    <cacheField name="home_own_goal" numFmtId="0">
      <sharedItems/>
    </cacheField>
    <cacheField name="away_own_goal" numFmtId="0">
      <sharedItems/>
    </cacheField>
    <cacheField name="home_penalty_goal" numFmtId="0">
      <sharedItems/>
    </cacheField>
    <cacheField name="away_penalty_goal" numFmtId="0">
      <sharedItems/>
    </cacheField>
    <cacheField name="home_penalty_miss_long" numFmtId="0">
      <sharedItems/>
    </cacheField>
    <cacheField name="away_penalty_miss_long" numFmtId="0">
      <sharedItems/>
    </cacheField>
    <cacheField name="home_penalty_shootout_goal_long" numFmtId="0">
      <sharedItems/>
    </cacheField>
    <cacheField name="away_penalty_shootout_goal_long" numFmtId="0">
      <sharedItems/>
    </cacheField>
    <cacheField name="home_penalty_shootout_miss_long" numFmtId="0">
      <sharedItems/>
    </cacheField>
    <cacheField name="away_penalty_shootout_miss_long" numFmtId="0">
      <sharedItems/>
    </cacheField>
    <cacheField name="home_red_card" numFmtId="0">
      <sharedItems/>
    </cacheField>
    <cacheField name="away_red_card" numFmtId="0">
      <sharedItems/>
    </cacheField>
    <cacheField name="home_yellow_red_card" numFmtId="0">
      <sharedItems/>
    </cacheField>
    <cacheField name="away_yellow_red_card" numFmtId="0">
      <sharedItems/>
    </cacheField>
    <cacheField name="home_yellow_card_long" numFmtId="0">
      <sharedItems longText="1"/>
    </cacheField>
    <cacheField name="away_yellow_card_long" numFmtId="0">
      <sharedItems longText="1"/>
    </cacheField>
    <cacheField name="home_substitute_in_long" numFmtId="0">
      <sharedItems longText="1"/>
    </cacheField>
    <cacheField name="away_substitute_in_long" numFmtId="0">
      <sharedItems longText="1"/>
    </cacheField>
    <cacheField name="Total Goals" numFmtId="0" formula="home_score +away_score" databaseField="0"/>
  </cacheFields>
  <extLst>
    <ext xmlns:x14="http://schemas.microsoft.com/office/spreadsheetml/2009/9/main" uri="{725AE2AE-9491-48be-B2B4-4EB974FC3084}">
      <x14:pivotCacheDefinition pivotCacheId="884403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ple" refreshedDate="46247.395160879627" createdVersion="8" refreshedVersion="8" minRefreshableVersion="3" recordCount="22" xr:uid="{8FC4F325-924F-9B40-9C7C-BF25C77A4B4A}">
  <cacheSource type="worksheet">
    <worksheetSource name="world_cup"/>
  </cacheSource>
  <cacheFields count="12">
    <cacheField name="Year" numFmtId="0">
      <sharedItems containsSemiMixedTypes="0" containsString="0" containsNumber="1" containsInteger="1" minValue="1930" maxValue="2022" count="22">
        <n v="1994"/>
        <n v="1974"/>
        <n v="2014"/>
        <n v="2022"/>
        <n v="1990"/>
        <n v="2006"/>
        <n v="1970"/>
        <n v="1986"/>
        <n v="2010"/>
        <n v="1966"/>
        <n v="1978"/>
        <n v="2018"/>
        <n v="1998"/>
        <n v="1982"/>
        <n v="2002"/>
        <n v="1950"/>
        <n v="1962"/>
        <n v="1958"/>
        <n v="1954"/>
        <n v="1930"/>
        <n v="1938"/>
        <n v="1934"/>
      </sharedItems>
    </cacheField>
    <cacheField name="Host" numFmtId="0">
      <sharedItems count="17">
        <s v="United States"/>
        <s v="Germany"/>
        <s v="Brazil"/>
        <s v="Qatar"/>
        <s v="Italy"/>
        <s v="Mexico"/>
        <s v="South Africa"/>
        <s v="England"/>
        <s v="Argentina"/>
        <s v="Russia"/>
        <s v="France"/>
        <s v="Spain"/>
        <s v="Korea Republic, Japan"/>
        <s v="Chile"/>
        <s v="Sweden"/>
        <s v="Switzerland"/>
        <s v="Uruguay"/>
      </sharedItems>
    </cacheField>
    <cacheField name="rank Xlookup" numFmtId="0">
      <sharedItems containsSemiMixedTypes="0" containsString="0" containsNumber="1" containsInteger="1" minValue="1" maxValue="999"/>
    </cacheField>
    <cacheField name="rank Vloolup" numFmtId="0">
      <sharedItems containsSemiMixedTypes="0" containsString="0" containsNumber="1" containsInteger="1" minValue="1" maxValue="999"/>
    </cacheField>
    <cacheField name="Teams" numFmtId="0">
      <sharedItems containsSemiMixedTypes="0" containsString="0" containsNumber="1" containsInteger="1" minValue="13" maxValue="32" count="5">
        <n v="24"/>
        <n v="16"/>
        <n v="32"/>
        <n v="15"/>
        <n v="13"/>
      </sharedItems>
    </cacheField>
    <cacheField name="Champion" numFmtId="0">
      <sharedItems count="9">
        <s v="Brazil"/>
        <s v="West Germany"/>
        <s v="Germany"/>
        <s v="Argentina"/>
        <s v="Italy"/>
        <s v="Spain"/>
        <s v="England"/>
        <s v="France"/>
        <s v="Uruguay"/>
      </sharedItems>
    </cacheField>
    <cacheField name="Runner-Up" numFmtId="0">
      <sharedItems/>
    </cacheField>
    <cacheField name="TopScorrer" numFmtId="0">
      <sharedItems/>
    </cacheField>
    <cacheField name="Attendance" numFmtId="0">
      <sharedItems containsSemiMixedTypes="0" containsString="0" containsNumber="1" containsInteger="1" minValue="363000" maxValue="3587538"/>
    </cacheField>
    <cacheField name="Propularity" numFmtId="165">
      <sharedItems containsSemiMixedTypes="0" containsString="0" containsNumber="1" minValue="22687.5" maxValue="149480.75"/>
    </cacheField>
    <cacheField name="AttendanceAvg" numFmtId="0">
      <sharedItems containsSemiMixedTypes="0" containsString="0" containsNumber="1" containsInteger="1" minValue="20872" maxValue="68991"/>
    </cacheField>
    <cacheField name="Matches" numFmtId="0">
      <sharedItems containsSemiMixedTypes="0" containsString="0" containsNumber="1" containsInteger="1" minValue="17" maxValue="64"/>
    </cacheField>
  </cacheFields>
  <extLst>
    <ext xmlns:x14="http://schemas.microsoft.com/office/spreadsheetml/2009/9/main" uri="{725AE2AE-9491-48be-B2B4-4EB974FC3084}">
      <x14:pivotCacheDefinition pivotCacheId="2531642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ple" refreshedDate="46247.400235532405" createdVersion="8" refreshedVersion="8" minRefreshableVersion="3" recordCount="211" xr:uid="{9DBD3F83-92E3-C643-AC00-4161EB0A1A46}">
  <cacheSource type="worksheet">
    <worksheetSource name="fifa_ranking_2026_06_08"/>
  </cacheSource>
  <cacheFields count="10">
    <cacheField name="team" numFmtId="0">
      <sharedItems count="211">
        <s v="Argentina"/>
        <s v="Spain"/>
        <s v="France"/>
        <s v="England"/>
        <s v="Portugal"/>
        <s v="Brazil"/>
        <s v="Morocco"/>
        <s v="Netherlands"/>
        <s v="Belgium"/>
        <s v="Germany"/>
        <s v="Croatia"/>
        <s v="Italy"/>
        <s v="Colombia"/>
        <s v="Mexico"/>
        <s v="Senegal"/>
        <s v="Uruguay"/>
        <s v="USA"/>
        <s v="Japan"/>
        <s v="Switzerland"/>
        <s v="IR Iran"/>
        <s v="Denmark"/>
        <s v="Türkiye"/>
        <s v="Ecuador"/>
        <s v="Austria"/>
        <s v="Korea Republic"/>
        <s v="Nigeria"/>
        <s v="Australia"/>
        <s v="Algeria"/>
        <s v="Egypt"/>
        <s v="Canada"/>
        <s v="Norway"/>
        <s v="Ukraine"/>
        <s v="Côte d'Ivoire"/>
        <s v="Panama"/>
        <s v="Russia"/>
        <s v="Poland"/>
        <s v="Wales"/>
        <s v="Sweden"/>
        <s v="Czechia"/>
        <s v="Paraguay"/>
        <s v="Hungary"/>
        <s v="Scotland"/>
        <s v="Serbia"/>
        <s v="Cameroon"/>
        <s v="Congo DR"/>
        <s v="Tunisia"/>
        <s v="Slovakia"/>
        <s v="Greece"/>
        <s v="Venezuela"/>
        <s v="Uzbekistan"/>
        <s v="Peru"/>
        <s v="Costa Rica"/>
        <s v="Romania"/>
        <s v="Mali"/>
        <s v="Chile"/>
        <s v="Iraq"/>
        <s v="Qatar"/>
        <s v="Republic of Ireland"/>
        <s v="Slovenia"/>
        <s v="South Africa"/>
        <s v="Saudi Arabia"/>
        <s v="Burkina Faso"/>
        <s v="Jordan"/>
        <s v="Bosnia and Herzegovina"/>
        <s v="Honduras"/>
        <s v="Albania"/>
        <s v="Cabo Verde"/>
        <s v="United Arab Emirates"/>
        <s v="North Macedonia"/>
        <s v="Northern Ireland"/>
        <s v="Jamaica"/>
        <s v="Georgia"/>
        <s v="Ghana"/>
        <s v="Iceland"/>
        <s v="Finland"/>
        <s v="Israel"/>
        <s v="Bolivia"/>
        <s v="Kosovo"/>
        <s v="Oman"/>
        <s v="Montenegro"/>
        <s v="Guinea"/>
        <s v="Curaçao"/>
        <s v="Haiti"/>
        <s v="Syria"/>
        <s v="New Zealand"/>
        <s v="Gabon"/>
        <s v="Bulgaria"/>
        <s v="Uganda"/>
        <s v="Angola"/>
        <s v="Benin"/>
        <s v="Zambia"/>
        <s v="China PR"/>
        <s v="Bahrain"/>
        <s v="Thailand"/>
        <s v="Palestine"/>
        <s v="Belarus"/>
        <s v="Guatemala"/>
        <s v="Luxembourg"/>
        <s v="Vietnam"/>
        <s v="Tajikistan"/>
        <s v="El Salvador"/>
        <s v="Mozambique"/>
        <s v="Trinidad and Tobago"/>
        <s v="Madagascar"/>
        <s v="Equatorial Guinea"/>
        <s v="Kyrgyz Republic"/>
        <s v="Armenia"/>
        <s v="Comoros"/>
        <s v="Kenya"/>
        <s v="Kazakhstan"/>
        <s v="Libya"/>
        <s v="Niger"/>
        <s v="Tanzania"/>
        <s v="Lebanon"/>
        <s v="Mauritania"/>
        <s v="The Gambia"/>
        <s v="Sudan"/>
        <s v="Sierra Leone"/>
        <s v="Indonesia"/>
        <s v="Korea DPR"/>
        <s v="Namibia"/>
        <s v="Togo"/>
        <s v="Cyprus"/>
        <s v="Suriname"/>
        <s v="Faroe Islands"/>
        <s v="Azerbaijan"/>
        <s v="Rwanda"/>
        <s v="Estonia"/>
        <s v="Malawi"/>
        <s v="Zimbabwe"/>
        <s v="Nicaragua"/>
        <s v="Guinea-Bissau"/>
        <s v="Kuwait"/>
        <s v="Congo"/>
        <s v="Philippines"/>
        <s v="Latvia"/>
        <s v="Malaysia"/>
        <s v="Central African Republic"/>
        <s v="India"/>
        <s v="Turkmenistan"/>
        <s v="Burundi"/>
        <s v="Ethiopia"/>
        <s v="Dominican Republic"/>
        <s v="Liberia"/>
        <s v="Yemen"/>
        <s v="Lesotho"/>
        <s v="Botswana"/>
        <s v="Lithuania"/>
        <s v="Singapore"/>
        <s v="Guyana"/>
        <s v="New Caledonia"/>
        <s v="St Kitts and Nevis"/>
        <s v="Solomon Islands"/>
        <s v="Hong Kong, China"/>
        <s v="Fiji"/>
        <s v="Puerto Rico"/>
        <s v="Tahiti"/>
        <s v="Myanmar"/>
        <s v="Moldova"/>
        <s v="Vanuatu"/>
        <s v="Malta"/>
        <s v="Antigua and Barbuda"/>
        <s v="Grenada"/>
        <s v="Cuba"/>
        <s v="Eswatini"/>
        <s v="St Lucia"/>
        <s v="Bermuda"/>
        <s v="Papua New Guinea"/>
        <s v="Afghanistan"/>
        <s v="South Sudan"/>
        <s v="St Vincent and the Grenadines"/>
        <s v="Andorra"/>
        <s v="Maldives"/>
        <s v="Chinese Taipei"/>
        <s v="Montserrat"/>
        <s v="Cambodia"/>
        <s v="Nepal"/>
        <s v="Mauritius"/>
        <s v="Barbados"/>
        <s v="Belize"/>
        <s v="Bangladesh"/>
        <s v="Dominica"/>
        <s v="Chad"/>
        <s v="Eritrea"/>
        <s v="Laos"/>
        <s v="Cook Islands"/>
        <s v="Samoa"/>
        <s v="Bhutan"/>
        <s v="Aruba"/>
        <s v="Mongolia"/>
        <s v="Sri Lanka"/>
        <s v="American Samoa"/>
        <s v="Brunei Darussalam"/>
        <s v="Macau"/>
        <s v="São Tomé and Príncipe"/>
        <s v="Djibouti"/>
        <s v="Cayman Islands"/>
        <s v="Somalia"/>
        <s v="Pakistan"/>
        <s v="Tonga"/>
        <s v="Timor-Leste"/>
        <s v="Gibraltar"/>
        <s v="Guam"/>
        <s v="Seychelles"/>
        <s v="Turks and Caicos Islands"/>
        <s v="Liechtenstein"/>
        <s v="Bahamas"/>
        <s v="US Virgin Islands"/>
        <s v="British Virgin Islands"/>
        <s v="Anguilla"/>
        <s v="San Marino"/>
      </sharedItems>
    </cacheField>
    <cacheField name="team_code" numFmtId="0">
      <sharedItems/>
    </cacheField>
    <cacheField name="association" numFmtId="0">
      <sharedItems/>
    </cacheField>
    <cacheField name="2026_rank" numFmtId="0">
      <sharedItems containsSemiMixedTypes="0" containsString="0" containsNumber="1" containsInteger="1" minValue="1" maxValue="211"/>
    </cacheField>
    <cacheField name="2022_rank" numFmtId="0">
      <sharedItems containsMixedTypes="1" containsNumber="1" containsInteger="1" minValue="1" maxValue="211"/>
    </cacheField>
    <cacheField name="improve_rank" numFmtId="0">
      <sharedItems containsMixedTypes="1" containsNumber="1" containsInteger="1" minValue="-34" maxValue="33" count="54">
        <n v="2"/>
        <n v="5"/>
        <n v="1"/>
        <n v="4"/>
        <n v="-5"/>
        <n v="15"/>
        <n v="0"/>
        <n v="-7"/>
        <n v="-6"/>
        <n v="-1"/>
        <n v="3"/>
        <n v="-2"/>
        <n v="6"/>
        <n v="-4"/>
        <n v="-11"/>
        <n v="23"/>
        <n v="21"/>
        <n v="10"/>
        <n v="11"/>
        <n v="9"/>
        <n v="26"/>
        <n v="-10"/>
        <n v="-18"/>
        <n v="-13"/>
        <n v="7"/>
        <n v="-22"/>
        <n v="28"/>
        <n v="-16"/>
        <n v="8"/>
        <n v="27"/>
        <n v="-28"/>
        <n v="-21"/>
        <n v="-8"/>
        <n v="-26"/>
        <n v="12"/>
        <n v="-9"/>
        <n v="-12"/>
        <n v="-19"/>
        <n v="29"/>
        <n v="20"/>
        <n v="-15"/>
        <n v="30"/>
        <n v="-3"/>
        <n v="17"/>
        <n v="-27"/>
        <n v="-14"/>
        <n v="33"/>
        <n v="16"/>
        <n v="-34"/>
        <n v="-33"/>
        <n v="-17"/>
        <e v="#N/A"/>
        <n v="14"/>
        <n v="-31"/>
      </sharedItems>
    </cacheField>
    <cacheField name="previous_rank" numFmtId="0">
      <sharedItems containsSemiMixedTypes="0" containsString="0" containsNumber="1" containsInteger="1" minValue="1" maxValue="211"/>
    </cacheField>
    <cacheField name="points" numFmtId="0">
      <sharedItems containsSemiMixedTypes="0" containsString="0" containsNumber="1" minValue="722.93372799999997" maxValue="1876.1183309999999"/>
    </cacheField>
    <cacheField name="previous_points" numFmtId="0">
      <sharedItems containsSemiMixedTypes="0" containsString="0" containsNumber="1" minValue="726.330601" maxValue="1877.322731"/>
    </cacheField>
    <cacheField name="rated_matches" numFmtId="0">
      <sharedItems containsSemiMixedTypes="0" containsString="0" containsNumber="1" containsInteger="1" minValue="7" maxValue="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
  <r>
    <s v="Argentina"/>
    <s v="France"/>
    <n v="3"/>
    <n v="3.3"/>
    <n v="4"/>
    <n v="3"/>
    <n v="2.2000000000000002"/>
    <n v="2"/>
    <s v="Lionel Scaloni"/>
    <s v="Lionel Messi"/>
    <s v="Didier Deschamps"/>
    <s v="Hugo Lloris"/>
    <n v="88966"/>
    <s v="Lusail Iconic Stadium, Lusail"/>
    <s v="Szymon Marciniak (Referee) · Paweł Sokolnicki (AR1) · Tomasz Listkiewicz (AR2) · Ismail Elfath (4th) · Tomasz Kwiatkowski (VAR)"/>
    <x v="0"/>
    <x v="0"/>
    <s v="(4) 3–3 (2)"/>
    <s v="Szymon Marciniak"/>
    <s v="Argentina won on penalty kicks following extra time"/>
    <x v="0"/>
    <x v="0"/>
    <s v="Ángel Di María · 36|Lionel Messi · 108"/>
    <s v="Kylian Mbappé · 81"/>
    <s v="['36&amp;rsquor;|2:0|Ángel Di María|Assist:|Alexis Mac Allister', '108&amp;rsquor;|3:2|Lionel Messi']"/>
    <s v="['81&amp;rsquor;|2:2|Kylian Mbappé|Assist:|Marcus Thuram']"/>
    <s v=""/>
    <s v=""/>
    <s v="Lionel Messi (P) · 23"/>
    <s v="Kylian Mbappé (P) · 80|Kylian Mbappé (P) · 118"/>
    <s v=""/>
    <s v=""/>
    <s v="['2|1:1|Lionel Messi', '4|2:1|Paulo Dybala', '6|3:1|Leandro Paredes', '8|4:2|Gonzalo Montiel']"/>
    <s v="['1|0:1|Kylian Mbappé', '7|3:2|Randal Kolo Muani']"/>
    <s v=""/>
    <s v="['3|1:1|Kingsley Coman', '5|2:1|Aurélien Tchouaméni']"/>
    <s v=""/>
    <s v=""/>
    <s v=""/>
    <s v=""/>
    <s v="['45+7&amp;rsquor;|2:0|Enzo Fernández', '90+8&amp;rsquor;|2:2|Marcos Acuña', '114&amp;rsquor;|3:2|Leandro Paredes', '116&amp;rsquor;|3:2|Gonzalo Montiel', '120+4&amp;rsquor;|3:3|Emiliano Martínez']"/>
    <s v="['55&amp;rsquor;|2:0|Adrien Rabiot', '87&amp;rsquor;|2:2|Marcus Thuram', '90+5&amp;rsquor;|2:2|Olivier Giroud']"/>
    <s v="['64&amp;rsquor;|2:0|Marcos Acuña|for Ángel Di María', '91&amp;rsquor;|2:2|Gonzalo Montiel|for Nahuel Molina', '102&amp;rsquor;|2:2|Leandro Paredes|for Rodrigo De Paul', '103&amp;rsquor;|2:2|Lautaro Martínez|for Julián Álvarez', '116&amp;rsquor;|3:2|Germán Pezzella|for Alexis Mac Allister', '120+1&amp;rsquor;|3:3|Paulo Dybala|for Nicolás Tagliafico']"/>
    <s v="['41&amp;rsquor;|2:0|Randal Kolo Muani|for Ousmane Dembélé', '41&amp;rsquor;|2:0|Marcus Thuram|for Olivier Giroud', '71&amp;rsquor;|2:0|Eduardo Camavinga|for Theo Hernández', '71&amp;rsquor;|2:0|Kingsley Coman|for Antoine Griezmann', '96&amp;rsquor;|2:2|Youssouf Fofana|for Adrien Rabiot', '113&amp;rsquor;|3:2|Ibrahima Konaté|for Raphaël Varane', '120+1&amp;rsquor;|3:3|Axel Disasi|for Jules Koundé']"/>
  </r>
  <r>
    <s v="Croatia"/>
    <s v="Morocco"/>
    <n v="2"/>
    <n v="0.7"/>
    <m/>
    <n v="1"/>
    <n v="1.2"/>
    <m/>
    <s v="Zlatko Dalić"/>
    <s v="Luka Modrić"/>
    <s v="Hoalid Regragui"/>
    <s v="Hakim Ziyech"/>
    <n v="44137"/>
    <s v="Khalifa International Stadium, Doha"/>
    <s v="Abdulrahman Ibrahim Al Jassim (Referee) · Taleb Salem Al Marri (AR1) · Saoud Ahmed Al Maqaleh (AR2) · Raphael Claus (4th) · Julio Bascuñán (VAR)"/>
    <x v="1"/>
    <x v="1"/>
    <s v="2–1"/>
    <s v="Abdulrahman Ibrahim Al Jassim"/>
    <s v=""/>
    <x v="0"/>
    <x v="0"/>
    <s v="Joško Gvardiol · 7|Mislav Oršić · 42"/>
    <s v="Achraf Dari · 9"/>
    <s v="['7&amp;rsquor;|1:0|Joško Gvardiol|Assist:|Ivan Perišić', '42&amp;rsquor;|2:1|Mislav Oršić|Assist:|Marko Livaja']"/>
    <s v="['9&amp;rsquor;|1:1|Achraf Dari']"/>
    <s v=""/>
    <s v=""/>
    <s v=""/>
    <s v=""/>
    <s v=""/>
    <s v=""/>
    <s v=""/>
    <s v=""/>
    <s v=""/>
    <s v=""/>
    <s v=""/>
    <s v=""/>
    <s v=""/>
    <s v=""/>
    <s v=""/>
    <s v="['69&amp;rsquor;|2:1|Azzedine Ounahi', '84&amp;rsquor;|2:1|Selim Amallah']"/>
    <s v="['61&amp;rsquor;|2:1|Nikola Vlašić|for Andrej Kramarić', '66&amp;rsquor;|2:1|Bruno Petković|for Marko Livaja', '66&amp;rsquor;|2:1|Mario Pašalić|for Lovro Majer', '90+5&amp;rsquor;|2:1|Kristijan Jakić|for Mislav Oršić']"/>
    <s v="['46&amp;rsquor;|2:1|Ilias Chair|for Abdelhamid Sabiri', '56&amp;rsquor;|2:1|Azzedine Ounahi|for Bilal El Khannous', '64&amp;rsquor;|2:1|Anass Zaroury|for Sofiane Boufal', '64&amp;rsquor;|2:1|Badr Banoun|for Achraf Dari', '66&amp;rsquor;|2:1|Selim Amallah|for Jawad El Yamiq']"/>
  </r>
  <r>
    <s v="France"/>
    <s v="Morocco"/>
    <n v="2"/>
    <n v="2"/>
    <m/>
    <n v="0"/>
    <n v="0.9"/>
    <m/>
    <s v="Didier Deschamps"/>
    <s v="Hugo Lloris"/>
    <s v="Hoalid Regragui"/>
    <s v="Romain Saïss"/>
    <n v="68294"/>
    <s v="Al Bayt Stadium, Al Khor"/>
    <s v="César Arturo Ramos (Referee) · Alberto Morín (AR1) · Miguel Ángel Hernández (AR2) · Jesús Valenzuela (4th) · Drew Fischer (VAR)"/>
    <x v="2"/>
    <x v="2"/>
    <s v="2–0"/>
    <s v="César Arturo Ramos"/>
    <s v=""/>
    <x v="0"/>
    <x v="0"/>
    <s v="Theo Hernández · 5|Randal Kolo Muani · 79"/>
    <s v=""/>
    <s v="['5&amp;rsquor;|1:0|Theo Hernández', '79&amp;rsquor;|2:0|Randal Kolo Muani']"/>
    <s v=""/>
    <s v=""/>
    <s v=""/>
    <s v=""/>
    <s v=""/>
    <s v=""/>
    <s v=""/>
    <s v=""/>
    <s v=""/>
    <s v=""/>
    <s v=""/>
    <s v=""/>
    <s v=""/>
    <s v=""/>
    <s v=""/>
    <s v=""/>
    <s v="['27&amp;rsquor;|1:0|Sofiane Boufal']"/>
    <s v="['65&amp;rsquor;|1:0|Marcus Thuram|for Olivier Giroud', '79&amp;rsquor;|1:0|Randal Kolo Muani|for Ousmane Dembélé']"/>
    <s v="['21&amp;rsquor;|1:0|Selim Amallah|for Romain Saïss', '46&amp;rsquor;|1:0|Yahya Attiat Allah|for Noussair Mazraoui', '66&amp;rsquor;|1:0|Abderrazak Hamdallah|for Youssef En-Nesyri', '66&amp;rsquor;|1:0|Zakaria Aboukhlal|for Sofiane Boufal', '78&amp;rsquor;|1:0|Abdessamad Ezzalzouli|for Selim Amallah']"/>
  </r>
  <r>
    <s v="Argentina"/>
    <s v="Croatia"/>
    <n v="3"/>
    <n v="2.2999999999999998"/>
    <m/>
    <n v="0"/>
    <n v="0.5"/>
    <m/>
    <s v="Lionel Scaloni"/>
    <s v="Lionel Messi"/>
    <s v="Zlatko Dalić"/>
    <s v="Luka Modrić"/>
    <n v="88966"/>
    <s v="Lusail Iconic Stadium, Lusail"/>
    <s v="Daniele Orsato (Referee) · Ciro Carbone (AR1) · Alessandro Giallatini (AR2) · Mohammed Abdulla Hassan (4th) · Massimiliano Irrati (VAR)"/>
    <x v="2"/>
    <x v="3"/>
    <s v="3–0"/>
    <s v="Daniele Orsato"/>
    <s v=""/>
    <x v="0"/>
    <x v="0"/>
    <s v="Julián Álvarez · 39|Julián Álvarez · 69"/>
    <s v=""/>
    <s v="['39&amp;rsquor;|2:0|Julián Álvarez', '69&amp;rsquor;|3:0|Julián Álvarez|Assist:|Lionel Messi']"/>
    <s v=""/>
    <s v=""/>
    <s v=""/>
    <s v="Lionel Messi (P) · 34"/>
    <s v=""/>
    <s v=""/>
    <s v=""/>
    <s v=""/>
    <s v=""/>
    <s v=""/>
    <s v=""/>
    <s v=""/>
    <s v=""/>
    <s v=""/>
    <s v=""/>
    <s v="['68&amp;rsquor;|2:0|Cristian Romero', '71&amp;rsquor;|3:0|Nicolás Otamendi']"/>
    <s v="['32&amp;rsquor;|0:0|Mateo Kovačić', '32&amp;rsquor;|0:0|Dominik Livaković']"/>
    <s v="['62&amp;rsquor;|2:0|Lisandro Martínez|for Leandro Paredes', '74&amp;rsquor;|3:0|Exequiel Palacios|for Rodrigo De Paul', '74&amp;rsquor;|3:0|Paulo Dybala|for Julián Álvarez', '86&amp;rsquor;|3:0|Ángel Correa|for Alexis Mac Allister', '86&amp;rsquor;|3:0|Juan Foyth|for Nahuel Molina']"/>
    <s v="['46&amp;rsquor;|2:0|Mislav Oršić|for Borna Sosa', '46&amp;rsquor;|2:0|Nikola Vlašić|for Mario Pašalić', '50&amp;rsquor;|2:0|Bruno Petković|for Marcelo Brozović', '72&amp;rsquor;|3:0|Marko Livaja|for Andrej Kramarić', '81&amp;rsquor;|3:0|Lovro Majer|for Luka Modrić']"/>
  </r>
  <r>
    <s v="Morocco"/>
    <s v="Portugal"/>
    <n v="1"/>
    <n v="1.4"/>
    <m/>
    <n v="0"/>
    <n v="0.9"/>
    <m/>
    <s v="Hoalid Regragui"/>
    <s v="Romain Saïss"/>
    <s v="Fernando Santos"/>
    <s v="Pepe"/>
    <n v="44198"/>
    <s v="Al Thumama Stadium, ath-Thumāma"/>
    <s v="Facundo Tello (Referee) · Ezequiel Brailovsky (AR1) · Gabriel Chade (AR2) · Iván Barton (4th) · Mauro Vigliano (VAR)"/>
    <x v="3"/>
    <x v="4"/>
    <s v="1–0"/>
    <s v="Facundo Tello"/>
    <s v=""/>
    <x v="0"/>
    <x v="0"/>
    <s v="Youssef En-Nesyri · 42"/>
    <s v=""/>
    <s v="['42&amp;rsquor;|1:0|Youssef En-Nesyri|Assist:|Yahya Attiat Allah']"/>
    <s v=""/>
    <s v=""/>
    <s v=""/>
    <s v=""/>
    <s v=""/>
    <s v=""/>
    <s v=""/>
    <s v=""/>
    <s v=""/>
    <s v=""/>
    <s v=""/>
    <s v=""/>
    <s v=""/>
    <s v="Walid Cheddira · 90+3"/>
    <s v=""/>
    <s v="['70&amp;rsquor;|1:0|Achraf Dari', '90+1&amp;rsquor;|1:0|Walid Cheddira']"/>
    <s v="['87&amp;rsquor;|1:0|Vitinha']"/>
    <s v="['57&amp;rsquor;|1:0|Achraf Dari|for Romain Saïss', '65&amp;rsquor;|1:0|Walid Cheddira|for Selim Amallah', '65&amp;rsquor;|1:0|Badr Banoun|for Youssef En-Nesyri', '81&amp;rsquor;|1:0|Zakaria Aboukhlal|for Hakim Ziyech', '82&amp;rsquor;|1:0|Yahya Jabrane|for Sofiane Boufal']"/>
    <s v="['51&amp;rsquor;|1:0|João Cancelo|for Raphaël Guerreiro', '51&amp;rsquor;|1:0|Cristiano Ronaldo|for Rúben Neves', '69&amp;rsquor;|1:0|Vitinha|for Otávio', '69&amp;rsquor;|1:0|Rafael Leão|for Gonçalo Ramos', '79&amp;rsquor;|1:0|Ricardo Horta|for Diogo Dalot']"/>
  </r>
  <r>
    <s v="England"/>
    <s v="France"/>
    <n v="1"/>
    <n v="2.4"/>
    <m/>
    <n v="2"/>
    <n v="0.9"/>
    <m/>
    <s v="Gareth Southgate"/>
    <s v="Harry Kane"/>
    <s v="Didier Deschamps"/>
    <s v="Hugo Lloris"/>
    <n v="68895"/>
    <s v="Al Bayt Stadium, Al Khor"/>
    <s v="Wilton Sampaio (Referee) · Bruno Boschilia (AR1) · Bruno Pires (AR2) · Mohammed Abdulla Hassan (4th) · Nicolás Gallo (VAR)"/>
    <x v="3"/>
    <x v="4"/>
    <s v="1–2"/>
    <s v="Wilton Sampaio"/>
    <s v=""/>
    <x v="0"/>
    <x v="0"/>
    <s v=""/>
    <s v="Aurélien Tchouaméni · 17|Olivier Giroud · 78"/>
    <s v=""/>
    <s v="['17&amp;rsquor;|0:1|Aurélien Tchouaméni|Assist:|Antoine Griezmann', '78&amp;rsquor;|1:2|Olivier Giroud|Assist:|Antoine Griezmann']"/>
    <s v=""/>
    <s v=""/>
    <s v="Harry Kane (P) · 54"/>
    <s v=""/>
    <s v="['84&amp;rsquor;|1:2|Harry Kane|Penalty Miss']"/>
    <s v=""/>
    <s v=""/>
    <s v=""/>
    <s v=""/>
    <s v=""/>
    <s v=""/>
    <s v=""/>
    <s v=""/>
    <s v=""/>
    <s v="['90&amp;rsquor;|1:2|Harry Maguire']"/>
    <s v="['43&amp;rsquor;|0:1|Antoine Griezmann', '47&amp;rsquor;|0:1|Ousmane Dembélé', '82&amp;rsquor;|1:2|Theo Hernández']"/>
    <s v="['79&amp;rsquor;|1:2|Raheem Sterling|for Bukayo Saka', '79&amp;rsquor;|1:2|Mason Mount|for Jordan Henderson', '85&amp;rsquor;|1:2|Marcus Rashford|for Phil Foden', '90+8&amp;rsquor;|1:2|Jack Grealish|for John Stones']"/>
    <s v="['79&amp;rsquor;|1:2|Kingsley Coman|for Ousmane Dembélé']"/>
  </r>
  <r>
    <s v="Croatia"/>
    <s v="Brazil"/>
    <n v="1"/>
    <n v="0.6"/>
    <n v="4"/>
    <n v="1"/>
    <n v="2.5"/>
    <n v="2"/>
    <s v="Zlatko Dalić"/>
    <s v="Luka Modrić"/>
    <s v="Tite"/>
    <s v="Thiago Silva"/>
    <n v="43893"/>
    <s v="Education City Stadium, Doha"/>
    <s v="Michael Oliver (Referee) · Stuart Burt (AR1) · Gary Beswick (AR2) · Mustapha Ghorbal (4th) · Pol van Boekel (VAR)"/>
    <x v="3"/>
    <x v="5"/>
    <s v="(4) 1–1 (2)"/>
    <s v="Michael Oliver"/>
    <s v="Croatia won on penalty kicks following extra time"/>
    <x v="0"/>
    <x v="0"/>
    <s v="Bruno Petković · 117"/>
    <s v="Neymar · 105+1"/>
    <s v="['117&amp;rsquor;|1:1|Bruno Petković|Assist:|Mislav Oršić']"/>
    <s v="['105+1&amp;rsquor;|0:1|Neymar|Assist:|Lucas Paquetá']"/>
    <s v=""/>
    <s v=""/>
    <s v=""/>
    <s v=""/>
    <s v=""/>
    <s v=""/>
    <s v="['1|1:0|Nikola Vlašić', '3|2:0|Lovro Majer', '5|3:1|Luka Modrić', '7|4:2|Mislav Oršić']"/>
    <s v="['4|2:1|Casemiro', '6|3:2|Pedro']"/>
    <s v=""/>
    <s v="['2|1:0|Rodrygo', '8|4:2|Marquinhos']"/>
    <s v=""/>
    <s v=""/>
    <s v=""/>
    <s v=""/>
    <s v="['31&amp;rsquor;|0:0|Marcelo Brozović', '117&amp;rsquor;|1:1|Bruno Petković']"/>
    <s v="['25&amp;rsquor;|0:0|Danilo', '68&amp;rsquor;|0:0|Casemiro', '77&amp;rsquor;|0:0|Marquinhos']"/>
    <s v="['72&amp;rsquor;|0:0|Nikola Vlašić|for Mario Pašalić', '72&amp;rsquor;|0:0|Bruno Petković|for Andrej Kramarić', '106&amp;rsquor;|0:1|Lovro Majer|for Mateo Kovačić', '110&amp;rsquor;|0:1|Ante Budimir|for Borna Sosa', '114&amp;rsquor;|0:1|Mislav Oršić|for Marcelo Brozović']"/>
    <s v="['56&amp;rsquor;|0:0|Antony|for Raphinha', '64&amp;rsquor;|0:0|Rodrygo|for Vinicius Júnior', '84&amp;rsquor;|0:0|Pedro|for Richarlison', '106&amp;rsquor;|0:1|Alex Sandro|for Éder Militão', '106&amp;rsquor;|0:1|Fred|for Lucas Paquetá']"/>
  </r>
  <r>
    <s v="Netherlands"/>
    <s v="Argentina"/>
    <n v="2"/>
    <n v="0.6"/>
    <n v="3"/>
    <n v="2"/>
    <n v="1.9"/>
    <n v="4"/>
    <s v="Louis van Gaal"/>
    <s v="Virgil van Dijk"/>
    <s v="Lionel Scaloni"/>
    <s v="Lionel Messi"/>
    <n v="88235"/>
    <s v="Lusail Iconic Stadium, Lusail"/>
    <s v="Antonio Matéu (Referee) · Pau Cebrián (AR1) · Roberto Díaz (AR2) · Victor Gomes (4th) · Alejandro Hernández (VAR)"/>
    <x v="3"/>
    <x v="5"/>
    <s v="(3) 2–2 (4)"/>
    <s v="Antonio Matéu"/>
    <s v="Argentina won on penalty kicks following extra time"/>
    <x v="0"/>
    <x v="0"/>
    <s v="Wout Weghorst · 83|Wout Weghorst · 90+11"/>
    <s v="Nahuel Molina · 35"/>
    <s v="['83&amp;rsquor;|1:2|Wout Weghorst|Assist:|Steven Berghuis', '90+11&amp;rsquor;|2:2|Wout Weghorst|Assist:|Teun Koopmeiners']"/>
    <s v="['35&amp;rsquor;|0:1|Nahuel Molina|Assist:|Lionel Messi']"/>
    <s v=""/>
    <s v=""/>
    <s v=""/>
    <s v="Lionel Messi (P) · 73"/>
    <s v=""/>
    <s v=""/>
    <s v="['5|1:2|Teun Koopmeiners', '7|2:3|Wout Weghorst', '9|3:3|Luuk de Jong']"/>
    <s v="['2|0:1|Lionel Messi', '4|0:2|Leandro Paredes', '6|1:3|Gonzalo Montiel', '10|3:4|Lautaro Martínez']"/>
    <s v="['1|0:0|Virgil van Dijk', '3|0:1|Steven Berghuis']"/>
    <s v="['8|2:3|Enzo Fernández']"/>
    <s v=""/>
    <s v=""/>
    <s v="Denzel Dumfries · 120+3"/>
    <s v=""/>
    <s v="['43&amp;rsquor;|0:1|Jurriën Timber', '45+2&amp;rsquor;|0:1|Wout Weghorst', '75&amp;rsquor;|0:2|Memphis', '88&amp;rsquor;|1:2|Steven Berghuis', '90+12&amp;rsquor;|2:2|Steven Bergwijn', '120+2&amp;rsquor;|2:2|Noa Lang', '120+2&amp;rsquor;|2:2|Denzel Dumfries']"/>
    <s v="['31&amp;rsquor;|0:0|Walter Samuel', '43&amp;rsquor;|0:1|Marcos Acuña', '45&amp;rsquor;|0:1|Cristian Romero', '75&amp;rsquor;|0:2|Lisandro Martínez', '89&amp;rsquor;|1:2|Leandro Paredes', '90&amp;rsquor;|1:2|Lionel Scaloni', '90+10&amp;rsquor;|1:2|Lionel Messi', '90+12&amp;rsquor;|2:2|Nicolás Otamendi', '109&amp;rsquor;|2:2|Gonzalo Montiel', '112&amp;rsquor;|2:2|Germán Pezzella']"/>
    <s v="['46&amp;rsquor;|0:1|Steven Berghuis|for Steven Bergwijn', '46&amp;rsquor;|0:1|Teun Koopmeiners|for Marten de Roon', '64&amp;rsquor;|0:1|Luuk de Jong|for Daley Blind', '78&amp;rsquor;|0:2|Wout Weghorst|for Memphis', '113&amp;rsquor;|2:2|Noa Lang|for Cody Gakpo']"/>
    <s v="['66&amp;rsquor;|0:1|Leandro Paredes|for Rodrigo De Paul', '78&amp;rsquor;|0:2|Nicolás Tagliafico|for Marcos Acuña', '78&amp;rsquor;|0:2|Germán Pezzella|for Cristian Romero', '82&amp;rsquor;|0:2|Lautaro Martínez|for Julián Álvarez', '106&amp;rsquor;|2:2|Gonzalo Montiel|for Nahuel Molina', '112&amp;rsquor;|2:2|Ángel Di María|for Lisandro Martínez']"/>
  </r>
  <r>
    <s v="Morocco"/>
    <s v="Spain"/>
    <n v="0"/>
    <n v="0.7"/>
    <n v="3"/>
    <n v="0"/>
    <n v="1"/>
    <n v="0"/>
    <s v="Hoalid Regragui"/>
    <s v="Romain Saïss"/>
    <s v="Luis Enrique"/>
    <s v="Sergio Busquets"/>
    <n v="44667"/>
    <s v="Education City Stadium, Doha"/>
    <s v="Fernando Rapallini (Referee) · Juan Pablo Belatti (AR1) · Diego Bonfá (AR2) · Raphael Claus (4th) · Mauro Vigliano (VAR)"/>
    <x v="4"/>
    <x v="6"/>
    <s v="(3) 0–0 (0)"/>
    <s v="Fernando Rapallini"/>
    <s v="Morocco won on penalty kicks following extra time"/>
    <x v="0"/>
    <x v="0"/>
    <s v=""/>
    <s v=""/>
    <s v=""/>
    <s v=""/>
    <s v=""/>
    <s v=""/>
    <s v=""/>
    <s v=""/>
    <s v=""/>
    <s v=""/>
    <s v="['1|1:0|Abdelhamid Sabiri', '3|2:0|Hakim Ziyech', '7|3:0|Achraf Hakimi']"/>
    <s v=""/>
    <s v="['5|2:0|Badr Banoun']"/>
    <s v="['2|1:0|Pablo Sarabia', '4|2:0|Carlos Soler', '6|2:0|Sergio Busquets']"/>
    <s v=""/>
    <s v=""/>
    <s v=""/>
    <s v=""/>
    <s v="['90&amp;rsquor;|0:0|Romain Saïss']"/>
    <s v="['77&amp;rsquor;|0:0|Aymeric Laporte']"/>
    <s v="['66&amp;rsquor;|0:0|Abdessamad Ezzalzouli|for Sofiane Boufal', '82&amp;rsquor;|0:0|Walid Cheddira|for Selim Amallah', '82&amp;rsquor;|0:0|Abdelhamid Sabiri|for Youssef En-Nesyri', '82&amp;rsquor;|0:0|Yahya Attiat Allah|for Noussair Mazraoui', '84&amp;rsquor;|0:0|Jawad El Yamiq|for Nayef Aguerd', '120&amp;rsquor;|0:0|Badr Banoun|for Azzedine Ounahi']"/>
    <s v="['63&amp;rsquor;|0:0|Álvaro Morata|for Marco Asensio', '63&amp;rsquor;|0:0|Carlos Soler|for Gavi', '75&amp;rsquor;|0:0|Nico Williams|for Ferrán Torres', '98&amp;rsquor;|0:0|Ansu Fati|for Dani Olmo', '98&amp;rsquor;|0:0|Alejandro Balde|for Jordi Alba', '118&amp;rsquor;|0:0|Pablo Sarabia|for Nico Williams']"/>
  </r>
  <r>
    <s v="Portugal"/>
    <s v="Switzerland"/>
    <n v="6"/>
    <n v="2.2999999999999998"/>
    <m/>
    <n v="1"/>
    <n v="1.2"/>
    <m/>
    <s v="Fernando Santos"/>
    <s v="Pepe"/>
    <s v="Murat Yakin"/>
    <s v="Granit Xhaka"/>
    <n v="83720"/>
    <s v="Lusail Iconic Stadium, Lusail"/>
    <s v="César Arturo Ramos (Referee) · Alberto Morín (AR1) · Miguel Ángel Hernández (AR2) · István Kovács (4th) · Drew Fischer (VAR)"/>
    <x v="4"/>
    <x v="6"/>
    <s v="6–1"/>
    <s v="César Arturo Ramos"/>
    <s v=""/>
    <x v="0"/>
    <x v="0"/>
    <s v="Gonçalo Ramos · 17|Pepe · 33|Gonçalo Ramos · 51|Raphaël Guerreiro · 55|Gonçalo Ramos · 67|Rafael Leão · 90+2"/>
    <s v="Manuel Akanji · 58"/>
    <s v="['17&amp;rsquor;|1:0|Gonçalo Ramos|Assist:|João Félix', '33&amp;rsquor;|2:0|Pepe|Assist:|Bruno Fernandes', '51&amp;rsquor;|3:0|Gonçalo Ramos|Assist:|Diogo Dalot', '55&amp;rsquor;|4:0|Raphaël Guerreiro|Assist:|Gonçalo Ramos', '67&amp;rsquor;|5:1|Gonçalo Ramos|Assist:|João Félix', '90+2&amp;rsquor;|6:1|Rafael Leão|Assist:|Raphaël Guerreiro']"/>
    <s v="['58&amp;rsquor;|4:1|Manuel Akanji']"/>
    <s v=""/>
    <s v=""/>
    <s v=""/>
    <s v=""/>
    <s v=""/>
    <s v=""/>
    <s v=""/>
    <s v=""/>
    <s v=""/>
    <s v=""/>
    <s v=""/>
    <s v=""/>
    <s v=""/>
    <s v=""/>
    <s v=""/>
    <s v="['43&amp;rsquor;|2:0|Fabian Schär', '59&amp;rsquor;|4:1|Eray Cömert']"/>
    <s v="['73&amp;rsquor;|5:1|Cristiano Ronaldo|for Gonçalo Ramos', '74&amp;rsquor;|5:1|Ricardo Horta|for João Félix', '74&amp;rsquor;|5:1|Vitinha|for Otávio', '81&amp;rsquor;|5:1|Rúben Neves|for Bernardo Silva', '87&amp;rsquor;|5:1|Rafael Leão|for Bruno Fernandes']"/>
    <s v="['46&amp;rsquor;|2:0|Eray Cömert|for Fabian Schär', '54&amp;rsquor;|3:0|Denis Zakaria|for Remo Freuler', '54&amp;rsquor;|3:0|Haris Seferović|for Djibril Sow', '66&amp;rsquor;|4:1|Noah Okafor|for Ruben Vargas', '89&amp;rsquor;|5:1|Ardon Jasari|for Breel Embolo']"/>
  </r>
  <r>
    <s v="Japan"/>
    <s v="Croatia"/>
    <n v="1"/>
    <n v="1.2"/>
    <n v="1"/>
    <n v="1"/>
    <n v="1.4"/>
    <n v="3"/>
    <s v="Hajime Moriyasu"/>
    <s v="Maya Yoshida"/>
    <s v="Zlatko Dalić"/>
    <s v="Luka Modrić"/>
    <n v="42523"/>
    <s v="Al Janoub Stadium, Al Wakrah"/>
    <s v="Ismail Elfath (Referee) · Corey Parker (AR1) · Kyle Atkins (AR2) · Mustapha Ghorbal (4th) · Nicolás Gallo (VAR)"/>
    <x v="4"/>
    <x v="7"/>
    <s v="(1) 1–1 (3)"/>
    <s v="Ismail Elfath"/>
    <s v="Croatia won on penalty kicks following extra time"/>
    <x v="0"/>
    <x v="0"/>
    <s v="Daizen Maeda · 43"/>
    <s v="Ivan Perišić · 55"/>
    <s v="['43&amp;rsquor;|1:0|Daizen Maeda|Assist:|Maya Yoshida']"/>
    <s v="['55&amp;rsquor;|1:1|Ivan Perišić|Assist:|Dejan Lovren']"/>
    <s v=""/>
    <s v=""/>
    <s v=""/>
    <s v=""/>
    <s v=""/>
    <s v=""/>
    <s v="['5|1:2|Takuma Asano']"/>
    <s v="['2|0:1|Nikola Vlašić', '4|0:2|Marcelo Brozović', '8|1:3|Mario Pašalić']"/>
    <s v="['1|0:0|Takumi Minamino', '3|0:1|Kaoru Mitoma', '7|1:2|Maya Yoshida']"/>
    <s v="['6|1:2|Marko Livaja']"/>
    <s v=""/>
    <s v=""/>
    <s v=""/>
    <s v=""/>
    <s v=""/>
    <s v="['90&amp;rsquor;|1:1|Mateo Kovačić', '116&amp;rsquor;|1:1|Borna Barišić']"/>
    <s v="['64&amp;rsquor;|1:1|Takuma Asano|for Daizen Maeda', '64&amp;rsquor;|1:1|Kaoru Mitoma|for Yuto Nagatomo', '75&amp;rsquor;|1:1|Hiroki Sakai|for Daichi Kamada', '87&amp;rsquor;|1:1|Takumi Minamino|for Ritsu Doan', '106&amp;rsquor;|1:1|Ao Tanaka|for Hidemasa Morita']"/>
    <s v="['62&amp;rsquor;|1:1|Ante Budimir|for Bruno Petković', '68&amp;rsquor;|1:1|Mario Pašalić|for Andrej Kramarić', '99&amp;rsquor;|1:1|Nikola Vlašić|for Mateo Kovačić', '99&amp;rsquor;|1:1|Lovro Majer|for Luka Modrić', '106&amp;rsquor;|1:1|Marko Livaja|for Ante Budimir', '106&amp;rsquor;|1:1|Mislav Oršić|for Ivan Perišić']"/>
  </r>
  <r>
    <s v="Brazil"/>
    <s v="Korea Republic"/>
    <n v="4"/>
    <n v="3.6"/>
    <m/>
    <n v="1"/>
    <n v="0.5"/>
    <m/>
    <s v="Tite"/>
    <s v="Thiago Silva"/>
    <s v="Paulo Bento"/>
    <s v="Son Heung-min"/>
    <n v="43847"/>
    <s v="Stadium 974, Doha"/>
    <s v="Clément Turpin (Referee) · Nicolas Danos (AR1) · Cyril Gringore (AR2) · Slavko Vinčič (4th) · Jérôme Brisard (VAR)"/>
    <x v="4"/>
    <x v="7"/>
    <s v="4–1"/>
    <s v="Clément Turpin"/>
    <s v=""/>
    <x v="0"/>
    <x v="0"/>
    <s v="Vinicius Júnior · 7|Richarlison · 29|Lucas Paquetá · 36"/>
    <s v="Paik Seung-ho · 76"/>
    <s v="['7&amp;rsquor;|1:0|Vinicius Júnior|Assist:|Raphinha', '29&amp;rsquor;|3:0|Richarlison|Assist:|Thiago Silva', '36&amp;rsquor;|4:0|Lucas Paquetá|Assist:|Vinicius Júnior']"/>
    <s v="['76&amp;rsquor;|4:1|Paik Seung-ho']"/>
    <s v=""/>
    <s v=""/>
    <s v="Neymar (P) · 11"/>
    <s v=""/>
    <s v=""/>
    <s v=""/>
    <s v=""/>
    <s v=""/>
    <s v=""/>
    <s v=""/>
    <s v=""/>
    <s v=""/>
    <s v=""/>
    <s v=""/>
    <s v=""/>
    <s v="['44&amp;rsquor;|4:0|Jung Woo-young']"/>
    <s v="['63&amp;rsquor;|4:0|Dani Alves|for Éder Militão', '72&amp;rsquor;|4:0|Gleison Bremer|for Danilo', '72&amp;rsquor;|4:0|Martinelli|for Vinicius Júnior', '80&amp;rsquor;|4:1|Wéverton|for Alisson', '81&amp;rsquor;|4:1|Rodrygo|for Neymar']"/>
    <s v="['46&amp;rsquor;|4:0|Hong Chul|for Kim Jin-su', '46&amp;rsquor;|4:0|Son Jun-ho|for Jung Woo-young', '65&amp;rsquor;|4:0|Paik Seung-ho|for Hwang In-beom', '74&amp;rsquor;|4:0|Lee Kangin|for Lee Jae-sung', '80&amp;rsquor;|4:1|Hwang Ui-jo|for Cho Guesung']"/>
  </r>
  <r>
    <s v="France"/>
    <s v="Poland"/>
    <n v="3"/>
    <n v="1.4"/>
    <m/>
    <n v="1"/>
    <n v="1.7"/>
    <m/>
    <s v="Didier Deschamps"/>
    <s v="Hugo Lloris"/>
    <s v="Czesław Michniewicz"/>
    <s v="Robert Lewandowski"/>
    <n v="40989"/>
    <s v="Al Thumama Stadium, ath-Thumāma"/>
    <s v="Jesús Valenzuela (Referee) · Jorge Urrego (AR1) · Tulio Moreno (AR2) · Kevin Ortega (4th) · Juan Soto (VAR)"/>
    <x v="4"/>
    <x v="8"/>
    <s v="3–1"/>
    <s v="Jesús Valenzuela"/>
    <s v=""/>
    <x v="0"/>
    <x v="0"/>
    <s v="Olivier Giroud · 44|Kylian Mbappé · 74|Kylian Mbappé · 90+1"/>
    <s v=""/>
    <s v="['44&amp;rsquor;|1:0|Olivier Giroud|Assist:|Kylian Mbappé', '74&amp;rsquor;|2:0|Kylian Mbappé|Assist:|Ousmane Dembélé', '90+1&amp;rsquor;|3:0|Kylian Mbappé|Assist:|Marcus Thuram']"/>
    <s v=""/>
    <s v=""/>
    <s v=""/>
    <s v=""/>
    <s v="Robert Lewandowski (P) · 90+9"/>
    <s v=""/>
    <s v=""/>
    <s v=""/>
    <s v=""/>
    <s v=""/>
    <s v=""/>
    <s v=""/>
    <s v=""/>
    <s v=""/>
    <s v=""/>
    <s v="['32&amp;rsquor;|0:0|Aurélien Tchouaméni']"/>
    <s v="['47&amp;rsquor;|1:0|Bartosz Bereszyński', '88&amp;rsquor;|2:0|Matty Cash']"/>
    <s v="['66&amp;rsquor;|1:0|Youssouf Fofana|for Aurélien Tchouaméni', '76&amp;rsquor;|2:0|Kingsley Coman|for Ousmane Dembélé', '76&amp;rsquor;|2:0|Marcus Thuram|for Olivier Giroud', '90+2&amp;rsquor;|3:0|Axel Disasi|for Jules Koundé']"/>
    <s v="['64&amp;rsquor;|1:0|Arkadiusz Milik|for Sebastian Szymański', '71&amp;rsquor;|1:0|Nicola Zalewski|for Jakub Kamiński', '71&amp;rsquor;|1:0|Krystian Bielik|for Grzegorz Krychowiak', '86&amp;rsquor;|2:0|Jan Bednarek|for Jakub Kiwior', '87&amp;rsquor;|2:0|Kamil Grosicki|for Przemysław Frankowski']"/>
  </r>
  <r>
    <s v="England"/>
    <s v="Senegal"/>
    <n v="3"/>
    <n v="1"/>
    <m/>
    <n v="0"/>
    <n v="0.8"/>
    <m/>
    <s v="Gareth Southgate"/>
    <s v="Harry Kane"/>
    <s v="Aliou Cissé"/>
    <s v="Kalidou Koulibaly"/>
    <n v="65985"/>
    <s v="Al Bayt Stadium, Al Khor"/>
    <s v="Iván Barton (Referee) · David Morán (AR1) · Kathryn Nesbitt (AR2) · Said Martínez (4th) · Drew Fischer (VAR)"/>
    <x v="4"/>
    <x v="8"/>
    <s v="3–0"/>
    <s v="Iván Barton"/>
    <s v=""/>
    <x v="0"/>
    <x v="0"/>
    <s v="Jordan Henderson · 39|Harry Kane · 45+3|Bukayo Saka · 57"/>
    <s v=""/>
    <s v="['39&amp;rsquor;|1:0|Jordan Henderson|Assist:|Jude Bellingham', '45+3&amp;rsquor;|2:0|Harry Kane|Assist:|Phil Foden', '57&amp;rsquor;|3:0|Bukayo Saka|Assist:|Phil Foden']"/>
    <s v=""/>
    <s v=""/>
    <s v=""/>
    <s v=""/>
    <s v=""/>
    <s v=""/>
    <s v=""/>
    <s v=""/>
    <s v=""/>
    <s v=""/>
    <s v=""/>
    <s v=""/>
    <s v=""/>
    <s v=""/>
    <s v=""/>
    <s v=""/>
    <s v="['76&amp;rsquor;|3:0|Kalidou Koulibaly']"/>
    <s v="['65&amp;rsquor;|3:0|Jack Grealish|for Phil Foden', '65&amp;rsquor;|3:0|Marcus Rashford|for Bukayo Saka', '76&amp;rsquor;|3:0|Eric Dier|for John Stones', '77&amp;rsquor;|3:0|Mason Mount|for Jude Bellingham', '82&amp;rsquor;|3:0|Kalvin Phillips|for Jordan Henderson']"/>
    <s v="['46&amp;rsquor;|2:0|Pape Matar Sarr|for Krépin Diatta', '46&amp;rsquor;|2:0|Pape Gueye|for Pathé Ciss', '46&amp;rsquor;|2:0|Bamba Dieng|for Iliman Ndiaye', '72&amp;rsquor;|3:0|Famara Diedhiou|for Boulaye Dia', '84&amp;rsquor;|3:0|Fodé Ballo-Touré|for Ismail Jakobs']"/>
  </r>
  <r>
    <s v="Netherlands"/>
    <s v="United States"/>
    <n v="3"/>
    <n v="1.7"/>
    <m/>
    <n v="1"/>
    <n v="1.5"/>
    <m/>
    <s v="Louis van Gaal"/>
    <s v="Virgil van Dijk"/>
    <s v="Gregg Berhalter"/>
    <s v="Tyler Adams"/>
    <n v="44846"/>
    <s v="Khalifa International Stadium, Doha"/>
    <s v="Wilton Sampaio (Referee) · Bruno Boschilia (AR1) · Bruno Pires (AR2) · Andrés Matonte (4th) · Nicolás Gallo (VAR)"/>
    <x v="4"/>
    <x v="9"/>
    <s v="3–1"/>
    <s v="Wilton Sampaio"/>
    <s v=""/>
    <x v="0"/>
    <x v="0"/>
    <s v="Memphis · 10|Daley Blind · 45+1|Denzel Dumfries · 81"/>
    <s v="Haji Wright · 76"/>
    <s v="['10&amp;rsquor;|1:0|Memphis|Assist:|Denzel Dumfries', '45+1&amp;rsquor;|2:0|Daley Blind|Assist:|Denzel Dumfries', '81&amp;rsquor;|3:1|Denzel Dumfries|Assist:|Daley Blind']"/>
    <s v="['76&amp;rsquor;|2:1|Haji Wright|Assist:|Christian Pulisic']"/>
    <s v=""/>
    <s v=""/>
    <s v=""/>
    <s v=""/>
    <s v=""/>
    <s v=""/>
    <s v=""/>
    <s v=""/>
    <s v=""/>
    <s v=""/>
    <s v=""/>
    <s v=""/>
    <s v=""/>
    <s v=""/>
    <s v="['60&amp;rsquor;|2:0|Teun Koopmeiners', '87&amp;rsquor;|3:1|Frenkie de Jong']"/>
    <s v=""/>
    <s v="['46&amp;rsquor;|2:0|Teun Koopmeiners|for Davy Klaassen', '46&amp;rsquor;|2:0|Steven Bergwijn|for Marten de Roon', '82&amp;rsquor;|3:1|Xavi Simons|for Memphis', '90+3&amp;rsquor;|3:1|Matthijs de Ligt|for Nathan Aké', '90+4&amp;rsquor;|3:1|Wout Weghorst|for Cody Gakpo']"/>
    <s v="['46&amp;rsquor;|2:0|Gio Reyna|for Jesús Ferreira', '67&amp;rsquor;|2:0|Brenden Aaronson|for Timothy Weah', '67&amp;rsquor;|2:0|Haji Wright|for Weston McKennie', '75&amp;rsquor;|2:0|DeAndre Yedlin|for Sergiño Dest', '90+2&amp;rsquor;|3:1|Jordan Morris|for Antonee Robinson']"/>
  </r>
  <r>
    <s v="Argentina"/>
    <s v="Australia"/>
    <n v="2"/>
    <n v="1.6"/>
    <m/>
    <n v="1"/>
    <n v="0.6"/>
    <m/>
    <s v="Lionel Scaloni"/>
    <s v="Lionel Messi"/>
    <s v="Graham Arnold"/>
    <s v="Mathew Ryan"/>
    <n v="45032"/>
    <s v="Ahmed bin Ali Stadium, Umm al-Afā'ī"/>
    <s v="Szymon Marciniak (Referee) · Paweł Sokolnicki (AR1) · Tomasz Listkiewicz (AR2) · Mario Escobar (4th) · Tomasz Kwiatkowski (VAR)"/>
    <x v="4"/>
    <x v="9"/>
    <s v="2–1"/>
    <s v="Szymon Marciniak"/>
    <s v=""/>
    <x v="0"/>
    <x v="0"/>
    <s v="Lionel Messi · 35|Julián Álvarez · 57"/>
    <s v=""/>
    <s v="['35&amp;rsquor;|1:0|Lionel Messi|Assist:|Nicolás Otamendi', '57&amp;rsquor;|2:0|Julián Álvarez']"/>
    <s v=""/>
    <s v=""/>
    <s v="Enzo Fernández (OG) · 77"/>
    <s v=""/>
    <s v=""/>
    <s v=""/>
    <s v=""/>
    <s v=""/>
    <s v=""/>
    <s v=""/>
    <s v=""/>
    <s v=""/>
    <s v=""/>
    <s v=""/>
    <s v=""/>
    <s v=""/>
    <s v="['15&amp;rsquor;|0:0|Jackson Irvine', '38&amp;rsquor;|1:0|Miloš Degenek']"/>
    <s v="['50&amp;rsquor;|1:0|Lisandro Martínez|for Papu Gómez', '71&amp;rsquor;|2:0|Lautaro Martínez|for Julián Álvarez', '72&amp;rsquor;|2:0|Nicolás Tagliafico|for Marcos Acuña', '80&amp;rsquor;|2:1|Exequiel Palacios|for Nahuel Molina', '80&amp;rsquor;|2:1|Gonzalo Montiel|for Alexis Mac Allister']"/>
    <s v="['58&amp;rsquor;|2:0|Craig Goodwin|for Riley McGree', '58&amp;rsquor;|2:0|Ajdin Hrustic|for Keanu Baccus', '72&amp;rsquor;|2:0|Jamie Maclaren|for Mitchell Duke', '72&amp;rsquor;|2:0|Fran Karačić|for Miloš Degenek', '72&amp;rsquor;|2:0|Garang Kuol|for Mathew Leckie']"/>
  </r>
  <r>
    <s v="Korea Republic"/>
    <s v="Portugal"/>
    <n v="2"/>
    <n v="1.7"/>
    <m/>
    <n v="1"/>
    <n v="1.3"/>
    <m/>
    <s v="Sérgio Costa"/>
    <s v="Son Heung-min"/>
    <s v="Fernando Santos"/>
    <s v="Cristiano Ronaldo"/>
    <n v="44097"/>
    <s v="Education City Stadium, Doha"/>
    <s v="Facundo Tello (Referee) · Ezequiel Brailovsky (AR1) · Gabriel Chade (AR2) · Maguette Ndiaye (4th) · Nicolás Gallo (VAR)"/>
    <x v="5"/>
    <x v="10"/>
    <s v="2–1"/>
    <s v="Facundo Tello"/>
    <s v=""/>
    <x v="0"/>
    <x v="0"/>
    <s v="Kim Young-gwon · 27|Hwang Hee-chan · 90+1"/>
    <s v="Ricardo Horta · 5"/>
    <s v="['27&amp;rsquor;|1:1|Kim Young-gwon', '90+1&amp;rsquor;|2:1|Hwang Hee-chan|Assist:|Son Heung-min']"/>
    <s v="['5&amp;rsquor;|0:1|Ricardo Horta|Assist:|Diogo Dalot']"/>
    <s v=""/>
    <s v=""/>
    <s v=""/>
    <s v=""/>
    <s v=""/>
    <s v=""/>
    <s v=""/>
    <s v=""/>
    <s v=""/>
    <s v=""/>
    <s v=""/>
    <s v=""/>
    <s v=""/>
    <s v=""/>
    <s v="['36&amp;rsquor;|1:1|Lee Kangin', '90+2&amp;rsquor;|2:1|Hwang Hee-chan']"/>
    <s v=""/>
    <s v="['66&amp;rsquor;|1:1|Hwang Hee-chan|for Lee Jae-sung', '81&amp;rsquor;|1:1|Son Jun-ho|for Kim Young-gwon', '81&amp;rsquor;|1:1|Hwang Ui-jo|for Lee Kangin', '90+3&amp;rsquor;|2:1|Cho Yumin|for Cho Guesung']"/>
    <s v="['65&amp;rsquor;|1:1|João Palhinha|for Matheus Nunes', '65&amp;rsquor;|1:1|Rafael Leão|for Rúben Neves', '65&amp;rsquor;|1:1|André Silva|for Cristiano Ronaldo', '82&amp;rsquor;|1:1|Bernardo Silva|for João Mário', '82&amp;rsquor;|1:1|William Carvalho|for Vitinha']"/>
  </r>
  <r>
    <s v="Ghana"/>
    <s v="Uruguay"/>
    <n v="0"/>
    <n v="1.6"/>
    <m/>
    <n v="2"/>
    <n v="1.8"/>
    <m/>
    <s v="Otto Addo"/>
    <s v="André Ayew"/>
    <s v="Diego Alonso"/>
    <s v="Luis Suárez"/>
    <n v="43443"/>
    <s v="Al Janoub Stadium, Al Wakrah"/>
    <s v="Daniel Siebert (Referee) · Jan Seidel (AR1) · Rafael Foltyn (AR2) · Yoshimi Yamashita (4th) · Bastian Dankert (VAR)"/>
    <x v="5"/>
    <x v="10"/>
    <s v="0–2"/>
    <s v="Daniel Siebert"/>
    <s v=""/>
    <x v="0"/>
    <x v="0"/>
    <s v=""/>
    <s v="Giorgian De Arrascaeta · 26|Giorgian De Arrascaeta · 32"/>
    <s v=""/>
    <s v="['26&amp;rsquor;|0:1|Giorgian De Arrascaeta', '32&amp;rsquor;|0:2|Giorgian De Arrascaeta|Assist:|Luis Suárez']"/>
    <s v=""/>
    <s v=""/>
    <s v=""/>
    <s v=""/>
    <s v="['21&amp;rsquor;|0:0|André Ayew|Penalty saved by Sergio Rochet']"/>
    <s v=""/>
    <s v=""/>
    <s v=""/>
    <s v=""/>
    <s v=""/>
    <s v=""/>
    <s v=""/>
    <s v=""/>
    <s v=""/>
    <s v="['86&amp;rsquor;|0:2|Kamaldeen Sulemana', '90+9&amp;rsquor;|0:2|Alidu Seidu']"/>
    <s v="['19&amp;rsquor;|0:0|Darwin Núñez', '60&amp;rsquor;|0:2|Luis Suárez', '87&amp;rsquor;|0:2|Sebastián Coates', '90+10&amp;rsquor;|0:2|Edinson Cavani', '90+10&amp;rsquor;|0:2|José María Giménez']"/>
    <s v="['46&amp;rsquor;|0:2|Kamaldeen Sulemana|for Jordan Ayew', '46&amp;rsquor;|0:2|Osman Bukari|for André Ayew', '72&amp;rsquor;|0:2|Antoine Semenyo|for Daniel Amartey', '72&amp;rsquor;|0:2|Daniel Kyereh|for Salis Abdul Samed', '90+8&amp;rsquor;|0:2|Abdul Fatawu Issahaku|for Kudus Mohammed']"/>
    <s v="['34&amp;rsquor;|0:2|Matías Vecino|for Rodrigo Bentancur', '66&amp;rsquor;|0:2|Edinson Cavani|for Luis Suárez', '66&amp;rsquor;|0:2|Nicolás De La Cruz|for Facundo Pellistri', '80&amp;rsquor;|0:2|Maxi Gómez|for Darwin Núñez', '80&amp;rsquor;|0:2|Agustín Canobbio|for Giorgian De Arrascaeta']"/>
  </r>
  <r>
    <s v="Cameroon"/>
    <s v="Brazil"/>
    <n v="1"/>
    <n v="0.5"/>
    <m/>
    <n v="0"/>
    <n v="2.5"/>
    <m/>
    <s v="Rigobert Song"/>
    <s v="Vincent Aboubakar"/>
    <s v="Tite"/>
    <s v="Dani Alves"/>
    <n v="85986"/>
    <s v="Lusail Iconic Stadium, Lusail"/>
    <s v="Ismail Elfath (Referee) · Kyle Atkins (AR1) · Corey Parker (AR2) · Ma Ning (4th) · Alejandro Hernández (VAR)"/>
    <x v="5"/>
    <x v="10"/>
    <s v="1–0"/>
    <s v="Ismail Elfath"/>
    <s v=""/>
    <x v="0"/>
    <x v="0"/>
    <s v="Vincent Aboubakar · 90+2"/>
    <s v=""/>
    <s v="['90+2&amp;rsquor;|1:0|Vincent Aboubakar|Assist:|Andre-Frank Zambo Anguissa']"/>
    <s v=""/>
    <s v=""/>
    <s v=""/>
    <s v=""/>
    <s v=""/>
    <s v=""/>
    <s v=""/>
    <s v=""/>
    <s v=""/>
    <s v=""/>
    <s v=""/>
    <s v=""/>
    <s v=""/>
    <s v="Vincent Aboubakar · 90+3"/>
    <s v=""/>
    <s v="['6&amp;rsquor;|0:0|Nouhou Tolo', '28&amp;rsquor;|0:0|Pierre Kunde', '33&amp;rsquor;|0:0|Collins Fai', '81&amp;rsquor;|0:0|Vincent Aboubakar']"/>
    <s v="['7&amp;rsquor;|0:0|Éder Militão', '85&amp;rsquor;|0:0|Bruno Guimarães']"/>
    <s v="['64&amp;rsquor;|0:0|Karl Toko Ekambi|for Bryan Mbeumo', '66&amp;rsquor;|0:0|Olivier Ntcham|for Pierre Kunde', '86&amp;rsquor;|0:0|Jerome Ngom Mbekeli|for Moumi Ngamaleu']"/>
    <s v="['55&amp;rsquor;|0:0|Everton Ribeiro|for Rodrygo', '55&amp;rsquor;|0:0|Marquinhos|for Alex Telles', '55&amp;rsquor;|0:0|Bruno Guimarães|for Fred', '64&amp;rsquor;|0:0|Pedro|for Gabriel Jesus', '79&amp;rsquor;|0:0|Raphinha|for Antony']"/>
  </r>
  <r>
    <s v="Serbia"/>
    <s v="Switzerland"/>
    <n v="2"/>
    <n v="1.3"/>
    <m/>
    <n v="3"/>
    <n v="2.7"/>
    <m/>
    <s v="Dragan Stojković"/>
    <s v="Dušan Tadić"/>
    <s v="Murat Yakin"/>
    <s v="Granit Xhaka"/>
    <n v="41378"/>
    <s v="Stadium 974, Doha"/>
    <s v="Fernando Rapallini (Referee) · Juan Pablo Belatti (AR1) · Diego Bonfá (AR2) · Kevin Ortega (4th) · Mauro Vigliano (VAR)"/>
    <x v="5"/>
    <x v="10"/>
    <s v="2–3"/>
    <s v="Fernando Rapallini"/>
    <s v=""/>
    <x v="0"/>
    <x v="0"/>
    <s v="Aleksandar Mitrović · 26|Dušan Vlahović · 35"/>
    <s v="Xherdan Shaqiri · 20|Breel Embolo · 44|Remo Freuler · 48"/>
    <s v="['26&amp;rsquor;|1:1|Aleksandar Mitrović|Assist:|Dušan Tadić', '35&amp;rsquor;|2:1|Dušan Vlahović']"/>
    <s v="['20&amp;rsquor;|0:1|Xherdan Shaqiri|Assist:|Djibril Sow', '44&amp;rsquor;|2:2|Breel Embolo|Assist:|Silvan Widmer', '48&amp;rsquor;|2:3|Remo Freuler|Assist:|Ruben Vargas']"/>
    <s v=""/>
    <s v=""/>
    <s v=""/>
    <s v=""/>
    <s v=""/>
    <s v=""/>
    <s v=""/>
    <s v=""/>
    <s v=""/>
    <s v=""/>
    <s v=""/>
    <s v=""/>
    <s v=""/>
    <s v=""/>
    <s v="['47&amp;rsquor;|2:2|Sergej Milinković-Savić', '56&amp;rsquor;|2:3|Strahinja Pavlović', '66&amp;rsquor;|2:3|Predrag Rajković', '81&amp;rsquor;|2:3|Nemanja Gudelj', '82&amp;rsquor;|2:3|Aleksandar Mitrović', '90+5&amp;rsquor;|2:3|Nikola Milenković', '90+10&amp;rsquor;|2:3|Saša Lukić']"/>
    <s v="['15&amp;rsquor;|0:0|Silvan Widmer', '34&amp;rsquor;|1:1|Ruben Vargas', '90+5&amp;rsquor;|2:3|Granit Xhaka', '90+9&amp;rsquor;|2:3|Fabian Schär']"/>
    <s v="['55&amp;rsquor;|2:3|Nemanja Gudelj|for Miloš Veljković', '55&amp;rsquor;|2:3|Luka Jović|for Dušan Vlahović', '67&amp;rsquor;|2:3|Nemanja Maksimović|for Sergej Milinković-Savić', '78&amp;rsquor;|2:3|Filip Đuričić|for Dušan Tadić', '78&amp;rsquor;|2:3|Nemanja Radonjić|for Andrija Živković']"/>
    <s v="['68&amp;rsquor;|2:3|Edimilson Fernandes|for Djibril Sow', '69&amp;rsquor;|2:3|Denis Zakaria|for Xherdan Shaqiri', '83&amp;rsquor;|2:3|Christian Fassnacht|for Ruben Vargas', '90+6&amp;rsquor;|2:3|Noah Okafor|for Breel Embolo']"/>
  </r>
  <r>
    <s v="Canada"/>
    <s v="Morocco"/>
    <n v="1"/>
    <n v="1.4"/>
    <m/>
    <n v="2"/>
    <n v="0.5"/>
    <m/>
    <s v="John Herdman"/>
    <s v="Milan Borjan"/>
    <s v="Hoalid Regragui"/>
    <s v="Romain Saïss"/>
    <n v="43102"/>
    <s v="Al Thumama Stadium, ath-Thumāma"/>
    <s v="Raphael Claus (Referee) · Rodrigo Correa (AR1) · Danilo Manis (AR2) · Yoshimi Yamashita (4th) · Julio Bascuñán (VAR)"/>
    <x v="5"/>
    <x v="11"/>
    <s v="1–2"/>
    <s v="Raphael Claus"/>
    <s v=""/>
    <x v="0"/>
    <x v="0"/>
    <s v=""/>
    <s v="Hakim Ziyech · 4|Youssef En-Nesyri · 23"/>
    <s v=""/>
    <s v="['4&amp;rsquor;|0:1|Hakim Ziyech', '23&amp;rsquor;|0:2|Youssef En-Nesyri|Assist:|Achraf Hakimi']"/>
    <s v="Nayef Aguerd (OG) · 40"/>
    <s v=""/>
    <s v=""/>
    <s v=""/>
    <s v=""/>
    <s v=""/>
    <s v=""/>
    <s v=""/>
    <s v=""/>
    <s v=""/>
    <s v=""/>
    <s v=""/>
    <s v=""/>
    <s v=""/>
    <s v="['7&amp;rsquor;|0:1|Junior Hoilett', '26&amp;rsquor;|0:2|Jonathan Osorio', '45+2&amp;rsquor;|1:2|Sam Adekugbe', '84&amp;rsquor;|1:2|Steven Vitória']"/>
    <s v=""/>
    <s v="['60&amp;rsquor;|1:2|Atiba Hutchinson|for Mark-Anthony Kaye', '60&amp;rsquor;|1:2|Ismaël Koné|for Sam Adekugbe', '60&amp;rsquor;|1:2|Jonathan David|for Cyle Larin', '65&amp;rsquor;|1:2|Richie Laryea|for Jonathan Osorio', '76&amp;rsquor;|1:2|David Wotherspoon|for Junior Hoilett']"/>
    <s v="['65&amp;rsquor;|1:2|Selim Amallah|for Abdelhamid Sabiri', '65&amp;rsquor;|1:2|Zakaria Aboukhlal|for Sofiane Boufal', '76&amp;rsquor;|1:2|Abderrazak Hamdallah|for Hakim Ziyech', '77&amp;rsquor;|1:2|Jawad El Yamiq|for Azzedine Ounahi', '85&amp;rsquor;|1:2|Yahya Jabrane|for Achraf Hakimi']"/>
  </r>
  <r>
    <s v="Croatia"/>
    <s v="Belgium"/>
    <n v="0"/>
    <n v="0.7"/>
    <m/>
    <n v="0"/>
    <n v="3"/>
    <m/>
    <s v="Zlatko Dalić"/>
    <s v="Luka Modrić"/>
    <s v="Roberto Martínez"/>
    <s v="Kevin De Bruyne"/>
    <n v="43984"/>
    <s v="Ahmed bin Ali Stadium, Umm al-Afā'ī"/>
    <s v="Anthony Taylor (Referee) · Gary Beswick (AR1) · Adam Nunn (AR2) · István Kovács (4th) · Marco Fritz (VAR)"/>
    <x v="5"/>
    <x v="11"/>
    <s v="0–0"/>
    <s v="Anthony Taylor"/>
    <s v=""/>
    <x v="0"/>
    <x v="0"/>
    <s v=""/>
    <s v=""/>
    <s v=""/>
    <s v=""/>
    <s v=""/>
    <s v=""/>
    <s v=""/>
    <s v=""/>
    <s v=""/>
    <s v=""/>
    <s v=""/>
    <s v=""/>
    <s v=""/>
    <s v=""/>
    <s v=""/>
    <s v=""/>
    <s v=""/>
    <s v=""/>
    <s v=""/>
    <s v="['67&amp;rsquor;|0:0|Leander Dendoncker']"/>
    <s v="['64&amp;rsquor;|0:0|Bruno Petković|for Marko Livaja', '64&amp;rsquor;|0:0|Mario Pašalić|for Andrej Kramarić', '90+2&amp;rsquor;|0:0|Lovro Majer|for Mateo Kovačić']"/>
    <s v="['46&amp;rsquor;|0:0|Romelu Lukaku|for Dries Mertens', '59&amp;rsquor;|0:0|Thorgan Hazard|for Leandro Trossard', '72&amp;rsquor;|0:0|Youri Tielemans|for Leander Dendoncker', '72&amp;rsquor;|0:0|Jeremy Doku|for Yannick Carrasco', '87&amp;rsquor;|0:0|Eden Hazard|for Thomas Meunier']"/>
  </r>
  <r>
    <s v="Costa Rica"/>
    <s v="Germany"/>
    <n v="2"/>
    <n v="1.3"/>
    <m/>
    <n v="4"/>
    <n v="5.7"/>
    <m/>
    <s v="Luis Fernando Suárez"/>
    <s v="Keylor Navas"/>
    <s v="Hansi Flick"/>
    <s v="Manuel Neuer"/>
    <n v="67054"/>
    <s v="Al Bayt Stadium, Al Khor"/>
    <s v="Stéphanie Frappart (Referee) · Neuza Back (AR1) · Karen Díaz (AR2) · Said Martínez (4th) · Drew Fischer (VAR)"/>
    <x v="5"/>
    <x v="11"/>
    <s v="2–4"/>
    <s v="Stéphanie Frappart"/>
    <s v=""/>
    <x v="0"/>
    <x v="0"/>
    <s v="Yeltsin Tejeda · 58"/>
    <s v="Serge Gnabry · 10|Kai Havertz · 73|Kai Havertz · 85|Niclas Füllkrug · 90"/>
    <s v="['58&amp;rsquor;|1:1|Yeltsin Tejeda']"/>
    <s v="['10&amp;rsquor;|0:1|Serge Gnabry|Assist:|David Raum', '73&amp;rsquor;|2:2|Kai Havertz|Assist:|Niclas Füllkrug', '85&amp;rsquor;|2:3|Kai Havertz|Assist:|Serge Gnabry', '90&amp;rsquor;|2:4|Niclas Füllkrug|Assist:|Leroy Sané']"/>
    <s v="Manuel Neuer (OG) · 70"/>
    <s v=""/>
    <s v=""/>
    <s v=""/>
    <s v=""/>
    <s v=""/>
    <s v=""/>
    <s v=""/>
    <s v=""/>
    <s v=""/>
    <s v=""/>
    <s v=""/>
    <s v=""/>
    <s v=""/>
    <s v="['77&amp;rsquor;|2:2|Óscar Duarte']"/>
    <s v=""/>
    <s v="['46&amp;rsquor;|0:1|Youstin Salas|for Brandon Aguilera', '74&amp;rsquor;|2:2|Rónald Matarrita|for Johan Venegas', '74&amp;rsquor;|2:2|Jewison Bennette|for Keysher Fuller', '90+3&amp;rsquor;|2:4|Roan Wilson|for Yeltsin Tejeda', '90+3&amp;rsquor;|2:4|Anthony Contreras|for Bryan Oviedo']"/>
    <s v="['46&amp;rsquor;|0:1|Lukas Klostermann|for Leon Goretzka', '55&amp;rsquor;|0:1|Niclas Füllkrug|for İlkay Gündoğan', '67&amp;rsquor;|1:1|Mario Götze|for David Raum', '67&amp;rsquor;|1:1|Kai Havertz|for Thomas Müller', '90+3&amp;rsquor;|2:4|Matthias Ginter|for Niklas Süle']"/>
  </r>
  <r>
    <s v="Japan"/>
    <s v="Spain"/>
    <n v="2"/>
    <n v="1.4"/>
    <m/>
    <n v="1"/>
    <n v="1"/>
    <m/>
    <s v="Hajime Moriyasu"/>
    <s v="Maya Yoshida"/>
    <s v="Luis Enrique"/>
    <s v="Sergio Busquets"/>
    <n v="44851"/>
    <s v="Khalifa International Stadium, Doha"/>
    <s v="Victor Gomes (Referee) · Zakhele Siwela (AR1) · Souru Phatsoane (AR2) · Salima Mukansanga (4th) · Fernando Guerrero (VAR)"/>
    <x v="5"/>
    <x v="11"/>
    <s v="2–1"/>
    <s v="Victor Gomes"/>
    <s v=""/>
    <x v="0"/>
    <x v="0"/>
    <s v="Ritsu Doan · 48|Ao Tanaka · 51"/>
    <s v="Álvaro Morata · 12"/>
    <s v="['48&amp;rsquor;|1:1|Ritsu Doan|Assist:|Junya Ito', '51&amp;rsquor;|2:1|Ao Tanaka|Assist:|Kaoru Mitoma']"/>
    <s v="['12&amp;rsquor;|0:1|Álvaro Morata|Assist:|César Azpilicueta']"/>
    <s v=""/>
    <s v=""/>
    <s v=""/>
    <s v=""/>
    <s v=""/>
    <s v=""/>
    <s v=""/>
    <s v=""/>
    <s v=""/>
    <s v=""/>
    <s v=""/>
    <s v=""/>
    <s v=""/>
    <s v=""/>
    <s v="['39&amp;rsquor;|0:1|Ko Itakura', '44&amp;rsquor;|0:1|Shogo Taniguchi', '45&amp;rsquor;|0:1|Maya Yoshida']"/>
    <s v=""/>
    <s v="['46&amp;rsquor;|0:1|Ritsu Doan|for Takefusa Kubo', '46&amp;rsquor;|0:1|Kaoru Mitoma|for Yuto Nagatomo', '62&amp;rsquor;|2:1|Takuma Asano|for Daizen Maeda', '69&amp;rsquor;|2:1|Takehiro Tomiyasu|for Daichi Kamada', '87&amp;rsquor;|2:1|Wataru Endo|for Ao Tanaka']"/>
    <s v="['46&amp;rsquor;|0:1|Dani Carvajal|for César Azpilicueta', '57&amp;rsquor;|2:1|Ferrán Torres|for Nico Williams', '57&amp;rsquor;|2:1|Marco Asensio|for Álvaro Morata', '68&amp;rsquor;|2:1|Ansu Fati|for Gavi', '68&amp;rsquor;|2:1|Jordi Alba|for Alejandro Balde']"/>
  </r>
  <r>
    <s v="Australia"/>
    <s v="Denmark"/>
    <n v="1"/>
    <n v="0.6"/>
    <m/>
    <n v="0"/>
    <n v="0.6"/>
    <m/>
    <s v="Graham Arnold"/>
    <s v="Mathew Ryan"/>
    <s v="Kasper Hjulmand"/>
    <s v="Christian Eriksen"/>
    <n v="41232"/>
    <s v="Al Janoub Stadium, Al Wakrah"/>
    <s v="Mustapha Ghorbal (Referee) · Mokrane Gourari (AR1) · Abdelhak Etchiali (AR2) · Maguette Ndiaye (4th) · Mauro Vigliano (VAR)"/>
    <x v="5"/>
    <x v="12"/>
    <s v="1–0"/>
    <s v="Mustapha Ghorbal"/>
    <s v=""/>
    <x v="0"/>
    <x v="0"/>
    <s v="Mathew Leckie · 60"/>
    <s v=""/>
    <s v="['60&amp;rsquor;|1:0|Mathew Leckie|Assist:|Riley McGree']"/>
    <s v=""/>
    <s v=""/>
    <s v=""/>
    <s v=""/>
    <s v=""/>
    <s v=""/>
    <s v=""/>
    <s v=""/>
    <s v=""/>
    <s v=""/>
    <s v=""/>
    <s v=""/>
    <s v=""/>
    <s v=""/>
    <s v=""/>
    <s v="['4&amp;rsquor;|0:0|Aziz Behich', '57&amp;rsquor;|0:0|Miloš Degenek']"/>
    <s v="['75&amp;rsquor;|1:0|Robert Skov']"/>
    <s v="['46&amp;rsquor;|0:0|Keanu Baccus|for Craig Goodwin', '74&amp;rsquor;|1:0|Bailey Wright|for Riley McGree', '82&amp;rsquor;|1:0|Jamie Maclaren|for Mitchell Duke', '89&amp;rsquor;|1:0|Ajdin Hrustic|for Mathew Leckie']"/>
    <s v="['46&amp;rsquor;|0:0|Alexander Bah|for Rasmus Nissen', '59&amp;rsquor;|0:0|Kasper Dolberg|for Martin Braithwaite', '59&amp;rsquor;|0:0|Mikkel Damsgaard|for Mathias Jensen', '69&amp;rsquor;|1:0|Robert Skov|for Andreas Skov Olsen', '70&amp;rsquor;|1:0|Andreas Cornelius|for Joakim Mæhle']"/>
  </r>
  <r>
    <s v="Tunisia"/>
    <s v="France"/>
    <n v="1"/>
    <n v="0.5"/>
    <m/>
    <n v="0"/>
    <n v="0.8"/>
    <m/>
    <s v="Jalel Kadri"/>
    <s v="Wahbi Khazri"/>
    <s v="Didier Deschamps"/>
    <s v="Raphaël Varane"/>
    <n v="43627"/>
    <s v="Education City Stadium, Doha"/>
    <s v="Matt Conger (Referee) · Mark Rule (AR1) · Tevita Makasini (AR2) · Salima Mukansanga (4th) · Abdulla Ali Al Marri (VAR)"/>
    <x v="5"/>
    <x v="12"/>
    <s v="1–0"/>
    <s v="Matt Conger"/>
    <s v=""/>
    <x v="0"/>
    <x v="0"/>
    <s v="Wahbi Khazri · 58"/>
    <s v=""/>
    <s v="['58&amp;rsquor;|1:0|Wahbi Khazri|Assist:|Aïssa Laïdouni']"/>
    <s v=""/>
    <s v=""/>
    <s v=""/>
    <s v=""/>
    <s v=""/>
    <s v=""/>
    <s v=""/>
    <s v=""/>
    <s v=""/>
    <s v=""/>
    <s v=""/>
    <s v=""/>
    <s v=""/>
    <s v=""/>
    <s v=""/>
    <s v="['28&amp;rsquor;|0:0|Wajdi Kechrida']"/>
    <s v=""/>
    <s v="['60&amp;rsquor;|1:0|Issam Jebali|for Wahbi Khazri', '74&amp;rsquor;|1:0|Ghaylène Chaalali|for Mohamed Ali Ben Romdhane', '83&amp;rsquor;|1:0|Ali Abdi|for Anis Ben Slimane']"/>
    <s v="['63&amp;rsquor;|1:0|William Saliba|for Raphaël Varane', '63&amp;rsquor;|1:0|Kylian Mbappé|for Kingsley Coman', '63&amp;rsquor;|1:0|Adrien Rabiot|for Jordan Veretout', '73&amp;rsquor;|1:0|Antoine Griezmann|for Youssouf Fofana', '79&amp;rsquor;|1:0|Ousmane Dembélé|for Mattéo Guendouzi']"/>
  </r>
  <r>
    <s v="Saudi Arabia"/>
    <s v="Mexico"/>
    <n v="1"/>
    <n v="1.1000000000000001"/>
    <m/>
    <n v="2"/>
    <n v="2.2999999999999998"/>
    <m/>
    <s v="Hervé Renard"/>
    <s v="Salem Al-Dawsari"/>
    <s v="Tata Martino"/>
    <s v="Guillermo Ochoa"/>
    <n v="84985"/>
    <s v="Lusail Iconic Stadium, Lusail"/>
    <s v="Michael Oliver (Referee) · Stuart Burt (AR1) · Simon Bennett (AR2) · István Kovács (4th) · Massimiliano Irrati (VAR)"/>
    <x v="5"/>
    <x v="12"/>
    <s v="1–2"/>
    <s v="Michael Oliver"/>
    <s v=""/>
    <x v="0"/>
    <x v="0"/>
    <s v="Salem Al-Dawsari · 90+5"/>
    <s v="Henry Martín · 47|Luis Chávez · 52"/>
    <s v="['90+5&amp;rsquor;|1:2|Salem Al-Dawsari|Assist:|Hattan Bahebri']"/>
    <s v="['47&amp;rsquor;|0:1|Henry Martín|Assist:|César Montes', '52&amp;rsquor;|0:2|Luis Chávez']"/>
    <s v=""/>
    <s v=""/>
    <s v=""/>
    <s v=""/>
    <s v=""/>
    <s v=""/>
    <s v=""/>
    <s v=""/>
    <s v=""/>
    <s v=""/>
    <s v=""/>
    <s v=""/>
    <s v=""/>
    <s v=""/>
    <s v="['28&amp;rsquor;|0:0|Saleh Al-Shehri', '34&amp;rsquor;|0:0|Ali Al Hassan', '52&amp;rsquor;|0:1|Hassan Al Tambakti', '81&amp;rsquor;|0:2|Abdullah Madu', '90+1&amp;rsquor;|0:2|Abdulelah Al-Amri', '90+7&amp;rsquor;|1:2|Hattan Bahebri']"/>
    <s v="['16&amp;rsquor;|0:0|Edson Álvarez']"/>
    <s v="['37&amp;rsquor;|0:0|Riyadh Sharahili|for Ali Al-Bulaihi', '46&amp;rsquor;|0:0|Abdullah Madu|for Ali Al Hassan', '62&amp;rsquor;|0:2|Abdulrahman Al-Aboud|for Saleh Al-Shehri', '88&amp;rsquor;|0:2|Hattan Bahebri|for Sultan Al-Ghanam']"/>
    <s v="['46&amp;rsquor;|0:0|Uriel Antuna|for Alexis Vega', '77&amp;rsquor;|0:2|Raúl Jiménez|for Henry Martín', '77&amp;rsquor;|0:2|Charly Rodríguez|for Orbelín Pineda', '86&amp;rsquor;|0:2|Kevin Álvarez|for Jorge Eduardo Sánchez', '86&amp;rsquor;|0:2|Rogelio Funes Mori|for Edson Álvarez']"/>
  </r>
  <r>
    <s v="Poland"/>
    <s v="Argentina"/>
    <n v="0"/>
    <n v="0.3"/>
    <m/>
    <n v="2"/>
    <n v="3.5"/>
    <m/>
    <s v="Czesław Michniewicz"/>
    <s v="Robert Lewandowski"/>
    <s v="Lionel Scaloni"/>
    <s v="Lionel Messi"/>
    <n v="44089"/>
    <s v="Stadium 974, Doha"/>
    <s v="Danny Makkelie (Referee) · Hessel Steegstra (AR1) · Jan de Vries (AR2) · Said Martínez (4th) · Pol van Boekel (VAR)"/>
    <x v="5"/>
    <x v="12"/>
    <s v="0–2"/>
    <s v="Danny Makkelie"/>
    <s v=""/>
    <x v="0"/>
    <x v="0"/>
    <s v=""/>
    <s v="Alexis Mac Allister · 46|Julián Álvarez · 67"/>
    <s v=""/>
    <s v="['46&amp;rsquor;|0:1|Alexis Mac Allister|Assist:|Nahuel Molina', '67&amp;rsquor;|0:2|Julián Álvarez|Assist:|Enzo Fernández']"/>
    <s v=""/>
    <s v=""/>
    <s v=""/>
    <s v=""/>
    <s v=""/>
    <s v="['39&amp;rsquor;|0:0|Lionel Messi|Penalty saved by Wojciech Szczęsny|—']"/>
    <s v=""/>
    <s v=""/>
    <s v=""/>
    <s v=""/>
    <s v=""/>
    <s v=""/>
    <s v=""/>
    <s v=""/>
    <s v="['78&amp;rsquor;|0:2|Grzegorz Krychowiak']"/>
    <s v="['49&amp;rsquor;|0:1|Marcos Acuña']"/>
    <s v="['46&amp;rsquor;|0:0|Jakub Kamiński|for Przemysław Frankowski', '46&amp;rsquor;|0:0|Michał Skóraś|for Karol Świderski', '62&amp;rsquor;|0:1|Damian Szymański|for Krystian Bielik', '72&amp;rsquor;|0:2|Artur Jędrzejczyk|for Bartosz Bereszyński', '83&amp;rsquor;|0:2|Krzysztof Piątek|for Grzegorz Krychowiak']"/>
    <s v="['59&amp;rsquor;|0:1|Leandro Paredes|for Ángel Di María', '59&amp;rsquor;|0:1|Nicolás Tagliafico|for Marcos Acuña', '79&amp;rsquor;|0:2|Germán Pezzella|for Enzo Fernández', '79&amp;rsquor;|0:2|Lautaro Martínez|for Julián Álvarez', '84&amp;rsquor;|0:2|Thiago Almada|for Alexis Mac Allister']"/>
  </r>
  <r>
    <s v="Ecuador"/>
    <s v="Senegal"/>
    <n v="1"/>
    <n v="0.9"/>
    <m/>
    <n v="2"/>
    <n v="2.1"/>
    <m/>
    <s v="Gustavo Alfaro"/>
    <s v="Enner Valencia"/>
    <s v="Aliou Cissé"/>
    <s v="Kalidou Koulibaly"/>
    <n v="44569"/>
    <s v="Khalifa International Stadium, Doha"/>
    <s v="Clément Turpin (Referee) · Nicolas Danos (AR1) · Cyril Gringore (AR2) · István Kovács (4th) · Jérôme Brisard (VAR)"/>
    <x v="5"/>
    <x v="13"/>
    <s v="1–2"/>
    <s v="Clément Turpin"/>
    <s v=""/>
    <x v="0"/>
    <x v="0"/>
    <s v="Moisés Caicedo · 67"/>
    <s v="Kalidou Koulibaly · 70"/>
    <s v="['67&amp;rsquor;|1:1|Moisés Caicedo|Assist:|Félix Torres Caicedo']"/>
    <s v="['70&amp;rsquor;|1:2|Kalidou Koulibaly']"/>
    <s v=""/>
    <s v=""/>
    <s v=""/>
    <s v="Ismaila Sarr (P) · 44"/>
    <s v=""/>
    <s v=""/>
    <s v=""/>
    <s v=""/>
    <s v=""/>
    <s v=""/>
    <s v=""/>
    <s v=""/>
    <s v=""/>
    <s v=""/>
    <s v=""/>
    <s v="['66&amp;rsquor;|0:1|Idrissa Gana Gueye']"/>
    <s v="['46&amp;rsquor;|0:1|Jeremy Sarmiento|for Alan Franco', '46&amp;rsquor;|0:1|José Cifuentes|for Carlos Gruezo', '64&amp;rsquor;|0:1|Djorkaeff Reasco|for Michael Estrada', '85&amp;rsquor;|1:2|Jackson Porozo|for Ángelo Preciado']"/>
    <s v="['75&amp;rsquor;|1:2|Nampalys Mendy|for Pathé Ciss', '75&amp;rsquor;|1:2|Bamba Dieng|for Iliman Ndiaye', '90+5&amp;rsquor;|1:2|Pape Abou Cissé|for Boulaye Dia']"/>
  </r>
  <r>
    <s v="Netherlands"/>
    <s v="Qatar"/>
    <n v="2"/>
    <n v="1.6"/>
    <m/>
    <n v="0"/>
    <n v="0.1"/>
    <m/>
    <s v="Louis van Gaal"/>
    <s v="Virgil van Dijk"/>
    <s v="Félix Sánchez"/>
    <s v="Hassan Al-Haydos"/>
    <n v="66784"/>
    <s v="Al Bayt Stadium, Al Khor"/>
    <s v="Bakary Papa Gassama (Referee) · Elvis Noupue (AR1) · Mahmoud Abo El Regal (AR2) · Ma Ning (4th) · Redouane Jiyed (VAR)"/>
    <x v="5"/>
    <x v="13"/>
    <s v="2–0"/>
    <s v="Bakary Papa Gassama"/>
    <s v=""/>
    <x v="0"/>
    <x v="0"/>
    <s v="Cody Gakpo · 26|Frenkie de Jong · 49"/>
    <s v=""/>
    <s v="['26&amp;rsquor;|1:0|Cody Gakpo|Assist:|Davy Klaassen', '49&amp;rsquor;|2:0|Frenkie de Jong']"/>
    <s v=""/>
    <s v=""/>
    <s v=""/>
    <s v=""/>
    <s v=""/>
    <s v=""/>
    <s v=""/>
    <s v=""/>
    <s v=""/>
    <s v=""/>
    <s v=""/>
    <s v=""/>
    <s v=""/>
    <s v=""/>
    <s v=""/>
    <s v="['52&amp;rsquor;|2:0|Nathan Aké']"/>
    <s v=""/>
    <s v="['66&amp;rsquor;|2:0|Vincent Janssen|for Memphis', '66&amp;rsquor;|2:0|Steven Berghuis|for Davy Klaassen', '82&amp;rsquor;|2:0|Wout Weghorst|for Cody Gakpo', '82&amp;rsquor;|2:0|Teun Koopmeiners|for Marten de Roon', '86&amp;rsquor;|2:0|Kenneth Taylor|for Frenkie de Jong']"/>
    <s v="['64&amp;rsquor;|2:0|Karim Boudiaf|for Assim Madibo', '64&amp;rsquor;|2:0|Mohammed Muntari|for Almoez Ali', '64&amp;rsquor;|2:0|Ali Assadalla|for Hassan Al-Haydos', '85&amp;rsquor;|2:0|Ahmed Alaaeldin|for Abdulaziz Hatem', '85&amp;rsquor;|2:0|Musab Kheder|for Ismail Mohamad']"/>
  </r>
  <r>
    <s v="IR Iran"/>
    <s v="United States"/>
    <n v="0"/>
    <n v="0.4"/>
    <m/>
    <n v="1"/>
    <n v="1.2"/>
    <m/>
    <s v="Carlos Queiroz"/>
    <s v="Ehsan Hajsafi"/>
    <s v="Gregg Berhalter"/>
    <s v="Tyler Adams"/>
    <n v="42127"/>
    <s v="Al Thumama Stadium, ath-Thumāma"/>
    <s v="Antonio Matéu (Referee) · Pau Cebrián (AR1) · Roberto Díaz (AR2) · Kevin Ortega (4th) · Juan Martínez (VAR)"/>
    <x v="5"/>
    <x v="13"/>
    <s v="0–1"/>
    <s v="Antonio Matéu"/>
    <s v=""/>
    <x v="0"/>
    <x v="0"/>
    <s v=""/>
    <s v="Christian Pulisic · 38"/>
    <s v=""/>
    <s v="['38&amp;rsquor;|0:1|Christian Pulisic|Assist:|Sergiño Dest']"/>
    <s v=""/>
    <s v=""/>
    <s v=""/>
    <s v=""/>
    <s v=""/>
    <s v=""/>
    <s v=""/>
    <s v=""/>
    <s v=""/>
    <s v=""/>
    <s v=""/>
    <s v=""/>
    <s v=""/>
    <s v=""/>
    <s v="['77&amp;rsquor;|0:1|Majid Hosseini', '83&amp;rsquor;|0:1|Hossein Kanaanizadegan', '90+6&amp;rsquor;|0:1|Abolfazl Jalali']"/>
    <s v="['43&amp;rsquor;|0:1|Tyler Adams']"/>
    <s v="['45+2&amp;rsquor;|0:1|Ali Karimi|for Milad Mohammadi', '46&amp;rsquor;|0:1|Saman Ghoddos|for Sardar Azmoun', '71&amp;rsquor;|0:1|Mehdi Torabi|for Ahmad Nourollahi', '72&amp;rsquor;|0:1|Abolfazl Jalali|for Ehsan Hajsafi', '79&amp;rsquor;|0:1|Karim Ansarifard|for Ali Gholizadeh']"/>
    <s v="['46&amp;rsquor;|0:1|Brenden Aaronson|for Christian Pulisic', '65&amp;rsquor;|0:1|Kellyn Acosta|for Weston McKennie', '77&amp;rsquor;|0:1|Haji Wright|for Josh Sargent', '82&amp;rsquor;|0:1|Shaquell Moore|for Sergiño Dest', '82&amp;rsquor;|0:1|Walker Zimmerman|for Timothy Weah']"/>
  </r>
  <r>
    <s v="Wales"/>
    <s v="England"/>
    <n v="0"/>
    <n v="0.3"/>
    <m/>
    <n v="3"/>
    <n v="2.4"/>
    <m/>
    <s v="Rob Page"/>
    <s v="Gareth Bale"/>
    <s v="Gareth Southgate"/>
    <s v="Harry Kane"/>
    <n v="44297"/>
    <s v="Ahmed bin Ali Stadium, Umm al-Afā'ī"/>
    <s v="Slavko Vinčič (Referee) · Tomaž Klančnik (AR1) · Andraž Kovačič (AR2) · Yoshimi Yamashita (4th) · Marco Fritz (VAR)"/>
    <x v="5"/>
    <x v="13"/>
    <s v="0–3"/>
    <s v="Slavko Vinčič"/>
    <s v=""/>
    <x v="0"/>
    <x v="0"/>
    <s v=""/>
    <s v="Marcus Rashford · 50|Phil Foden · 52|Marcus Rashford · 68"/>
    <s v=""/>
    <s v="['50&amp;rsquor;|0:1|Marcus Rashford', '52&amp;rsquor;|0:2|Phil Foden|Assist:|Harry Kane', '68&amp;rsquor;|0:3|Marcus Rashford|Assist:|Kalvin Phillips']"/>
    <s v=""/>
    <s v=""/>
    <s v=""/>
    <s v=""/>
    <s v=""/>
    <s v=""/>
    <s v=""/>
    <s v=""/>
    <s v=""/>
    <s v=""/>
    <s v=""/>
    <s v=""/>
    <s v=""/>
    <s v=""/>
    <s v="['29&amp;rsquor;|0:0|Daniel James', '61&amp;rsquor;|0:2|Aaron Ramsey']"/>
    <s v=""/>
    <s v="['37&amp;rsquor;|0:0|Connor Roberts|for Neco Williams', '46&amp;rsquor;|0:0|Brennan Johnson|for Gareth Bale', '59&amp;rsquor;|0:2|Joe Morrell|for Ben Davies', '77&amp;rsquor;|0:3|Harry Wilson|for Daniel James', '81&amp;rsquor;|0:3|Rubin Colwill|for Joe Allen']"/>
    <s v="['57&amp;rsquor;|0:2|Trent Alexander-Arnold|for Kyle Walker', '58&amp;rsquor;|0:2|Kalvin Phillips|for Declan Rice', '58&amp;rsquor;|0:2|Callum Wilson|for Harry Kane', '65&amp;rsquor;|0:2|Kieran Trippier|for Luke Shaw', '75&amp;rsquor;|0:3|Jack Grealish|for Marcus Rashford']"/>
  </r>
  <r>
    <s v="Cameroon"/>
    <s v="Serbia"/>
    <n v="3"/>
    <n v="2.2000000000000002"/>
    <m/>
    <n v="3"/>
    <n v="1.9"/>
    <m/>
    <s v="Rigobert Song"/>
    <s v="Eric Maxim Choupo-Moting"/>
    <s v="Dragan Stojković"/>
    <s v="Dušan Tadić"/>
    <n v="39789"/>
    <s v="Al Janoub Stadium, Al Wakrah"/>
    <s v="Mohammed Abdulla Hassan (Referee) · Mohamed Ahmed Al Hammadi (AR1) · Hasan Mohamed Suqatari (AR2) · Ma Ning (4th) · Nicolás Gallo (VAR)"/>
    <x v="5"/>
    <x v="14"/>
    <s v="3–3"/>
    <s v="Mohammed Abdulla Hassan"/>
    <s v=""/>
    <x v="0"/>
    <x v="0"/>
    <s v="Jean-Charles Castelletto · 29|Vincent Aboubakar · 64|Eric Maxim Choupo-Moting · 66"/>
    <s v="Strahinja Pavlović · 45+1|Sergej Milinković-Savić · 45+3|Aleksandar Mitrović · 53"/>
    <s v="['29&amp;rsquor;|1:0|Jean-Charles Castelletto|Assist:|Nicolas Nkoulou', '64&amp;rsquor;|2:3|Vincent Aboubakar|Assist:|Jean-Charles Castelletto', '66&amp;rsquor;|3:3|Eric Maxim Choupo-Moting|Assist:|Vincent Aboubakar']"/>
    <s v="['45+1&amp;rsquor;|1:1|Strahinja Pavlović|Assist:|Dušan Tadić', '45+3&amp;rsquor;|1:2|Sergej Milinković-Savić|Assist:|Andrija Živković', '53&amp;rsquor;|1:3|Aleksandar Mitrović|Assist:|Andrija Živković']"/>
    <s v=""/>
    <s v=""/>
    <s v=""/>
    <s v=""/>
    <s v=""/>
    <s v=""/>
    <s v=""/>
    <s v=""/>
    <s v=""/>
    <s v=""/>
    <s v=""/>
    <s v=""/>
    <s v=""/>
    <s v=""/>
    <s v="['24&amp;rsquor;|0:0|Nicolas Nkoulou', '30&amp;rsquor;|1:0|Christian Bassogog']"/>
    <s v="['45+4&amp;rsquor;|1:2|Luka Jović', '90+3&amp;rsquor;|3:3|Nikola Milenković']"/>
    <s v="['55&amp;rsquor;|1:3|Vincent Aboubakar|for Martin Hongla', '67&amp;rsquor;|3:3|Christian Bassogog|for Karl Toko Ekambi', '67&amp;rsquor;|3:3|Gaël Ondoua|for Pierre Kunde', &quot;81&amp;rsquor;|3:3|Georges-Kévin N'Koudou|for Bryan Mbeumo&quot;, '81&amp;rsquor;|3:3|Samuel Oum Gouet|for Andre-Frank Zambo Anguissa']"/>
    <s v="['56&amp;rsquor;|1:3|Stefan Mitrović|for Strahinja Pavlović', '78&amp;rsquor;|3:3|Marko Grujić|for Sergej Milinković-Savić', '78&amp;rsquor;|3:3|Nemanja Radonjić|for Andrija Živković', '78&amp;rsquor;|3:3|Srđan Babić|for Miloš Veljković', '90+2&amp;rsquor;|3:3|Filip Đuričić|for Filip Kostić']"/>
  </r>
  <r>
    <s v="Korea Republic"/>
    <s v="Ghana"/>
    <n v="2"/>
    <n v="1.8"/>
    <m/>
    <n v="3"/>
    <n v="1.6"/>
    <m/>
    <s v="Paulo Bento"/>
    <s v="Son Heung-min"/>
    <s v="Otto Addo"/>
    <s v="André Ayew"/>
    <n v="43983"/>
    <s v="Education City Stadium, Doha"/>
    <s v="Anthony Taylor (Referee) · Gary Beswick (AR1) · Adam Nunn (AR2) · Kevin Ortega (4th) · Tomasz Kwiatkowski (VAR)"/>
    <x v="5"/>
    <x v="14"/>
    <s v="2–3"/>
    <s v="Anthony Taylor"/>
    <s v=""/>
    <x v="0"/>
    <x v="0"/>
    <s v="Cho Guesung · 58|Cho Guesung · 61"/>
    <s v="Mohammed Salisu · 24|Kudus Mohammed · 34|Kudus Mohammed · 68"/>
    <s v="['58&amp;rsquor;|1:2|Cho Guesung|Assist:|Lee Kangin', '61&amp;rsquor;|2:2|Cho Guesung|Assist:|Kim Jin-su']"/>
    <s v="['24&amp;rsquor;|0:1|Mohammed Salisu', '34&amp;rsquor;|0:2|Kudus Mohammed|Assist:|Jordan Ayew', '68&amp;rsquor;|2:3|Kudus Mohammed|Assist:|Gideon Mensah']"/>
    <s v=""/>
    <s v=""/>
    <s v=""/>
    <s v=""/>
    <s v=""/>
    <s v=""/>
    <s v=""/>
    <s v=""/>
    <s v=""/>
    <s v=""/>
    <s v="Paulo Bento · 90+11"/>
    <s v=""/>
    <s v=""/>
    <s v=""/>
    <s v="['27&amp;rsquor;|0:1|Jung Woo-young', '77&amp;rsquor;|2:3|Kim Young-gwon']"/>
    <s v="['21&amp;rsquor;|0:0|Daniel Amartey', '73&amp;rsquor;|2:3|Tariq Lamptey']"/>
    <s v="['46&amp;rsquor;|0:2|Na Sang-ho|for Jeong Woo-yeong', '57&amp;rsquor;|0:2|Lee Kangin|for Kwon Chang-hoon', '79&amp;rsquor;|2:3|Hwang Ui-jo|for Jung Woo-young', '90+2&amp;rsquor;|2:3|Kwon Kyung-won|for Kim Min-jae']"/>
    <s v="['78&amp;rsquor;|2:3|Daniel Kyereh|for André Ayew', '78&amp;rsquor;|2:3|Denis Odoi|for Tariq Lamptey', '78&amp;rsquor;|2:3|Kamaldeen Sulemana|for Jordan Ayew', '83&amp;rsquor;|2:3|Alexander Djiku|for Kudus Mohammed', '88&amp;rsquor;|2:3|Baba Rahman|for Gideon Mensah']"/>
  </r>
  <r>
    <s v="Brazil"/>
    <s v="Switzerland"/>
    <n v="1"/>
    <n v="1"/>
    <m/>
    <n v="0"/>
    <n v="0.3"/>
    <m/>
    <s v="Tite"/>
    <s v="Thiago Silva"/>
    <s v="Murat Yakin"/>
    <s v="Granit Xhaka"/>
    <n v="43649"/>
    <s v="Stadium 974, Doha"/>
    <s v="Iván Barton (Referee) · David Morán (AR1) · Zachari Zeegelaar (AR2) · Said Martínez (4th) · Drew Fischer (VAR)"/>
    <x v="5"/>
    <x v="14"/>
    <s v="1–0"/>
    <s v="Iván Barton"/>
    <s v=""/>
    <x v="0"/>
    <x v="0"/>
    <s v="Casemiro · 83"/>
    <s v=""/>
    <s v="['83&amp;rsquor;|1:0|Casemiro|Assist:|Rodrygo']"/>
    <s v=""/>
    <s v=""/>
    <s v=""/>
    <s v=""/>
    <s v=""/>
    <s v=""/>
    <s v=""/>
    <s v=""/>
    <s v=""/>
    <s v=""/>
    <s v=""/>
    <s v=""/>
    <s v=""/>
    <s v=""/>
    <s v=""/>
    <s v="['52&amp;rsquor;|0:0|Fred']"/>
    <s v="['50&amp;rsquor;|0:0|Fabian Rieder']"/>
    <s v="['46&amp;rsquor;|0:0|Rodrygo|for Lucas Paquetá', '58&amp;rsquor;|0:0|Bruno Guimarães|for Fred', '73&amp;rsquor;|0:0|Antony|for Raphinha', '73&amp;rsquor;|0:0|Gabriel Jesus|for Richarlison', '86&amp;rsquor;|1:0|Alex Telles|for Alex Sandro']"/>
    <s v="['59&amp;rsquor;|0:0|Edimilson Fernandes|for Ruben Vargas', '59&amp;rsquor;|0:0|Renato Steffen|for Fabian Rieder', '75&amp;rsquor;|0:0|Michel Aebischer|for Djibril Sow', '76&amp;rsquor;|0:0|Haris Seferović|for Breel Embolo', '86&amp;rsquor;|1:0|Fabian Frei|for Silvan Widmer']"/>
  </r>
  <r>
    <s v="Portugal"/>
    <s v="Uruguay"/>
    <n v="2"/>
    <n v="1.3"/>
    <m/>
    <n v="0"/>
    <n v="1.3"/>
    <m/>
    <s v="Fernando Santos"/>
    <s v="Cristiano Ronaldo"/>
    <s v="Diego Alonso"/>
    <s v="Diego Godín"/>
    <n v="88668"/>
    <s v="Lusail Iconic Stadium, Lusail"/>
    <s v="Alireza Faghani (Referee) · Mohammadreza Mansouri (AR1) · Mohammadreza Abolfazli (AR2) · Abdulrahman Ibrahim Al Jassim (4th) · Abdulla Ali Al Marri (VAR)"/>
    <x v="5"/>
    <x v="14"/>
    <s v="2–0"/>
    <s v="Alireza Faghani"/>
    <s v=""/>
    <x v="0"/>
    <x v="0"/>
    <s v="Bruno Fernandes · 54"/>
    <s v=""/>
    <s v="['54&amp;rsquor;|1:0|Bruno Fernandes|Assist:|Raphaël Guerreiro']"/>
    <s v=""/>
    <s v=""/>
    <s v=""/>
    <s v="Bruno Fernandes (P) · 90+3"/>
    <s v=""/>
    <s v=""/>
    <s v=""/>
    <s v=""/>
    <s v=""/>
    <s v=""/>
    <s v=""/>
    <s v=""/>
    <s v=""/>
    <s v=""/>
    <s v=""/>
    <s v="['38&amp;rsquor;|0:0|Rúben Neves', '77&amp;rsquor;|1:0|João Félix', '89&amp;rsquor;|1:0|Rúben Dias']"/>
    <s v="['6&amp;rsquor;|0:0|Rodrigo Bentancur', '44&amp;rsquor;|0:0|Mathías Olivera']"/>
    <s v="['42&amp;rsquor;|0:0|Raphaël Guerreiro|for Nuno Mendes', '69&amp;rsquor;|1:0|Rafael Leão|for Rúben Neves', '82&amp;rsquor;|1:0|Matheus Nunes|for João Félix', '82&amp;rsquor;|1:0|Gonçalo Ramos|for Cristiano Ronaldo', '82&amp;rsquor;|1:0|João Palhinha|for William Carvalho']"/>
    <s v="['62&amp;rsquor;|1:0|Giorgian De Arrascaeta|for Matías Vecino', '62&amp;rsquor;|1:0|Facundo Pellistri|for Diego Godín', '72&amp;rsquor;|1:0|Maxi Gómez|for Darwin Núñez', '73&amp;rsquor;|1:0|Luis Suárez|for Edinson Cavani', '86&amp;rsquor;|1:0|Matías Viña|for Mathías Olivera']"/>
  </r>
  <r>
    <s v="Japan"/>
    <s v="Costa Rica"/>
    <n v="0"/>
    <n v="0.9"/>
    <m/>
    <n v="1"/>
    <n v="0.1"/>
    <m/>
    <s v="Hajime Moriyasu"/>
    <s v="Maya Yoshida"/>
    <s v="Luis Fernando Suárez"/>
    <s v="Keylor Navas"/>
    <n v="41479"/>
    <s v="Ahmed bin Ali Stadium, Umm al-Afā'ī"/>
    <s v="Michael Oliver (Referee) · Stuart Burt (AR1) · Simon Bennett (AR2) · Maguette Ndiaye (4th) · Jérôme Brisard (VAR)"/>
    <x v="5"/>
    <x v="15"/>
    <s v="0–1"/>
    <s v="Michael Oliver"/>
    <s v=""/>
    <x v="0"/>
    <x v="0"/>
    <s v=""/>
    <s v="Keysher Fuller · 81"/>
    <s v=""/>
    <s v="['81&amp;rsquor;|0:1|Keysher Fuller|Assist:|Yeltsin Tejeda']"/>
    <s v=""/>
    <s v=""/>
    <s v=""/>
    <s v=""/>
    <s v=""/>
    <s v=""/>
    <s v=""/>
    <s v=""/>
    <s v=""/>
    <s v=""/>
    <s v=""/>
    <s v=""/>
    <s v=""/>
    <s v=""/>
    <s v="['44&amp;rsquor;|0:0|Miki Yamane', '84&amp;rsquor;|0:1|Ko Itakura', '90+3&amp;rsquor;|0:1|Wataru Endo']"/>
    <s v="['41&amp;rsquor;|0:0|Anthony Contreras', '62&amp;rsquor;|0:0|Celso Borges', '70&amp;rsquor;|0:0|Francisco Calvo']"/>
    <s v="['46&amp;rsquor;|0:0|Takuma Asano|for Ayase Ueda', '46&amp;rsquor;|0:0|Hiroki Ito|for Yuto Nagatomo', '62&amp;rsquor;|0:0|Kaoru Mitoma|for Miki Yamane', '67&amp;rsquor;|0:0|Junya Ito|for Ritsu Doan', '82&amp;rsquor;|0:1|Takumi Minamino|for Yuki Soma']"/>
    <s v="['65&amp;rsquor;|0:0|Jewison Bennette|for Anthony Contreras', '65&amp;rsquor;|0:0|Brandon Aguilera|for Gerson Torres', '89&amp;rsquor;|0:1|Youstin Salas|for Celso Borges', '90+5&amp;rsquor;|0:1|Daniel Chacón|for Joel Campbell']"/>
  </r>
  <r>
    <s v="Belgium"/>
    <s v="Morocco"/>
    <n v="0"/>
    <n v="1"/>
    <m/>
    <n v="2"/>
    <n v="1.5"/>
    <m/>
    <s v="Roberto Martínez"/>
    <s v="Eden Hazard"/>
    <s v="Hoalid Regragui"/>
    <s v="Romain Saïss"/>
    <n v="43738"/>
    <s v="Al Thumama Stadium, ath-Thumāma"/>
    <s v="César Arturo Ramos (Referee) · Alberto Morín (AR1) · Miguel Ángel Hernández (AR2) · Yoshimi Yamashita (4th) · Fernando Guerrero (VAR)"/>
    <x v="5"/>
    <x v="15"/>
    <s v="0–2"/>
    <s v="César Arturo Ramos"/>
    <s v=""/>
    <x v="0"/>
    <x v="0"/>
    <s v=""/>
    <s v="Romain Saïss · 73|Zakaria Aboukhlal · 90+2"/>
    <s v=""/>
    <s v="['73&amp;rsquor;|0:1|Romain Saïss|Assist:|Abdelhamid Sabiri', '90+2&amp;rsquor;|0:2|Zakaria Aboukhlal|Assist:|Hakim Ziyech']"/>
    <s v=""/>
    <s v=""/>
    <s v=""/>
    <s v=""/>
    <s v=""/>
    <s v=""/>
    <s v=""/>
    <s v=""/>
    <s v=""/>
    <s v=""/>
    <s v=""/>
    <s v=""/>
    <s v=""/>
    <s v=""/>
    <s v="['28&amp;rsquor;|0:0|Amadou Onana']"/>
    <s v="['90+5&amp;rsquor;|0:2|Abdelhamid Sabiri']"/>
    <s v="['60&amp;rsquor;|0:0|Youri Tielemans|for Amadou Onana', '60&amp;rsquor;|0:0|Dries Mertens|for Eden Hazard', '75&amp;rsquor;|0:1|Leandro Trossard|for Michy Batshuayi', '75&amp;rsquor;|0:1|Charles De Ketelaere|for Thorgan Hazard', '81&amp;rsquor;|0:1|Romelu Lukaku|for Thomas Meunier']"/>
    <s v="['67&amp;rsquor;|0:0|Abdelhamid Sabiri|for Selim Amallah', '68&amp;rsquor;|0:0|Yahya Attiat Allah|for Achraf Hakimi', '73&amp;rsquor;|0:1|Abderrazak Hamdallah|for Youssef En-Nesyri', '73&amp;rsquor;|0:1|Zakaria Aboukhlal|for Sofiane Boufal', '78&amp;rsquor;|0:1|Jawad El Yamiq|for Azzedine Ounahi']"/>
  </r>
  <r>
    <s v="Croatia"/>
    <s v="Canada"/>
    <n v="4"/>
    <n v="2.6"/>
    <m/>
    <n v="1"/>
    <n v="0.4"/>
    <m/>
    <s v="Zlatko Dalić"/>
    <s v="Luka Modrić"/>
    <s v="John Herdman"/>
    <s v="Atiba Hutchinson"/>
    <n v="44374"/>
    <s v="Khalifa International Stadium, Doha"/>
    <s v="Andrés Matonte (Referee) · Nicolás Tarán (AR1) · Martín Soppi (AR2) · Kevin Ortega (4th) · Mauro Vigliano (VAR)"/>
    <x v="5"/>
    <x v="15"/>
    <s v="4–1"/>
    <s v="Andrés Matonte"/>
    <s v=""/>
    <x v="0"/>
    <x v="0"/>
    <s v="Andrej Kramarić · 36|Marko Livaja · 44|Andrej Kramarić · 70|Lovro Majer · 90+4"/>
    <s v="Alphonso Davies · 2"/>
    <s v="['36&amp;rsquor;|1:1|Andrej Kramarić|Assist:|Ivan Perišić', '44&amp;rsquor;|2:1|Marko Livaja|Assist:|Josip Juranović', '70&amp;rsquor;|3:1|Andrej Kramarić|Assist:|Ivan Perišić', '90+4&amp;rsquor;|4:1|Lovro Majer|Assist:|Mislav Oršić']"/>
    <s v="['2&amp;rsquor;|0:1|Alphonso Davies|Assist:|Tajon Buchanan']"/>
    <s v=""/>
    <s v=""/>
    <s v=""/>
    <s v=""/>
    <s v=""/>
    <s v=""/>
    <s v=""/>
    <s v=""/>
    <s v=""/>
    <s v=""/>
    <s v=""/>
    <s v=""/>
    <s v=""/>
    <s v=""/>
    <s v="['56&amp;rsquor;|2:1|Dejan Lovren', '85&amp;rsquor;|3:1|Luka Modrić']"/>
    <s v="['52&amp;rsquor;|2:1|Tajon Buchanan', '85&amp;rsquor;|3:1|Kamal Miller']"/>
    <s v="['60&amp;rsquor;|2:1|Bruno Petković|for Marko Livaja', '73&amp;rsquor;|3:1|Nikola Vlašić|for Andrej Kramarić', '86&amp;rsquor;|3:1|Mislav Oršić|for Ivan Perišić', '86&amp;rsquor;|3:1|Lovro Majer|for Luka Modrić', '86&amp;rsquor;|3:1|Mario Pašalić|for Mateo Kovačić']"/>
    <s v="['46&amp;rsquor;|2:1|Ismaël Koné|for Stephen Eustáquio', '46&amp;rsquor;|2:1|Jonathan Osorio|for Cyle Larin', '62&amp;rsquor;|2:1|Junior Hoilett|for Richie Laryea', '72&amp;rsquor;|3:1|Lucas Cavallini|for Jonathan David', '72&amp;rsquor;|3:1|Sam Adekugbe|for Atiba Hutchinson']"/>
  </r>
  <r>
    <s v="Spain"/>
    <s v="Germany"/>
    <n v="1"/>
    <n v="0.6"/>
    <m/>
    <n v="1"/>
    <n v="1.3"/>
    <m/>
    <s v="Luis Enrique"/>
    <s v="Sergio Busquets"/>
    <s v="Hansi Flick"/>
    <s v="Manuel Neuer"/>
    <n v="68895"/>
    <s v="Al Bayt Stadium, Al Khor"/>
    <s v="Danny Makkelie (Referee) · Hessel Steegstra (AR1) · Jan de Vries (AR2) · István Kovács (4th) · Pol van Boekel (VAR)"/>
    <x v="5"/>
    <x v="15"/>
    <s v="1–1"/>
    <s v="Danny Makkelie"/>
    <s v=""/>
    <x v="0"/>
    <x v="0"/>
    <s v="Álvaro Morata · 62"/>
    <s v="Niclas Füllkrug · 83"/>
    <s v="['62&amp;rsquor;|1:0|Álvaro Morata|Assist:|Jordi Alba']"/>
    <s v="['83&amp;rsquor;|1:1|Niclas Füllkrug|Assist:|Jamal Musiala']"/>
    <s v=""/>
    <s v=""/>
    <s v=""/>
    <s v=""/>
    <s v=""/>
    <s v=""/>
    <s v=""/>
    <s v=""/>
    <s v=""/>
    <s v=""/>
    <s v=""/>
    <s v=""/>
    <s v=""/>
    <s v=""/>
    <s v="['44&amp;rsquor;|0:0|Sergio Busquets']"/>
    <s v="['37&amp;rsquor;|0:0|Thilo Kehrer', '58&amp;rsquor;|0:0|Leon Goretzka', '60&amp;rsquor;|0:0|Joshua Kimmich']"/>
    <s v="['54&amp;rsquor;|0:0|Álvaro Morata|for Ferrán Torres', '66&amp;rsquor;|1:0|Koke|for Marco Asensio', '66&amp;rsquor;|1:0|Nico Williams|for Gavi', '82&amp;rsquor;|1:0|Alejandro Balde|for Jordi Alba']"/>
    <s v="['70&amp;rsquor;|1:0|Lukas Klostermann|for Thilo Kehrer', '70&amp;rsquor;|1:0|Niclas Füllkrug|for Thomas Müller', '70&amp;rsquor;|1:0|Leroy Sané|for İlkay Gündoğan', '85&amp;rsquor;|1:1|Jonas Hofmann|for Serge Gnabry', '87&amp;rsquor;|1:1|Nico Schlotterbeck|for David Raum']"/>
  </r>
  <r>
    <s v="Tunisia"/>
    <s v="Australia"/>
    <n v="0"/>
    <n v="0.9"/>
    <m/>
    <n v="1"/>
    <n v="0.6"/>
    <m/>
    <s v="Jalel Kadri"/>
    <s v="Youssef Msakni"/>
    <s v="Graham Arnold"/>
    <s v="Mathew Ryan"/>
    <n v="41823"/>
    <s v="Al Janoub Stadium, Al Wakrah"/>
    <s v="Daniel Siebert (Referee) · Rafael Foltyn (AR1) · Jan Seidel (AR2) · Said Martínez (4th) · Bastian Dankert (VAR)"/>
    <x v="5"/>
    <x v="16"/>
    <s v="0–1"/>
    <s v="Daniel Siebert"/>
    <s v=""/>
    <x v="0"/>
    <x v="0"/>
    <s v=""/>
    <s v="Mitchell Duke · 23"/>
    <s v=""/>
    <s v="['23&amp;rsquor;|0:1|Mitchell Duke|Assist:|Craig Goodwin']"/>
    <s v=""/>
    <s v=""/>
    <s v=""/>
    <s v=""/>
    <s v=""/>
    <s v=""/>
    <s v=""/>
    <s v=""/>
    <s v=""/>
    <s v=""/>
    <s v=""/>
    <s v=""/>
    <s v=""/>
    <s v=""/>
    <s v="['26&amp;rsquor;|0:1|Aïssa Laïdouni', '65&amp;rsquor;|0:1|Ali Abdi', '90+3&amp;rsquor;|0:1|Ferjani Sassi']"/>
    <s v=""/>
    <s v="['46&amp;rsquor;|0:1|Ferjani Sassi|for Mohamed Dräger', '67&amp;rsquor;|0:1|Wahbi Khazri|for Aïssa Laïdouni', '73&amp;rsquor;|0:1|Wajdi Kechrida|for Dylan Bronn', '73&amp;rsquor;|0:1|Taha Yassine Khenissi|for Issam Jebali']"/>
    <s v="['64&amp;rsquor;|0:1|Ajdin Hrustic|for Riley McGree', '64&amp;rsquor;|0:1|Jamie Maclaren|for Mitchell Duke', '75&amp;rsquor;|0:1|Miloš Degenek|for Fran Karačić', '85&amp;rsquor;|0:1|Awer Mabil|for Craig Goodwin', '85&amp;rsquor;|0:1|Keanu Baccus|for Mathew Leckie']"/>
  </r>
  <r>
    <s v="Poland"/>
    <s v="Saudi Arabia"/>
    <n v="2"/>
    <n v="1.6"/>
    <m/>
    <n v="0"/>
    <n v="1.7"/>
    <m/>
    <s v="Czesław Michniewicz"/>
    <s v="Robert Lewandowski"/>
    <s v="Hervé Renard"/>
    <s v="Salem Al-Dawsari"/>
    <n v="44259"/>
    <s v="Education City Stadium, Doha"/>
    <s v="Wilton Sampaio (Referee) · Bruno Boschilia (AR1) · Bruno Pires (AR2) · Kevin Ortega (4th) · Drew Fischer (VAR)"/>
    <x v="5"/>
    <x v="16"/>
    <s v="2–0"/>
    <s v="Wilton Sampaio"/>
    <s v=""/>
    <x v="0"/>
    <x v="0"/>
    <s v="Piotr Zieliński · 39|Robert Lewandowski · 82"/>
    <s v=""/>
    <s v="['39&amp;rsquor;|1:0|Piotr Zieliński|Assist:|Robert Lewandowski', '82&amp;rsquor;|2:0|Robert Lewandowski']"/>
    <s v=""/>
    <s v=""/>
    <s v=""/>
    <s v=""/>
    <s v=""/>
    <s v=""/>
    <s v="['45+1&amp;rsquor;|1:0|Salem Al-Dawsari|Penalty saved by Wojciech Szczęsny']"/>
    <s v=""/>
    <s v=""/>
    <s v=""/>
    <s v=""/>
    <s v=""/>
    <s v=""/>
    <s v=""/>
    <s v=""/>
    <s v="['15&amp;rsquor;|0:0|Jakub Kiwior', '16&amp;rsquor;|0:0|Matty Cash', '19&amp;rsquor;|0:0|Arkadiusz Milik']"/>
    <s v="['20&amp;rsquor;|0:0|Abdulellah Al-Malki', '45+4&amp;rsquor;|1:0|Abdulelah Al-Amri']"/>
    <s v="['63&amp;rsquor;|1:0|Jakub Kamiński|for Piotr Zieliński', '71&amp;rsquor;|1:0|Krzysztof Piątek|for Arkadiusz Milik']"/>
    <s v="['46&amp;rsquor;|1:0|Nawaf Al Abed|for Sami Al-Najei', '65&amp;rsquor;|1:0|Sultan Al-Ghanam|for Mohammed Al-Breik', '85&amp;rsquor;|2:0|Abdulrahman Al-Aboud|for Abdulellah Al-Malki', '86&amp;rsquor;|2:0|Nasser Al-Dawsari|for Saleh Al-Shehri', '90+5&amp;rsquor;|2:0|Hattan Bahebri|for Nawaf Al Abed']"/>
  </r>
  <r>
    <s v="France"/>
    <s v="Denmark"/>
    <n v="2"/>
    <n v="2.4"/>
    <m/>
    <n v="1"/>
    <n v="0.6"/>
    <m/>
    <s v="Didier Deschamps"/>
    <s v="Hugo Lloris"/>
    <s v="Kasper Hjulmand"/>
    <s v="Kasper Schmeichel"/>
    <n v="42860"/>
    <s v="Stadium 974, Doha"/>
    <s v="Szymon Marciniak (Referee) · Paweł Sokolnicki (AR1) · Tomasz Listkiewicz (AR2) · Ma Ning (4th) · Tomasz Kwiatkowski (VAR)"/>
    <x v="5"/>
    <x v="16"/>
    <s v="2–1"/>
    <s v="Szymon Marciniak"/>
    <s v=""/>
    <x v="0"/>
    <x v="0"/>
    <s v="Kylian Mbappé · 61|Kylian Mbappé · 86"/>
    <s v="Andreas Christensen · 68"/>
    <s v="['61&amp;rsquor;|1:0|Kylian Mbappé|Assist:|Theo Hernández', '86&amp;rsquor;|2:1|Kylian Mbappé|Assist:|Antoine Griezmann']"/>
    <s v="['68&amp;rsquor;|1:1|Andreas Christensen|Assist:|Joachim Andersen']"/>
    <s v=""/>
    <s v=""/>
    <s v=""/>
    <s v=""/>
    <s v=""/>
    <s v=""/>
    <s v=""/>
    <s v=""/>
    <s v=""/>
    <s v=""/>
    <s v=""/>
    <s v=""/>
    <s v=""/>
    <s v=""/>
    <s v="['43&amp;rsquor;|0:0|Jules Koundé']"/>
    <s v="['20&amp;rsquor;|0:0|Andreas Christensen', '23&amp;rsquor;|0:0|Andreas Cornelius']"/>
    <s v="['63&amp;rsquor;|1:0|Marcus Thuram|for Olivier Giroud', '75&amp;rsquor;|1:1|Ibrahima Konaté|for Raphaël Varane', '75&amp;rsquor;|1:1|Kingsley Coman|for Ousmane Dembélé', '90+3&amp;rsquor;|2:1|Youssouf Fofana|for Antoine Griezmann']"/>
    <s v="['46&amp;rsquor;|0:0|Martin Braithwaite|for Andreas Cornelius', '73&amp;rsquor;|1:1|Kasper Dolberg|for Mikkel Damsgaard', '85&amp;rsquor;|1:1|Christian Nørgaard|for Jesper Lindstrøm', '90+2&amp;rsquor;|2:1|Alexander Bah|for Rasmus Nissen']"/>
  </r>
  <r>
    <s v="Argentina"/>
    <s v="Mexico"/>
    <n v="2"/>
    <n v="0.3"/>
    <m/>
    <n v="0"/>
    <n v="0.3"/>
    <m/>
    <s v="Lionel Scaloni"/>
    <s v="Lionel Messi"/>
    <s v="Tata Martino"/>
    <s v="Andrés Guardado"/>
    <n v="88966"/>
    <s v="Lusail Iconic Stadium, Lusail"/>
    <s v="Daniele Orsato (Referee) · Ciro Carbone (AR1) · Alessandro Giallatini (AR2) · István Kovács (4th) · Massimiliano Irrati (VAR)"/>
    <x v="5"/>
    <x v="16"/>
    <s v="2–0"/>
    <s v="Daniele Orsato"/>
    <s v=""/>
    <x v="0"/>
    <x v="0"/>
    <s v="Lionel Messi · 64|Enzo Fernández · 87"/>
    <s v=""/>
    <s v="['64&amp;rsquor;|1:0|Lionel Messi|Assist:|Ángel Di María', '87&amp;rsquor;|2:0|Enzo Fernández|Assist:|Lionel Messi']"/>
    <s v=""/>
    <s v=""/>
    <s v=""/>
    <s v=""/>
    <s v=""/>
    <s v=""/>
    <s v=""/>
    <s v=""/>
    <s v=""/>
    <s v=""/>
    <s v=""/>
    <s v=""/>
    <s v=""/>
    <s v=""/>
    <s v=""/>
    <s v="['43&amp;rsquor;|0:0|Gonzalo Montiel']"/>
    <s v="['22&amp;rsquor;|0:0|Néstor Araujo', '50&amp;rsquor;|0:0|Erick Gutiérrez', '66&amp;rsquor;|1:0|Héctor Herrera', '89&amp;rsquor;|2:0|Roberto Alvarado']"/>
    <s v="['57&amp;rsquor;|0:0|Enzo Fernández|for Guido Rodríguez', '63&amp;rsquor;|0:0|Julián Álvarez|for Lautaro Martínez', '63&amp;rsquor;|0:0|Nahuel Molina|for Gonzalo Montiel', '69&amp;rsquor;|1:0|Exequiel Palacios|for Alexis Mac Allister', '69&amp;rsquor;|1:0|Cristian Romero|for Ángel Di María']"/>
    <s v="['42&amp;rsquor;|0:0|Erick Gutiérrez|for Andrés Guardado', '66&amp;rsquor;|1:0|Uriel Antuna|for Alexis Vega', '66&amp;rsquor;|1:0|Raúl Jiménez|for Kevin Álvarez', '73&amp;rsquor;|1:0|Roberto Alvarado|for Hirving Lozano']"/>
  </r>
  <r>
    <s v="Wales"/>
    <s v="IR Iran"/>
    <n v="0"/>
    <n v="0.9"/>
    <m/>
    <n v="2"/>
    <n v="1.4"/>
    <m/>
    <s v="Rob Page"/>
    <s v="Gareth Bale"/>
    <s v="Carlos Queiroz"/>
    <s v="Ehsan Hajsafi"/>
    <n v="40875"/>
    <s v="Ahmed bin Ali Stadium, Umm al-Afā'ī"/>
    <s v="Mario Escobar (Referee) · Caleb Wales (AR1) · Juan Carlos Mora (AR2) · Maguette Ndiaye (4th) · Drew Fischer (VAR)"/>
    <x v="5"/>
    <x v="17"/>
    <s v="0–2"/>
    <s v="Mario Escobar"/>
    <s v=""/>
    <x v="0"/>
    <x v="0"/>
    <s v=""/>
    <s v="Roozbeh Cheshmi · 90+9|Ramin Rezaeian · 90+11"/>
    <s v=""/>
    <s v="['90+9&amp;rsquor;|0:1|Roozbeh Cheshmi', '90+11&amp;rsquor;|0:2|Ramin Rezaeian|Assist:|Mehdi Taremi']"/>
    <s v=""/>
    <s v=""/>
    <s v=""/>
    <s v=""/>
    <s v=""/>
    <s v=""/>
    <s v=""/>
    <s v=""/>
    <s v=""/>
    <s v=""/>
    <s v="Wayne Hennessey · 86"/>
    <s v=""/>
    <s v=""/>
    <s v=""/>
    <s v="['45+3&amp;rsquor;|0:0|Joe Rodon']"/>
    <s v="['90+5&amp;rsquor;|0:0|Ramin Rezaeian', '90+5&amp;rsquor;|0:0|Alireza Jahanbakhsh']"/>
    <s v="['57&amp;rsquor;|0:0|Brennan Johnson|for Connor Roberts', '58&amp;rsquor;|0:0|Daniel James|for Harry Wilson', '77&amp;rsquor;|0:0|Joe Allen|for Ethan Ampadu', '87&amp;rsquor;|0:0|Danny Ward|for Aaron Ramsey']"/>
    <s v="['68&amp;rsquor;|0:0|Karim Ansarifard|for Sardar Azmoun', '77&amp;rsquor;|0:0|Alireza Jahanbakhsh|for Ali Gholizadeh', '77&amp;rsquor;|0:0|Mehdi Torabi|for Ehsan Hajsafi', '78&amp;rsquor;|0:0|Roozbeh Cheshmi|for Ahmad Nourollahi', '83&amp;rsquor;|0:0|Ali Karimi|for Saeid Ezatolahi']"/>
  </r>
  <r>
    <s v="Qatar"/>
    <s v="Senegal"/>
    <n v="1"/>
    <n v="1"/>
    <m/>
    <n v="3"/>
    <n v="0.8"/>
    <m/>
    <s v="Félix Sánchez"/>
    <s v="Hassan Al-Haydos"/>
    <s v="Aliou Cissé"/>
    <s v="Kalidou Koulibaly"/>
    <n v="41797"/>
    <s v="Al Thumama Stadium, ath-Thumāma"/>
    <s v="Antonio Matéu (Referee) · Pau Cebrián (AR1) · Roberto Díaz (AR2) · Kevin Ortega (4th) · Alejandro Hernández (VAR)"/>
    <x v="5"/>
    <x v="17"/>
    <s v="1–3"/>
    <s v="Antonio Matéu"/>
    <s v=""/>
    <x v="0"/>
    <x v="0"/>
    <s v="Mohammed Muntari · 78"/>
    <s v="Boulaye Dia · 41|Famara Diedhiou · 48|Bamba Dieng · 84"/>
    <s v="['78&amp;rsquor;|1:2|Mohammed Muntari|Assist:|Ismail Mohamad']"/>
    <s v="['41&amp;rsquor;|0:1|Boulaye Dia', '48&amp;rsquor;|0:2|Famara Diedhiou|Assist:|Ismail Jakobs', '84&amp;rsquor;|1:3|Bamba Dieng|Assist:|Iliman Ndiaye']"/>
    <s v=""/>
    <s v=""/>
    <s v=""/>
    <s v=""/>
    <s v=""/>
    <s v=""/>
    <s v=""/>
    <s v=""/>
    <s v=""/>
    <s v=""/>
    <s v=""/>
    <s v=""/>
    <s v=""/>
    <s v=""/>
    <s v="['20&amp;rsquor;|0:0|Ismail Mohamad', '45+2&amp;rsquor;|0:1|Homam Ahmed', '90+1&amp;rsquor;|1:3|Assim Madibo']"/>
    <s v="['30&amp;rsquor;|0:0|Boulaye Dia', '52&amp;rsquor;|0:2|Ismail Jakobs', '87&amp;rsquor;|1:3|Pathé Ciss']"/>
    <s v="['69&amp;rsquor;|0:2|Abdulaziz Hatem|for Karim Boudiaf', '74&amp;rsquor;|0:2|Mohammed Muntari|for Hassan Al-Haydos', '83&amp;rsquor;|1:2|Mohammed Waad|for Homam Ahmed', '83&amp;rsquor;|1:2|Tarek Salman|for Ró-Ró']"/>
    <s v="['64&amp;rsquor;|0:2|Pathé Ciss|for Krépin Diatta', '74&amp;rsquor;|0:2|Bamba Dieng|for Famara Diedhiou', '75&amp;rsquor;|0:2|Iliman Ndiaye|for Ismaila Sarr', '77&amp;rsquor;|0:2|Pape Abou Cissé|for Ismail Jakobs', '77&amp;rsquor;|0:2|Pape Matar Sarr|for Nampalys Mendy']"/>
  </r>
  <r>
    <s v="Netherlands"/>
    <s v="Ecuador"/>
    <n v="1"/>
    <n v="0.1"/>
    <m/>
    <n v="1"/>
    <n v="1.7"/>
    <m/>
    <s v="Louis van Gaal"/>
    <s v="Virgil van Dijk"/>
    <s v="Gustavo Alfaro"/>
    <s v="Enner Valencia"/>
    <n v="44833"/>
    <s v="Khalifa International Stadium, Doha"/>
    <s v="Mustapha Ghorbal (Referee) · Mokrane Gourari (AR1) · Abdelhak Etchiali (AR2) · Said Martínez (4th) · Shaun Evans (VAR)"/>
    <x v="5"/>
    <x v="17"/>
    <s v="1–1"/>
    <s v="Mustapha Ghorbal"/>
    <s v=""/>
    <x v="0"/>
    <x v="0"/>
    <s v="Cody Gakpo · 6"/>
    <s v="Enner Valencia · 49"/>
    <s v="['6&amp;rsquor;|1:0|Cody Gakpo|Assist:|Davy Klaassen']"/>
    <s v="['49&amp;rsquor;|1:1|Enner Valencia']"/>
    <s v=""/>
    <s v=""/>
    <s v=""/>
    <s v=""/>
    <s v=""/>
    <s v=""/>
    <s v=""/>
    <s v=""/>
    <s v=""/>
    <s v=""/>
    <s v=""/>
    <s v=""/>
    <s v=""/>
    <s v=""/>
    <s v=""/>
    <s v="['57&amp;rsquor;|1:1|Jhegson Méndez']"/>
    <s v="['46&amp;rsquor;|1:0|Memphis|for Steven Bergwijn', '69&amp;rsquor;|1:1|Steven Berghuis|for Davy Klaassen', '79&amp;rsquor;|1:1|Marten de Roon|for Teun Koopmeiners', '80&amp;rsquor;|1:1|Wout Weghorst|for Cody Gakpo']"/>
    <s v="['74&amp;rsquor;|1:1|Jeremy Sarmiento|for Michael Estrada', '90&amp;rsquor;|1:1|Kevin Rodríguez|for Enner Valencia', '90&amp;rsquor;|1:1|Romario Ibarra|for Gonzalo Plata']"/>
  </r>
  <r>
    <s v="England"/>
    <s v="United States"/>
    <n v="0"/>
    <n v="0.8"/>
    <m/>
    <n v="0"/>
    <n v="0.6"/>
    <m/>
    <s v="Gareth Southgate"/>
    <s v="Harry Kane"/>
    <s v="Gregg Berhalter"/>
    <s v="Tyler Adams"/>
    <n v="68463"/>
    <s v="Al Bayt Stadium, Al Khor"/>
    <s v="Jesús Valenzuela (Referee) · Jorge Urrego (AR1) · Tulio Moreno (AR2) · Yoshimi Yamashita (4th) · Juan Soto (VAR)"/>
    <x v="5"/>
    <x v="17"/>
    <s v="0–0"/>
    <s v="Jesús Valenzuela"/>
    <s v=""/>
    <x v="0"/>
    <x v="0"/>
    <s v=""/>
    <s v=""/>
    <s v=""/>
    <s v=""/>
    <s v=""/>
    <s v=""/>
    <s v=""/>
    <s v=""/>
    <s v=""/>
    <s v=""/>
    <s v=""/>
    <s v=""/>
    <s v=""/>
    <s v=""/>
    <s v=""/>
    <s v=""/>
    <s v=""/>
    <s v=""/>
    <s v=""/>
    <s v=""/>
    <s v="['68&amp;rsquor;|0:0|Jack Grealish|for Raheem Sterling', '69&amp;rsquor;|0:0|Jordan Henderson|for Jude Bellingham', '78&amp;rsquor;|0:0|Marcus Rashford|for Bukayo Saka']"/>
    <s v="['77&amp;rsquor;|0:0|Brenden Aaronson|for Weston McKennie', '78&amp;rsquor;|0:0|Shaquell Moore|for Sergiño Dest', '83&amp;rsquor;|0:0|Gio Reyna|for Timothy Weah', '83&amp;rsquor;|0:0|Josh Sargent|for Haji Wright']"/>
  </r>
  <r>
    <s v="Switzerland"/>
    <s v="Cameroon"/>
    <n v="1"/>
    <n v="1.4"/>
    <m/>
    <n v="0"/>
    <n v="0.7"/>
    <m/>
    <s v="Murat Yakin"/>
    <s v="Granit Xhaka"/>
    <s v="Rigobert Song"/>
    <s v="Eric Maxim Choupo-Moting"/>
    <n v="39089"/>
    <s v="Al Janoub Stadium, Al Wakrah"/>
    <s v="Facundo Tello (Referee) · Ezequiel Brailovsky (AR1) · Gabriel Chade (AR2) · Said Martínez (4th) · Mauro Vigliano (VAR)"/>
    <x v="5"/>
    <x v="18"/>
    <s v="1–0"/>
    <s v="Facundo Tello"/>
    <s v=""/>
    <x v="0"/>
    <x v="0"/>
    <s v="Breel Embolo · 48"/>
    <s v=""/>
    <s v="['48&amp;rsquor;|1:0|Breel Embolo|Assist:|Xherdan Shaqiri']"/>
    <s v=""/>
    <s v=""/>
    <s v=""/>
    <s v=""/>
    <s v=""/>
    <s v=""/>
    <s v=""/>
    <s v=""/>
    <s v=""/>
    <s v=""/>
    <s v=""/>
    <s v=""/>
    <s v=""/>
    <s v=""/>
    <s v=""/>
    <s v="['64&amp;rsquor;|1:0|Nico Elvedi', '83&amp;rsquor;|1:0|Manuel Akanji']"/>
    <s v="['36&amp;rsquor;|0:0|Collins Fai']"/>
    <s v="['71&amp;rsquor;|1:0|Fabian Frei|for Djibril Sow', '72&amp;rsquor;|1:0|Noah Okafor|for Xherdan Shaqiri', '72&amp;rsquor;|1:0|Haris Seferović|for Breel Embolo', '81&amp;rsquor;|1:0|Fabian Rieder|for Ruben Vargas', '90&amp;rsquor;|1:0|Eray Cömert|for Ricardo Rodríguez']"/>
    <s v="['68&amp;rsquor;|1:0|Gaël Ondoua|for Martin Hongla', '74&amp;rsquor;|1:0|Vincent Aboubakar|for Eric Maxim Choupo-Moting', &quot;74&amp;rsquor;|1:0|Georges-Kévin N'Koudou|for Karl Toko Ekambi&quot;, '81&amp;rsquor;|1:0|Moumi Ngamaleu|for André Onana']"/>
  </r>
  <r>
    <s v="Uruguay"/>
    <s v="Korea Republic"/>
    <n v="0"/>
    <n v="0.6"/>
    <m/>
    <n v="0"/>
    <n v="0.6"/>
    <m/>
    <s v="Diego Alonso"/>
    <s v="Diego Godín"/>
    <s v="Paulo Bento"/>
    <s v="Son Heung-min"/>
    <n v="41663"/>
    <s v="Education City Stadium, Doha"/>
    <s v="Clément Turpin (Referee) · Nicolas Danos (AR1) · Cyril Gringore (AR2) · István Kovács (4th) · Jérôme Brisard (VAR)"/>
    <x v="5"/>
    <x v="18"/>
    <s v="0–0"/>
    <s v="Clément Turpin"/>
    <s v=""/>
    <x v="0"/>
    <x v="0"/>
    <s v=""/>
    <s v=""/>
    <s v=""/>
    <s v=""/>
    <s v=""/>
    <s v=""/>
    <s v=""/>
    <s v=""/>
    <s v=""/>
    <s v=""/>
    <s v=""/>
    <s v=""/>
    <s v=""/>
    <s v=""/>
    <s v=""/>
    <s v=""/>
    <s v=""/>
    <s v=""/>
    <s v="['57&amp;rsquor;|0:0|Martín Cáceres']"/>
    <s v="['88&amp;rsquor;|0:0|Cho Guesung', '90+8&amp;rsquor;|0:0|Paulo Bento']"/>
    <s v="['64&amp;rsquor;|0:0|Edinson Cavani|for Luis Suárez', '78&amp;rsquor;|0:0|Nicolás De La Cruz|for Matías Vecino', '79&amp;rsquor;|0:0|Matías Viña|for Mathías Olivera', '88&amp;rsquor;|0:0|Guillermo Varela|for Facundo Pellistri']"/>
    <s v="['74&amp;rsquor;|0:0|Cho Guesung|for Hwang Ui-jo', '74&amp;rsquor;|0:0|Son Jun-ho|for Lee Jae-sung', '75&amp;rsquor;|0:0|Lee Kangin|for Na Sang-ho']"/>
  </r>
  <r>
    <s v="Portugal"/>
    <s v="Ghana"/>
    <n v="3"/>
    <n v="2"/>
    <m/>
    <n v="2"/>
    <n v="0.9"/>
    <m/>
    <s v="Fernando Santos"/>
    <s v="Cristiano Ronaldo"/>
    <s v="Otto Addo"/>
    <s v="André Ayew"/>
    <n v="42662"/>
    <s v="Stadium 974, Doha"/>
    <s v="Ismail Elfath (Referee) · Kyle Atkins (AR1) · Corey Parker (AR2) · Stéphanie Frappart (4th) · Armando Villarreal (VAR)"/>
    <x v="5"/>
    <x v="18"/>
    <s v="3–2"/>
    <s v="Ismail Elfath"/>
    <s v=""/>
    <x v="0"/>
    <x v="0"/>
    <s v="João Félix · 78|Rafael Leão · 80"/>
    <s v="André Ayew · 73|Osman Bukari · 89"/>
    <s v="['78&amp;rsquor;|2:1|João Félix|Assist:|Bruno Fernandes', '80&amp;rsquor;|3:1|Rafael Leão|Assist:|Bruno Fernandes']"/>
    <s v="['73&amp;rsquor;|1:1|André Ayew', '89&amp;rsquor;|3:2|Osman Bukari']"/>
    <s v=""/>
    <s v=""/>
    <s v="Cristiano Ronaldo (P) · 65"/>
    <s v=""/>
    <s v=""/>
    <s v=""/>
    <s v=""/>
    <s v=""/>
    <s v=""/>
    <s v=""/>
    <s v=""/>
    <s v=""/>
    <s v=""/>
    <s v=""/>
    <s v="['90+1&amp;rsquor;|3:2|Danilo Pereira', '90+5&amp;rsquor;|3:2|Bruno Fernandes']"/>
    <s v="['45&amp;rsquor;|0:0|Kudus Mohammed', '49&amp;rsquor;|0:0|André Ayew', '57&amp;rsquor;|0:0|Alidu Seidu', '90+1&amp;rsquor;|3:2|Daniel Amartey']"/>
    <s v="['56&amp;rsquor;|0:0|William Carvalho|for Otávio', '77&amp;rsquor;|1:1|Rafael Leão|for Rúben Neves', '88&amp;rsquor;|3:1|João Mário|for Cristiano Ronaldo', '88&amp;rsquor;|3:1|Gonçalo Ramos|for João Félix', '88&amp;rsquor;|3:1|João Palhinha|for Bernardo Silva']"/>
    <s v="['66&amp;rsquor;|1:0|Tariq Lamptey|for Alidu Seidu', '77&amp;rsquor;|1:1|Osman Bukari|for Kudus Mohammed', '77&amp;rsquor;|1:1|Jordan Ayew|for André Ayew', '90+2&amp;rsquor;|3:2|Daniel Kyereh|for Salis Abdul Samed', '90+2&amp;rsquor;|3:2|Antoine Semenyo|for Alexander Djiku']"/>
  </r>
  <r>
    <s v="Brazil"/>
    <s v="Serbia"/>
    <n v="2"/>
    <n v="2.4"/>
    <m/>
    <n v="0"/>
    <n v="0.2"/>
    <m/>
    <s v="Tite"/>
    <s v="Thiago Silva"/>
    <s v="Dragan Stojković"/>
    <s v="Dušan Tadić"/>
    <n v="88103"/>
    <s v="Lusail Iconic Stadium, Lusail"/>
    <s v="Alireza Faghani (Referee) · Mohammadreza Mansouri (AR1) · Mohammadreza Abolfazli (AR2) · Maguette Ndiaye (4th) · Abdulla Ali Al Marri (VAR)"/>
    <x v="5"/>
    <x v="18"/>
    <s v="2–0"/>
    <s v="Alireza Faghani"/>
    <s v=""/>
    <x v="0"/>
    <x v="0"/>
    <s v="Richarlison · 62|Richarlison · 73"/>
    <s v=""/>
    <s v="['62&amp;rsquor;|1:0|Richarlison', '73&amp;rsquor;|2:0|Richarlison|Assist:|Vinicius Júnior']"/>
    <s v=""/>
    <s v=""/>
    <s v=""/>
    <s v=""/>
    <s v=""/>
    <s v=""/>
    <s v=""/>
    <s v=""/>
    <s v=""/>
    <s v=""/>
    <s v=""/>
    <s v=""/>
    <s v=""/>
    <s v=""/>
    <s v=""/>
    <s v=""/>
    <s v="['7&amp;rsquor;|0:0|Strahinja Pavlović', '49&amp;rsquor;|0:0|Nemanja Gudelj', '64&amp;rsquor;|1:0|Saša Lukić']"/>
    <s v="['75&amp;rsquor;|2:0|Fred|for Lucas Paquetá', '76&amp;rsquor;|2:0|Rodrygo|for Vinicius Júnior', '79&amp;rsquor;|2:0|Gabriel Jesus|for Richarlison', '80&amp;rsquor;|2:0|Antony|for Neymar', '87&amp;rsquor;|2:0|Martinelli|for Raphinha']"/>
    <s v="['57&amp;rsquor;|0:0|Ivan Ilić|for Nemanja Gudelj', '57&amp;rsquor;|0:0|Nemanja Radonjić|for Andrija Živković', '66&amp;rsquor;|1:0|Darko Lazović|for Saša Lukić', '66&amp;rsquor;|1:0|Dušan Vlahović|for Filip Mladenović', '83&amp;rsquor;|2:0|Nemanja Maksimović|for Aleksandar Mitrović']"/>
  </r>
  <r>
    <s v="Morocco"/>
    <s v="Croatia"/>
    <n v="0"/>
    <n v="0.4"/>
    <m/>
    <n v="0"/>
    <n v="0.5"/>
    <m/>
    <s v="Hoalid Regragui"/>
    <s v="Romain Saïss"/>
    <s v="Zlatko Dalić"/>
    <s v="Luka Modrić"/>
    <n v="59407"/>
    <s v="Al Bayt Stadium, Al Khor"/>
    <s v="Fernando Rapallini (Referee) · Juan Pablo Belatti (AR1) · Diego Bonfá (AR2) · Kevin Ortega (4th) · Julio Bascuñán (VAR)"/>
    <x v="5"/>
    <x v="19"/>
    <s v="0–0"/>
    <s v="Fernando Rapallini"/>
    <s v=""/>
    <x v="0"/>
    <x v="0"/>
    <s v=""/>
    <s v=""/>
    <s v=""/>
    <s v=""/>
    <s v=""/>
    <s v=""/>
    <s v=""/>
    <s v=""/>
    <s v=""/>
    <s v=""/>
    <s v=""/>
    <s v=""/>
    <s v=""/>
    <s v=""/>
    <s v=""/>
    <s v=""/>
    <s v=""/>
    <s v=""/>
    <s v="['78&amp;rsquor;|0:0|Sofyan Amrabat']"/>
    <s v=""/>
    <s v="['60&amp;rsquor;|0:0|Yahya Attiat Allah|for Noussair Mazraoui', '66&amp;rsquor;|0:0|Abdessamad Ezzalzouli|for Sofiane Boufal', '81&amp;rsquor;|0:0|Abderrazak Hamdallah|for Youssef En-Nesyri', '82&amp;rsquor;|0:0|Abdelhamid Sabiri|for Azzedine Ounahi']"/>
    <s v="['46&amp;rsquor;|0:0|Mario Pašalić|for Nikola Vlašić', '71&amp;rsquor;|0:0|Marko Livaja|for Andrej Kramarić', '79&amp;rsquor;|0:0|Lovro Majer|for Mateo Kovačić', '90&amp;rsquor;|0:0|Mislav Oršić|for Ivan Perišić']"/>
  </r>
  <r>
    <s v="Germany"/>
    <s v="Japan"/>
    <n v="1"/>
    <n v="3.1"/>
    <m/>
    <n v="2"/>
    <n v="1.5"/>
    <m/>
    <s v="Hansi Flick"/>
    <s v="Manuel Neuer"/>
    <s v="Hajime Moriyasu"/>
    <s v="Maya Yoshida"/>
    <n v="42608"/>
    <s v="Khalifa International Stadium, Doha"/>
    <s v="Iván Barton (Referee) · David Morán (AR1) · Zachari Zeegelaar (AR2) · Said Martínez (4th) · Mauro Vigliano (VAR)"/>
    <x v="5"/>
    <x v="19"/>
    <s v="1–2"/>
    <s v="Iván Barton"/>
    <s v=""/>
    <x v="0"/>
    <x v="0"/>
    <s v=""/>
    <s v="Ritsu Doan · 75|Takuma Asano · 83"/>
    <s v=""/>
    <s v="['75&amp;rsquor;|1:1|Ritsu Doan', '83&amp;rsquor;|1:2|Takuma Asano|Assist:|Ko Itakura']"/>
    <s v=""/>
    <s v=""/>
    <s v="İlkay Gündoğan (P) · 33"/>
    <s v=""/>
    <s v=""/>
    <s v=""/>
    <s v=""/>
    <s v=""/>
    <s v=""/>
    <s v=""/>
    <s v=""/>
    <s v=""/>
    <s v=""/>
    <s v=""/>
    <s v=""/>
    <s v=""/>
    <s v="['67&amp;rsquor;|1:0|Jonas Hofmann|for Thomas Müller', '67&amp;rsquor;|1:0|Leon Goretzka|for İlkay Gündoğan', '79&amp;rsquor;|1:1|Mario Götze|for Jamal Musiala', '79&amp;rsquor;|1:1|Niclas Füllkrug|for Kai Havertz', '90&amp;rsquor;|1:2|Youssoufa Moukoko|for Serge Gnabry']"/>
    <s v="['46&amp;rsquor;|1:0|Takehiro Tomiyasu|for Takefusa Kubo', '57&amp;rsquor;|1:0|Kaoru Mitoma|for Yuto Nagatomo', '57&amp;rsquor;|1:0|Takuma Asano|for Daizen Maeda', '71&amp;rsquor;|1:0|Ritsu Doan|for Ao Tanaka', '74&amp;rsquor;|1:0|Takumi Minamino|for Hiroki Sakai']"/>
  </r>
  <r>
    <s v="Spain"/>
    <s v="Costa Rica"/>
    <n v="7"/>
    <n v="3.5"/>
    <m/>
    <n v="0"/>
    <n v="0"/>
    <m/>
    <s v="Luis Enrique"/>
    <s v="Sergio Busquets"/>
    <s v="Luis Fernando Suárez"/>
    <s v="Keylor Navas"/>
    <n v="40013"/>
    <s v="Al Thumama Stadium, ath-Thumāma"/>
    <s v="Mohammed Abdulla Hassan (Referee) · Mohamed Ahmed Al Hammadi (AR1) · Hasan Mohamed Suqatari (AR2) · Ma Ning (4th) · Abdulla Ali Al Marri (VAR)"/>
    <x v="5"/>
    <x v="19"/>
    <s v="7–0"/>
    <s v="Mohammed Abdulla Hassan"/>
    <s v=""/>
    <x v="0"/>
    <x v="0"/>
    <s v="Dani Olmo · 11|Marco Asensio · 21|Ferrán Torres · 54|Gavi · 74|Carlos Soler · 90|Álvaro Morata · 90+2"/>
    <s v=""/>
    <s v="['11&amp;rsquor;|1:0|Dani Olmo', '21&amp;rsquor;|2:0|Marco Asensio|Assist:|Jordi Alba', '54&amp;rsquor;|4:0|Ferrán Torres', '74&amp;rsquor;|5:0|Gavi|Assist:|Álvaro Morata', '90&amp;rsquor;|6:0|Carlos Soler', '90+2&amp;rsquor;|7:0|Álvaro Morata|Assist:|Dani Olmo']"/>
    <s v=""/>
    <s v=""/>
    <s v=""/>
    <s v="Ferrán Torres (P) · 31"/>
    <s v=""/>
    <s v=""/>
    <s v=""/>
    <s v=""/>
    <s v=""/>
    <s v=""/>
    <s v=""/>
    <s v=""/>
    <s v=""/>
    <s v=""/>
    <s v=""/>
    <s v=""/>
    <s v="['68&amp;rsquor;|4:0|Francisco Calvo', '90+7&amp;rsquor;|7:0|Joel Campbell']"/>
    <s v="['57&amp;rsquor;|4:0|Álvaro Morata|for Ferrán Torres', '57&amp;rsquor;|4:0|Carlos Soler|for Pedri', '64&amp;rsquor;|4:0|Koke|for Sergio Busquets', '64&amp;rsquor;|4:0|Alejandro Balde|for Jordi Alba', '69&amp;rsquor;|4:0|Nico Williams|for Marco Asensio']"/>
    <s v="['46&amp;rsquor;|3:0|Kendall Waston|for Carlos Martínez', '61&amp;rsquor;|4:0|Álvaro Zamora|for Anthony Contreras', '61&amp;rsquor;|4:0|Bryan Ruiz|for Jewison Bennette', '72&amp;rsquor;|4:0|Brandon Aguilera|for Celso Borges', '82&amp;rsquor;|5:0|Rónald Matarrita|for Bryan Oviedo']"/>
  </r>
  <r>
    <s v="Belgium"/>
    <s v="Canada"/>
    <n v="1"/>
    <n v="0.8"/>
    <m/>
    <n v="0"/>
    <n v="2.4"/>
    <m/>
    <s v="Roberto Martínez"/>
    <s v="Eden Hazard"/>
    <s v="John Herdman"/>
    <s v="Atiba Hutchinson"/>
    <n v="40432"/>
    <s v="Ahmed bin Ali Stadium, Umm al-Afā'ī"/>
    <s v="Janny Sikazwe (Referee) · Jerson dos Santos (AR1) · Arsénio Marengula (AR2) · Yoshimi Yamashita (4th) · Juan Soto (VAR)"/>
    <x v="5"/>
    <x v="19"/>
    <s v="1–0"/>
    <s v="Janny Sikazwe"/>
    <s v=""/>
    <x v="0"/>
    <x v="0"/>
    <s v="Michy Batshuayi · 44"/>
    <s v=""/>
    <s v="['44&amp;rsquor;|1:0|Michy Batshuayi|Assist:|Toby Alderweireld']"/>
    <s v=""/>
    <s v=""/>
    <s v=""/>
    <s v=""/>
    <s v=""/>
    <s v=""/>
    <s v="['10&amp;rsquor;|0:0|Alphonso Davies|Penalty saved by Thibaut Courtois']"/>
    <s v=""/>
    <s v=""/>
    <s v=""/>
    <s v=""/>
    <s v=""/>
    <s v=""/>
    <s v=""/>
    <s v=""/>
    <s v="['9&amp;rsquor;|0:0|Yannick Carrasco', '53&amp;rsquor;|1:0|Thomas Meunier', '56&amp;rsquor;|1:0|Amadou Onana']"/>
    <s v="['81&amp;rsquor;|1:0|Alphonso Davies', '83&amp;rsquor;|1:0|Alistair Johnston']"/>
    <s v="['46&amp;rsquor;|1:0|Amadou Onana|for Youri Tielemans', '46&amp;rsquor;|1:0|Thomas Meunier|for Yannick Carrasco', '62&amp;rsquor;|1:0|Leandro Trossard|for Eden Hazard', '78&amp;rsquor;|1:0|Loïs Openda|for Michy Batshuayi']"/>
    <s v="['58&amp;rsquor;|1:0|Ismaël Koné|for Atiba Hutchinson', '58&amp;rsquor;|1:0|Cyle Larin|for Junior Hoilett', '74&amp;rsquor;|1:0|Sam Adekugbe|for Richie Laryea', '81&amp;rsquor;|1:0|Jonathan Osorio|for Stephen Eustáquio', '81&amp;rsquor;|1:0|Liam Millar|for Tajon Buchanan']"/>
  </r>
  <r>
    <s v="Argentina"/>
    <s v="Saudi Arabia"/>
    <n v="1"/>
    <n v="2.2000000000000002"/>
    <m/>
    <n v="2"/>
    <n v="0.1"/>
    <m/>
    <s v="Lionel Scaloni"/>
    <s v="Lionel Messi"/>
    <s v="Hervé Renard"/>
    <s v="Salman Al-Faraj"/>
    <n v="88012"/>
    <s v="Lusail Iconic Stadium, Lusail"/>
    <s v="Slavko Vinčič (Referee) · Tomaž Klančnik (AR1) · Andraž Kovačič (AR2) · Maguette Ndiaye (4th) · Pol van Boekel (VAR)"/>
    <x v="5"/>
    <x v="20"/>
    <s v="1–2"/>
    <s v="Slavko Vinčič"/>
    <s v=""/>
    <x v="0"/>
    <x v="0"/>
    <s v=""/>
    <s v="Saleh Al-Shehri · 48|Salem Al-Dawsari · 53"/>
    <s v=""/>
    <s v="['48&amp;rsquor;|1:1|Saleh Al-Shehri|Assist:|Firas Al-Buraikan', '53&amp;rsquor;|1:2|Salem Al-Dawsari']"/>
    <s v=""/>
    <s v=""/>
    <s v="Lionel Messi (P) · 10"/>
    <s v=""/>
    <s v=""/>
    <s v=""/>
    <s v=""/>
    <s v=""/>
    <s v=""/>
    <s v=""/>
    <s v=""/>
    <s v=""/>
    <s v=""/>
    <s v=""/>
    <s v=""/>
    <s v="['67&amp;rsquor;|1:2|Abdulellah Al-Malki', '75&amp;rsquor;|1:2|Ali Al-Bulaihi', '79&amp;rsquor;|1:2|Salem Al-Dawsari', '82&amp;rsquor;|1:2|Saud Abdulhamid', '88&amp;rsquor;|1:2|Nawaf Al Abed', '90+2&amp;rsquor;|1:2|Mohammed Al-Owais']"/>
    <s v="['59&amp;rsquor;|1:2|Lisandro Martínez|for Cristian Romero', '59&amp;rsquor;|1:2|Julián Álvarez|for Papu Gómez', '59&amp;rsquor;|1:2|Enzo Fernández|for Leandro Paredes', '71&amp;rsquor;|1:2|Marcos Acuña|for Nicolás Tagliafico']"/>
    <s v="['45+4&amp;rsquor;|1:0|Nawaf Al Abed|for Salman Al-Faraj', '78&amp;rsquor;|1:2|Sultan Al-Ghanam|for Saleh Al-Shehri', '89&amp;rsquor;|1:2|Abdulelah Al-Amri|for Nawaf Al Abed', '89&amp;rsquor;|1:2|Asiri Haitham|for Firas Al-Buraikan', '90+9&amp;rsquor;|1:2|Mohammed Al-Breik|for Yasser Al-Shahrani']"/>
  </r>
  <r>
    <s v="Denmark"/>
    <s v="Tunisia"/>
    <n v="0"/>
    <n v="1.4"/>
    <m/>
    <n v="0"/>
    <n v="0.9"/>
    <m/>
    <s v="Kasper Hjulmand"/>
    <s v="Simon Kjær"/>
    <s v="Jalel Kadri"/>
    <s v="Youssef Msakni"/>
    <n v="42925"/>
    <s v="Education City Stadium, Doha"/>
    <s v="César Arturo Ramos (Referee) · Alberto Morín (AR1) · Miguel Ángel Hernández (AR2) · Said Martínez (4th) · Fernando Guerrero (VAR)"/>
    <x v="5"/>
    <x v="20"/>
    <s v="0–0"/>
    <s v="César Arturo Ramos"/>
    <s v=""/>
    <x v="0"/>
    <x v="0"/>
    <s v=""/>
    <s v=""/>
    <s v=""/>
    <s v=""/>
    <s v=""/>
    <s v=""/>
    <s v=""/>
    <s v=""/>
    <s v=""/>
    <s v=""/>
    <s v=""/>
    <s v=""/>
    <s v=""/>
    <s v=""/>
    <s v=""/>
    <s v=""/>
    <s v=""/>
    <s v=""/>
    <s v="['24&amp;rsquor;|0:0|Rasmus Nissen', '78&amp;rsquor;|0:0|Mathias Jensen']"/>
    <s v="['86&amp;rsquor;|0:0|Taha Yassine Khenissi']"/>
    <s v="['45+1&amp;rsquor;|0:0|Mikkel Damsgaard|for Thomas Delaney', '65&amp;rsquor;|0:0|Mathias Jensen|for Simon Kjær', '65&amp;rsquor;|0:0|Andreas Cornelius|for Kasper Dolberg', '65&amp;rsquor;|0:0|Jesper Lindstrøm|for Andreas Skov Olsen']"/>
    <s v="['67&amp;rsquor;|0:0|Naïm Sliti|for Anis Ben Slimane', '80&amp;rsquor;|0:0|Taha Yassine Khenissi|for Issam Jebali', '80&amp;rsquor;|0:0|Hannibal Mejbri|for Youssef Msakni', '88&amp;rsquor;|0:0|Wajdi Kechrida|for Mohamed Dräger', '88&amp;rsquor;|0:0|Ferjani Sassi|for Aïssa Laïdouni']"/>
  </r>
  <r>
    <s v="Mexico"/>
    <s v="Poland"/>
    <n v="0"/>
    <n v="0.7"/>
    <m/>
    <n v="0"/>
    <n v="0.9"/>
    <m/>
    <s v="Tata Martino"/>
    <s v="Guillermo Ochoa"/>
    <s v="Czesław Michniewicz"/>
    <s v="Robert Lewandowski"/>
    <n v="39369"/>
    <s v="Stadium 974, Doha"/>
    <s v="Chris Beath (Referee) · Anton Shchetinin (AR1) · Ashley Beecham (AR2) · Stéphanie Frappart (4th) · Shaun Evans (VAR)"/>
    <x v="5"/>
    <x v="20"/>
    <s v="0–0"/>
    <s v="Chris Beath"/>
    <s v=""/>
    <x v="0"/>
    <x v="0"/>
    <s v=""/>
    <s v=""/>
    <s v=""/>
    <s v=""/>
    <s v=""/>
    <s v=""/>
    <s v=""/>
    <s v=""/>
    <s v=""/>
    <s v="['58&amp;rsquor;|0:0|Robert Lewandowski|Penalty saved by Guillermo Ochoa']"/>
    <s v=""/>
    <s v=""/>
    <s v=""/>
    <s v=""/>
    <s v=""/>
    <s v=""/>
    <s v=""/>
    <s v=""/>
    <s v="['29&amp;rsquor;|0:0|Jorge Eduardo Sánchez', '56&amp;rsquor;|0:0|Héctor Moreno']"/>
    <s v="['76&amp;rsquor;|0:0|Przemysław Frankowski']"/>
    <s v="['71&amp;rsquor;|0:0|Raúl Jiménez|for Henry Martín', '71&amp;rsquor;|0:0|Charly Rodríguez|for Héctor Herrera', '84&amp;rsquor;|0:0|Uriel Antuna|for Alexis Vega']"/>
    <s v="['46&amp;rsquor;|0:0|Krystian Bielik|for Nicola Zalewski', '72&amp;rsquor;|0:0|Przemysław Frankowski|for Sebastian Szymański', '87&amp;rsquor;|0:0|Arkadiusz Milik|for Piotr Zieliński']"/>
  </r>
  <r>
    <s v="France"/>
    <s v="Australia"/>
    <n v="4"/>
    <n v="4"/>
    <m/>
    <n v="1"/>
    <n v="0.5"/>
    <m/>
    <s v="Didier Deschamps"/>
    <s v="Hugo Lloris"/>
    <s v="Graham Arnold"/>
    <s v="Mathew Ryan"/>
    <n v="40875"/>
    <s v="Al Janoub Stadium, Al Wakrah"/>
    <s v="Victor Gomes (Referee) · Zakhele Siwela (AR1) · Souru Phatsoane (AR2) · Salima Mukansanga (4th) · Drew Fischer (VAR)"/>
    <x v="5"/>
    <x v="20"/>
    <s v="4–1"/>
    <s v="Victor Gomes"/>
    <s v=""/>
    <x v="0"/>
    <x v="0"/>
    <s v="Adrien Rabiot · 27|Olivier Giroud · 32|Kylian Mbappé · 68|Olivier Giroud · 71"/>
    <s v="Craig Goodwin · 9"/>
    <s v="['27&amp;rsquor;|1:1|Adrien Rabiot|Assist:|Theo Hernández', '32&amp;rsquor;|2:1|Olivier Giroud|Assist:|Adrien Rabiot', '68&amp;rsquor;|3:1|Kylian Mbappé|Assist:|Ousmane Dembélé', '71&amp;rsquor;|4:1|Olivier Giroud|Assist:|Kylian Mbappé']"/>
    <s v="['9&amp;rsquor;|0:1|Craig Goodwin|Assist:|Mathew Leckie']"/>
    <s v=""/>
    <s v=""/>
    <s v=""/>
    <s v=""/>
    <s v=""/>
    <s v=""/>
    <s v=""/>
    <s v=""/>
    <s v=""/>
    <s v=""/>
    <s v=""/>
    <s v=""/>
    <s v=""/>
    <s v=""/>
    <s v=""/>
    <s v="['55&amp;rsquor;|2:1|Mitchell Duke', '80&amp;rsquor;|4:1|Jackson Irvine', '90+4&amp;rsquor;|4:1|Aaron Mooy']"/>
    <s v="['13&amp;rsquor;|0:1|Theo Hernández|for Lucas Hernández', '77&amp;rsquor;|4:1|Youssouf Fofana|for Aurélien Tchouaméni', '77&amp;rsquor;|4:1|Kingsley Coman|for Ousmane Dembélé', '89&amp;rsquor;|4:1|Jules Koundé|for Benjamin Pavard', '89&amp;rsquor;|4:1|Marcus Thuram|for Olivier Giroud']"/>
    <s v="['56&amp;rsquor;|2:1|Jason Cummings|for Mitchell Duke', '73&amp;rsquor;|4:1|Garang Kuol|for Craig Goodwin', '73&amp;rsquor;|4:1|Awer Mabil|for Riley McGree', '85&amp;rsquor;|4:1|Keanu Baccus|for Jackson Irvine', '85&amp;rsquor;|4:1|Miloš Degenek|for Nathaniel Atkinson']"/>
  </r>
  <r>
    <s v="England"/>
    <s v="IR Iran"/>
    <n v="6"/>
    <n v="2.1"/>
    <m/>
    <n v="2"/>
    <n v="1.4"/>
    <m/>
    <s v="Gareth Southgate"/>
    <s v="Harry Kane"/>
    <s v="Carlos Queiroz"/>
    <s v="Ehsan Hajsafi"/>
    <n v="45334"/>
    <s v="Khalifa International Stadium, Doha"/>
    <s v="Raphael Claus (Referee) · Rodrigo Correa (AR1) · Danilo Manis (AR2) · Kevin Ortega (4th) · Leodán González (VAR)"/>
    <x v="5"/>
    <x v="21"/>
    <s v="6–2"/>
    <s v="Raphael Claus"/>
    <s v=""/>
    <x v="0"/>
    <x v="0"/>
    <s v="Jude Bellingham · 35|Bukayo Saka · 43|Raheem Sterling · 45+1|Bukayo Saka · 62|Marcus Rashford · 71|Jack Grealish · 90"/>
    <s v="Mehdi Taremi · 65"/>
    <s v="['35&amp;rsquor;|1:0|Jude Bellingham|Assist:|Luke Shaw', '43&amp;rsquor;|2:0|Bukayo Saka|Assist:|Harry Maguire', '45+1&amp;rsquor;|3:0|Raheem Sterling|Assist:|Harry Kane', '62&amp;rsquor;|4:0|Bukayo Saka|Assist:|Raheem Sterling', '71&amp;rsquor;|5:1|Marcus Rashford|Assist:|Harry Kane', '90&amp;rsquor;|6:1|Jack Grealish|Assist:|Callum Wilson']"/>
    <s v="['65&amp;rsquor;|4:1|Mehdi Taremi|Assist:|Ali Gholizadeh']"/>
    <s v=""/>
    <s v=""/>
    <s v=""/>
    <s v="Mehdi Taremi (P) · 90+13"/>
    <s v=""/>
    <s v=""/>
    <s v=""/>
    <s v=""/>
    <s v=""/>
    <s v=""/>
    <s v=""/>
    <s v=""/>
    <s v=""/>
    <s v=""/>
    <s v=""/>
    <s v="['25&amp;rsquor;|0:0|Alireza Jahanbakhsh', '48&amp;rsquor;|3:0|Morteza Pouraliganji']"/>
    <s v="['70&amp;rsquor;|4:1|Eric Dier|for Harry Maguire', '70&amp;rsquor;|4:1|Marcus Rashford|for Bukayo Saka', '71&amp;rsquor;|5:1|Jack Grealish|for Raheem Sterling', '71&amp;rsquor;|5:1|Phil Foden|for Mason Mount', '76&amp;rsquor;|5:1|Callum Wilson|for Harry Kane']"/>
    <s v="['20&amp;rsquor;|0:0|Hossein Hosseini|for Alireza Beiranvand', '46&amp;rsquor;|3:0|Hossein Kanaanizadegan|for Roozbeh Cheshmi', '46&amp;rsquor;|3:0|Ali Gholizadeh|for Alireza Jahanbakhsh', '46&amp;rsquor;|3:0|Saeid Ezatolahi|for Ali Karimi', '63&amp;rsquor;|4:0|Mehdi Torabi|for Milad Mohammadi', '77&amp;rsquor;|5:1|Sardar Azmoun|for Ahmad Nourollahi']"/>
  </r>
  <r>
    <s v="Senegal"/>
    <s v="Netherlands"/>
    <n v="0"/>
    <n v="0.9"/>
    <m/>
    <n v="2"/>
    <n v="0.7"/>
    <m/>
    <s v="Aliou Cissé"/>
    <s v="Kalidou Koulibaly"/>
    <s v="Louis van Gaal"/>
    <s v="Virgil van Dijk"/>
    <n v="41721"/>
    <s v="Al Thumama Stadium, ath-Thumāma"/>
    <s v="Wilton Sampaio (Referee) · Bruno Boschilia (AR1) · Bruno Pires (AR2) · Andrés Matonte (4th) · Juan Soto (VAR)"/>
    <x v="5"/>
    <x v="21"/>
    <s v="0–2"/>
    <s v="Wilton Sampaio"/>
    <s v=""/>
    <x v="0"/>
    <x v="0"/>
    <s v=""/>
    <s v="Cody Gakpo · 84|Davy Klaassen · 90+9"/>
    <s v=""/>
    <s v="['84&amp;rsquor;|0:1|Cody Gakpo|Assist:|Frenkie de Jong', '90+9&amp;rsquor;|0:2|Davy Klaassen']"/>
    <s v=""/>
    <s v=""/>
    <s v=""/>
    <s v=""/>
    <s v=""/>
    <s v=""/>
    <s v=""/>
    <s v=""/>
    <s v=""/>
    <s v=""/>
    <s v=""/>
    <s v=""/>
    <s v=""/>
    <s v=""/>
    <s v="['90+4&amp;rsquor;|0:1|Nampalys Mendy', '90+6&amp;rsquor;|0:1|Idrissa Gana Gueye']"/>
    <s v="['56&amp;rsquor;|0:0|Matthijs de Ligt']"/>
    <s v="['62&amp;rsquor;|0:0|Ismail Jakobs|for Abdou Diallo', '69&amp;rsquor;|0:0|Bamba Dieng|for Boulaye Dia', '73&amp;rsquor;|0:0|Pape Gueye|for Cheikhou Kouyaté', '74&amp;rsquor;|0:0|Nicolas Jackson|for Krépin Diatta']"/>
    <s v="['62&amp;rsquor;|0:0|Memphis|for Vincent Janssen', '79&amp;rsquor;|0:0|Davy Klaassen|for Steven Bergwijn', '79&amp;rsquor;|0:0|Teun Koopmeiners|for Steven Berghuis', '90+4&amp;rsquor;|0:1|Marten de Roon|for Cody Gakpo']"/>
  </r>
  <r>
    <s v="United States"/>
    <s v="Wales"/>
    <n v="1"/>
    <n v="0.8"/>
    <m/>
    <n v="1"/>
    <n v="1.5"/>
    <m/>
    <s v="Gregg Berhalter"/>
    <s v="Tyler Adams"/>
    <s v="Rob Page"/>
    <s v="Gareth Bale"/>
    <n v="43418"/>
    <s v="Ahmed bin Ali Stadium, Umm al-Afā'ī"/>
    <s v="Abdulrahman Ibrahim Al Jassim (Referee) · Taleb Salem Al Marri (AR1) · Saoud Ahmed Al Maqaleh (AR2) · Ma Ning (4th) · Abdulla Ali Al Marri (VAR)"/>
    <x v="5"/>
    <x v="21"/>
    <s v="1–1"/>
    <s v="Abdulrahman Ibrahim Al Jassim"/>
    <s v=""/>
    <x v="0"/>
    <x v="0"/>
    <s v="Timothy Weah · 36"/>
    <s v=""/>
    <s v="['36&amp;rsquor;|1:0|Timothy Weah|Assist:|Christian Pulisic']"/>
    <s v=""/>
    <s v=""/>
    <s v=""/>
    <s v=""/>
    <s v="Gareth Bale (P) · 82"/>
    <s v=""/>
    <s v=""/>
    <s v=""/>
    <s v=""/>
    <s v=""/>
    <s v=""/>
    <s v=""/>
    <s v=""/>
    <s v=""/>
    <s v=""/>
    <s v="['11&amp;rsquor;|0:0|Sergiño Dest', '13&amp;rsquor;|0:0|Weston McKennie', '51&amp;rsquor;|1:0|Tim Ream', '90+10&amp;rsquor;|1:1|Kellyn Acosta']"/>
    <s v="['40&amp;rsquor;|1:0|Gareth Bale', '45+2&amp;rsquor;|1:0|Chris Mepham']"/>
    <s v="['66&amp;rsquor;|1:0|Brenden Aaronson|for Weston McKennie', '74&amp;rsquor;|1:0|DeAndre Yedlin|for Sergiño Dest', '74&amp;rsquor;|1:0|Kellyn Acosta|for Yunus Musah', '74&amp;rsquor;|1:0|Haji Wright|for Josh Sargent', '88&amp;rsquor;|1:1|Jordan Morris|for Timothy Weah']"/>
    <s v="['46&amp;rsquor;|1:0|Kieffer Moore|for Daniel James', '79&amp;rsquor;|1:0|Brennan Johnson|for Neco Williams', '90+3&amp;rsquor;|1:1|Sorba Thomas|for Harry Wilson', '90+5&amp;rsquor;|1:1|Joe Morrell|for Ethan Ampadu']"/>
  </r>
  <r>
    <s v="Qatar"/>
    <s v="Ecuador"/>
    <n v="0"/>
    <n v="0.3"/>
    <m/>
    <n v="2"/>
    <n v="1.2"/>
    <m/>
    <s v="Félix Sánchez"/>
    <s v="Hassan Al-Haydos"/>
    <s v="Gustavo Alfaro"/>
    <s v="Enner Valencia"/>
    <n v="67372"/>
    <s v="Al Bayt Stadium, Al Khor"/>
    <s v="Daniele Orsato (Referee) · Ciro Carbone (AR1) · Alessandro Giallatini (AR2) · István Kovács (4th) · Massimiliano Irrati (VAR)"/>
    <x v="5"/>
    <x v="22"/>
    <s v="0–2"/>
    <s v="Daniele Orsato"/>
    <s v=""/>
    <x v="0"/>
    <x v="0"/>
    <s v=""/>
    <s v="Enner Valencia · 31"/>
    <s v=""/>
    <s v="['31&amp;rsquor;|0:2|Enner Valencia|Assist:|Ángelo Preciado']"/>
    <s v=""/>
    <s v=""/>
    <s v=""/>
    <s v="Enner Valencia (P) · 16"/>
    <s v=""/>
    <s v=""/>
    <s v=""/>
    <s v=""/>
    <s v=""/>
    <s v=""/>
    <s v=""/>
    <s v=""/>
    <s v=""/>
    <s v=""/>
    <s v="['15&amp;rsquor;|0:0|Saad Al Sheeb', '22&amp;rsquor;|0:1|Almoez Ali', '36&amp;rsquor;|0:2|Karim Boudiaf', '78&amp;rsquor;|0:2|Akram Afif']"/>
    <s v="['29&amp;rsquor;|0:1|Moisés Caicedo', '56&amp;rsquor;|0:2|Jhegson Méndez']"/>
    <s v="['71&amp;rsquor;|0:2|Mohammed Waad|for Hassan Al-Haydos', '72&amp;rsquor;|0:2|Mohammed Muntari|for Almoez Ali']"/>
    <s v="['68&amp;rsquor;|0:2|Jeremy Sarmiento|for Romario Ibarra', '77&amp;rsquor;|0:2|José Cifuentes|for Enner Valencia', '90&amp;rsquor;|0:2|Kevin Rodríguez|for Michael Estrada', '90&amp;rsquor;|0:2|Alan Franco|for Moisés Caicedo']"/>
  </r>
  <r>
    <s v="France"/>
    <s v="Croatia"/>
    <n v="4"/>
    <n v="1.1000000000000001"/>
    <m/>
    <n v="2"/>
    <n v="1.1000000000000001"/>
    <m/>
    <s v="Didier Deschamps"/>
    <s v="Hugo Lloris"/>
    <s v="Zlatko Dalić"/>
    <s v="Luka Modrić"/>
    <n v="78011"/>
    <s v="Olimpiyskiy stadion Luzhniki, Moskva"/>
    <s v="Néstor Pitana (Referee) · Hernán Maidana (AR1) · Juan Pablo Belatti (AR2) · Björn Kuipers (4th) · Massimiliano Irrati (VAR)"/>
    <x v="0"/>
    <x v="23"/>
    <s v="4–2"/>
    <s v="Néstor Pitana"/>
    <s v=""/>
    <x v="1"/>
    <x v="1"/>
    <s v="Paul Pogba · 59|Kylian Mbappé · 65"/>
    <s v="Ivan Perišić · 28|Mario Mandžukić · 69"/>
    <s v="['59&amp;rsquor;|3:1|Paul Pogba', '65&amp;rsquor;|4:1|Kylian Mbappé|Assist:|Lucas Hernández']"/>
    <s v="['28&amp;rsquor;|1:1|Ivan Perišić|Assist:|Domagoj Vida', '69&amp;rsquor;|4:2|Mario Mandžukić']"/>
    <s v="Mario Mandžukić (OG) · 18"/>
    <s v=""/>
    <s v="Antoine Griezmann (P) · 38"/>
    <s v=""/>
    <s v=""/>
    <s v=""/>
    <s v=""/>
    <s v=""/>
    <s v=""/>
    <s v=""/>
    <s v=""/>
    <s v=""/>
    <s v=""/>
    <s v=""/>
    <s v="[&quot;27&amp;rsquor;|1:0|N'Golo Kanté&quot;, '41&amp;rsquor;|2:1|Lucas Hernández']"/>
    <s v="['90+2&amp;rsquor;|4:2|Šime Vrsaljko']"/>
    <s v="[&quot;54&amp;rsquor;|2:1|Steven Nzonzi|for N'Golo Kanté&quot;, '73&amp;rsquor;|4:2|Corentin Tolisso|for Blaise Matuidi', '81&amp;rsquor;|4:2|Nabil Fekir|for Olivier Giroud']"/>
    <s v="['71&amp;rsquor;|4:2|Andrej Kramarić|for Ante Rebić', '82&amp;rsquor;|4:2|Marko Pjaca|for Ivan Strinić']"/>
  </r>
  <r>
    <s v="Belgium"/>
    <s v="England"/>
    <n v="2"/>
    <n v="1.5"/>
    <m/>
    <n v="0"/>
    <n v="1"/>
    <m/>
    <s v="Roberto Martínez"/>
    <s v="Eden Hazard"/>
    <s v="Gareth Southgate"/>
    <s v="Harry Kane"/>
    <n v="64406"/>
    <s v="Gazprom Arena, Sankt-Petersburg"/>
    <s v="Alireza Faghani (Referee) · Reza Sokhandan (AR1) · Mohammadreza Mansouri (AR2) · Malang Diédhiou (4th) · Mark Geiger (VAR)"/>
    <x v="1"/>
    <x v="24"/>
    <s v="2–0"/>
    <s v="Alireza Faghani"/>
    <s v=""/>
    <x v="1"/>
    <x v="1"/>
    <s v="Thomas Meunier · 4|Eden Hazard · 82"/>
    <s v=""/>
    <s v="['4&amp;rsquor;|1:0|Thomas Meunier|Assist:|Nacer Chadli', '82&amp;rsquor;|2:0|Eden Hazard|Assist:|Kevin De Bruyne']"/>
    <s v=""/>
    <s v=""/>
    <s v=""/>
    <s v=""/>
    <s v=""/>
    <s v=""/>
    <s v=""/>
    <s v=""/>
    <s v=""/>
    <s v=""/>
    <s v=""/>
    <s v=""/>
    <s v=""/>
    <s v=""/>
    <s v=""/>
    <s v="['90+3&amp;rsquor;|2:0|Axel Witsel']"/>
    <s v="['52&amp;rsquor;|1:0|John Stones', '77&amp;rsquor;|1:0|Harry Maguire']"/>
    <s v="['39&amp;rsquor;|1:0|Thomas Vermaelen|for Nacer Chadli', '60&amp;rsquor;|1:0|Dries Mertens|for Romelu Lukaku', '78&amp;rsquor;|1:0|Mousa Dembélé|for Youri Tielemans']"/>
    <s v="['46&amp;rsquor;|1:0|Jesse Lingard|for Danny Rose', '46&amp;rsquor;|1:0|Marcus Rashford|for Raheem Sterling', '84&amp;rsquor;|2:0|Dele Alli|for Ruben Loftus-Cheek']"/>
  </r>
  <r>
    <s v="Croatia"/>
    <s v="England"/>
    <n v="2"/>
    <n v="1.7"/>
    <m/>
    <n v="1"/>
    <n v="0.6"/>
    <m/>
    <s v="Zlatko Dalić"/>
    <s v="Luka Modrić"/>
    <s v="Gareth Southgate"/>
    <s v="Harry Kane"/>
    <n v="78011"/>
    <s v="Olimpiyskiy stadion Luzhniki, Moskva"/>
    <s v="Cüneyt Çakιr (Referee) · Bahattin Duran (AR1) · Tarık Ongun (AR2) · Björn Kuipers (4th) · Danny Makkelie (VAR)"/>
    <x v="2"/>
    <x v="25"/>
    <s v="2–1"/>
    <s v="Cüneyt Çakιr"/>
    <s v="Required Extra Time"/>
    <x v="1"/>
    <x v="1"/>
    <s v="Ivan Perišić · 68|Mario Mandžukić · 109"/>
    <s v="Kieran Trippier · 5"/>
    <s v="['68&amp;rsquor;|1:1|Ivan Perišić|Assist:|Šime Vrsaljko', '109&amp;rsquor;|2:1|Mario Mandžukić|Assist:|Ivan Perišić']"/>
    <s v="['5&amp;rsquor;|0:1|Kieran Trippier']"/>
    <s v=""/>
    <s v=""/>
    <s v=""/>
    <s v=""/>
    <s v=""/>
    <s v=""/>
    <s v=""/>
    <s v=""/>
    <s v=""/>
    <s v=""/>
    <s v=""/>
    <s v=""/>
    <s v=""/>
    <s v=""/>
    <s v="['48&amp;rsquor;|0:1|Mario Mandžukić', '96&amp;rsquor;|1:1|Ante Rebić']"/>
    <s v="['54&amp;rsquor;|0:1|Kyle Walker']"/>
    <s v="['95&amp;rsquor;|1:1|Josip Pivarić|for Ivan Strinić', '101&amp;rsquor;|1:1|Andrej Kramarić|for Ante Rebić', '115&amp;rsquor;|2:1|Vedran Ćorluka|for Mario Mandžukić', '118&amp;rsquor;|2:1|Milan Badelj|for Luka Modrić']"/>
    <s v="['74&amp;rsquor;|1:1|Marcus Rashford|for Raheem Sterling', '91&amp;rsquor;|1:1|Danny Rose|for Ashley Young', '97&amp;rsquor;|1:1|Eric Dier|for Jordan Henderson', '112&amp;rsquor;|2:1|Jamie Vardy|for Kyle Walker']"/>
  </r>
  <r>
    <s v="France"/>
    <s v="Belgium"/>
    <n v="1"/>
    <n v="1.7"/>
    <m/>
    <n v="0"/>
    <n v="0.4"/>
    <m/>
    <s v="Didier Deschamps"/>
    <s v="Hugo Lloris"/>
    <s v="Roberto Martínez"/>
    <s v="Eden Hazard"/>
    <n v="64286"/>
    <s v="Gazprom Arena, Sankt-Petersburg"/>
    <s v="Andrés Cunha (Referee) · Nicolás Tarán (AR1) · Mauricio Espinosa (AR2) · César Arturo Ramos (4th) · Massimiliano Irrati (VAR)"/>
    <x v="2"/>
    <x v="26"/>
    <s v="1–0"/>
    <s v="Andrés Cunha"/>
    <s v=""/>
    <x v="1"/>
    <x v="1"/>
    <s v="Samuel Umtiti · 51"/>
    <s v=""/>
    <s v="['51&amp;rsquor;|1:0|Samuel Umtiti|Assist:|Antoine Griezmann']"/>
    <s v=""/>
    <s v=""/>
    <s v=""/>
    <s v=""/>
    <s v=""/>
    <s v=""/>
    <s v=""/>
    <s v=""/>
    <s v=""/>
    <s v=""/>
    <s v=""/>
    <s v=""/>
    <s v=""/>
    <s v=""/>
    <s v=""/>
    <s v="[&quot;87&amp;rsquor;|1:0|N'Golo Kanté&quot;, '90+3&amp;rsquor;|1:0|Kylian Mbappé']"/>
    <s v="['63&amp;rsquor;|1:0|Eden Hazard', '71&amp;rsquor;|1:0|Toby Alderweireld', '90+4&amp;rsquor;|1:0|Jan Vertonghen']"/>
    <s v="['85&amp;rsquor;|1:0|Steven Nzonzi|for Olivier Giroud', '86&amp;rsquor;|1:0|Corentin Tolisso|for Blaise Matuidi']"/>
    <s v="['60&amp;rsquor;|1:0|Dries Mertens|for Mousa Dembélé', '80&amp;rsquor;|1:0|Yannick Carrasco|for Marouane Fellaini', '90+2&amp;rsquor;|1:0|Michy Batshuayi|for Nacer Chadli']"/>
  </r>
  <r>
    <s v="Sweden"/>
    <s v="England"/>
    <n v="0"/>
    <n v="0.5"/>
    <m/>
    <n v="2"/>
    <n v="1"/>
    <m/>
    <s v="Janne Andersson"/>
    <s v="Andreas Granqvist"/>
    <s v="Gareth Southgate"/>
    <s v="Harry Kane"/>
    <n v="39991"/>
    <s v="Cosmos Arena, Samara"/>
    <s v="Björn Kuipers (Referee) · Sander van Roekel (AR1) · Erwin Zeinstra (AR2) · Antonio Matéu Lahoz (4th) · Danny Makkelie (VAR)"/>
    <x v="3"/>
    <x v="27"/>
    <s v="0–2"/>
    <s v="Björn Kuipers"/>
    <s v=""/>
    <x v="1"/>
    <x v="1"/>
    <s v=""/>
    <s v="Harry Maguire · 30|Dele Alli · 59"/>
    <s v=""/>
    <s v="['30&amp;rsquor;|0:1|Harry Maguire|Assist:|Ashley Young', '59&amp;rsquor;|0:2|Dele Alli|Assist:|Jesse Lingard']"/>
    <s v=""/>
    <s v=""/>
    <s v=""/>
    <s v=""/>
    <s v=""/>
    <s v=""/>
    <s v=""/>
    <s v=""/>
    <s v=""/>
    <s v=""/>
    <s v=""/>
    <s v=""/>
    <s v=""/>
    <s v=""/>
    <s v="['88&amp;rsquor;|0:2|John Guidetti', '90+4&amp;rsquor;|0:2|Seb Larsson']"/>
    <s v="['87&amp;rsquor;|0:2|Harry Maguire']"/>
    <s v="['65&amp;rsquor;|0:2|John Guidetti|for Ola Toivonen', '65&amp;rsquor;|0:2|Martin Olsson|for Emil Forsberg', '85&amp;rsquor;|0:2|Pontus Jansson|for Emil Krafth']"/>
    <s v="['77&amp;rsquor;|0:2|Fabian Delph|for Dele Alli', '85&amp;rsquor;|0:2|Eric Dier|for Jordan Henderson', '90+1&amp;rsquor;|0:2|Marcus Rashford|for Raheem Sterling']"/>
  </r>
  <r>
    <s v="Russia"/>
    <s v="Croatia"/>
    <n v="2"/>
    <n v="1"/>
    <n v="3"/>
    <n v="2"/>
    <n v="1.7"/>
    <n v="4"/>
    <s v="Stanislav Cherchesov"/>
    <s v="Igor Akinfeev"/>
    <s v="Zlatko Dalić"/>
    <s v="Luka Modrić"/>
    <n v="44287"/>
    <s v="Olimpiyskiy Stadion Fisht, Sochi"/>
    <s v="Sandro Ricci (Referee) · Emerson de Carvalho (AR1) · Marcelo Van Gasse (AR2) · Janny Sikazwe (4th) · Massimiliano Irrati (VAR)"/>
    <x v="3"/>
    <x v="27"/>
    <s v="(3) 2–2 (4)"/>
    <s v="Sandro Ricci"/>
    <s v="Croatia won on penalty kicks following extra time"/>
    <x v="1"/>
    <x v="1"/>
    <s v="Denis Cheryshev · 31|Mário Fernandes · 115"/>
    <s v="Andrej Kramarić · 39|Domagoj Vida · 101"/>
    <s v="['31&amp;rsquor;|1:0|Denis Cheryshev|Assist:|Artem Dzyuba', '115&amp;rsquor;|2:2|Mário Fernandes|Assist:|Alan Dzagoev']"/>
    <s v="['39&amp;rsquor;|1:1|Andrej Kramarić|Assist:|Mario Mandžukić', '101&amp;rsquor;|1:2|Domagoj Vida|Assist:|Luka Modrić']"/>
    <s v=""/>
    <s v=""/>
    <s v=""/>
    <s v=""/>
    <s v=""/>
    <s v=""/>
    <s v="['3|1:1|Alan Dzagoev', '7|2:2|Sergei Ignashevich', '9|3:3|Daler Kuzyaev']"/>
    <s v="['2|0:1|Marcelo Brozović', '6|1:2|Luka Modrić', '8|2:3|Domagoj Vida', '10|3:4|Ivan Rakitić']"/>
    <s v="['1|0:0|Fyodor Smolov', '5|1:1|Mário Fernandes']"/>
    <s v="['4|1:1|Mateo Kovačić']"/>
    <s v=""/>
    <s v=""/>
    <s v=""/>
    <s v=""/>
    <s v="['109&amp;rsquor;|1:2|Yuri Gazinskiy']"/>
    <s v="['35&amp;rsquor;|1:0|Dejan Lovren', '38&amp;rsquor;|1:0|Ivan Strinić', '101&amp;rsquor;|1:2|Domagoj Vida', '114&amp;rsquor;|1:2|Josip Pivarić']"/>
    <s v="['54&amp;rsquor;|1:1|Aleksandr Erokhin|for Aleksandr Samedov', '67&amp;rsquor;|1:1|Fyodor Smolov|for Denis Cheryshev', '79&amp;rsquor;|1:1|Yuri Gazinskiy|for Artem Dzyuba', '102&amp;rsquor;|1:2|Alan Dzagoev|for Aleksandr Golovin']"/>
    <s v="['63&amp;rsquor;|1:1|Marcelo Brozović|for Ivan Perišić', '74&amp;rsquor;|1:1|Josip Pivarić|for Ivan Strinić', '88&amp;rsquor;|1:1|Mateo Kovačić|for Andrej Kramarić', '97&amp;rsquor;|1:1|Vedran Ćorluka|for Šime Vrsaljko']"/>
  </r>
  <r>
    <s v="Uruguay"/>
    <s v="France"/>
    <n v="0"/>
    <n v="0.9"/>
    <m/>
    <n v="2"/>
    <n v="0.5"/>
    <m/>
    <s v="Óscar Tabárez"/>
    <s v="Diego Godín"/>
    <s v="Didier Deschamps"/>
    <s v="Hugo Lloris"/>
    <n v="43319"/>
    <s v="Stadion Nizhny Novgorod, Nizhny Novgorod"/>
    <s v="Néstor Pitana (Referee) · Hernán Maidana (AR1) · Juan Pablo Belatti (AR2) · Alireza Faghani (4th) · Massimiliano Irrati (VAR)"/>
    <x v="3"/>
    <x v="28"/>
    <s v="0–2"/>
    <s v="Néstor Pitana"/>
    <s v=""/>
    <x v="1"/>
    <x v="1"/>
    <s v=""/>
    <s v="Raphaël Varane · 40|Antoine Griezmann · 61"/>
    <s v=""/>
    <s v="['40&amp;rsquor;|0:1|Raphaël Varane|Assist:|Antoine Griezmann', '61&amp;rsquor;|0:2|Antoine Griezmann|Assist:|Corentin Tolisso']"/>
    <s v=""/>
    <s v=""/>
    <s v=""/>
    <s v=""/>
    <s v=""/>
    <s v=""/>
    <s v=""/>
    <s v=""/>
    <s v=""/>
    <s v=""/>
    <s v=""/>
    <s v=""/>
    <s v=""/>
    <s v=""/>
    <s v="['38&amp;rsquor;|0:0|Rodrigo Bentancur', '69&amp;rsquor;|0:2|Cristian Rodríguez']"/>
    <s v="['33&amp;rsquor;|0:0|Lucas Hernández', '69&amp;rsquor;|0:2|Kylian Mbappé']"/>
    <s v="['59&amp;rsquor;|0:1|Maxi Gómez|for Cristhian Stuani', '59&amp;rsquor;|0:1|Cristian Rodríguez|for Rodrigo Bentancur', '73&amp;rsquor;|0:2|Jonathan Urretaviscaya|for Nahitan Nández']"/>
    <s v="['80&amp;rsquor;|0:2|Steven Nzonzi|for Corentin Tolisso', '88&amp;rsquor;|0:2|Ousmane Dembélé|for Kylian Mbappé', '90+3&amp;rsquor;|0:2|Nabil Fekir|for Antoine Griezmann']"/>
  </r>
  <r>
    <s v="Brazil"/>
    <s v="Belgium"/>
    <n v="1"/>
    <n v="2.8"/>
    <m/>
    <n v="2"/>
    <n v="0.5"/>
    <m/>
    <s v="Tite"/>
    <s v="Miranda"/>
    <s v="Roberto Martínez"/>
    <s v="Eden Hazard"/>
    <n v="42873"/>
    <s v="Kazan Arena, Kazan"/>
    <s v="Milorad Mažić (Referee) · Milovan Ristić (AR1) · Dalibor Đurđević (AR2) · Jair Marrufo (4th) · Daniele Orsato (VAR)"/>
    <x v="3"/>
    <x v="28"/>
    <s v="1–2"/>
    <s v="Milorad Mažić"/>
    <s v=""/>
    <x v="1"/>
    <x v="1"/>
    <s v="Renato Augusto · 76"/>
    <s v="Kevin De Bruyne · 32"/>
    <s v="['76&amp;rsquor;|1:2|Renato Augusto|Assist:|Philippe Coutinho']"/>
    <s v="['32&amp;rsquor;|0:2|Kevin De Bruyne|Assist:|Romelu Lukaku']"/>
    <s v=""/>
    <s v="Fernandinho (OG) · 13"/>
    <s v=""/>
    <s v=""/>
    <s v=""/>
    <s v=""/>
    <s v=""/>
    <s v=""/>
    <s v=""/>
    <s v=""/>
    <s v=""/>
    <s v=""/>
    <s v=""/>
    <s v=""/>
    <s v="['85&amp;rsquor;|1:2|Fernandinho', '90&amp;rsquor;|1:2|Fagner']"/>
    <s v="['47&amp;rsquor;|0:2|Toby Alderweireld', '71&amp;rsquor;|0:2|Thomas Meunier']"/>
    <s v="['46&amp;rsquor;|0:2|Roberto Firmino|for Willian', '58&amp;rsquor;|0:2|Douglas Costa|for Gabriel Jesus', '73&amp;rsquor;|0:2|Renato Augusto|for Paulinho']"/>
    <s v="['83&amp;rsquor;|1:2|Thomas Vermaelen|for Nacer Chadli', '87&amp;rsquor;|1:2|Youri Tielemans|for Romelu Lukaku']"/>
  </r>
  <r>
    <s v="Sweden"/>
    <s v="Switzerland"/>
    <n v="1"/>
    <n v="1.3"/>
    <m/>
    <n v="0"/>
    <n v="0.7"/>
    <m/>
    <s v="Janne Andersson"/>
    <s v="Andreas Granqvist"/>
    <s v="Vladimir Petković"/>
    <s v="Valon Behrami"/>
    <n v="64042"/>
    <s v="Gazprom Arena, Sankt-Petersburg"/>
    <s v="Damir Skomina (Referee) · Jure Praprotnik (AR1) · Robert Vukan (AR2) · Nawaf Shukralla (4th) · Daniele Orsato (VAR)"/>
    <x v="4"/>
    <x v="29"/>
    <s v="1–0"/>
    <s v="Damir Skomina"/>
    <s v=""/>
    <x v="1"/>
    <x v="1"/>
    <s v="Emil Forsberg · 66"/>
    <s v=""/>
    <s v="['66&amp;rsquor;|1:0|Emil Forsberg|Assist:|Ola Toivonen']"/>
    <s v=""/>
    <s v=""/>
    <s v=""/>
    <s v=""/>
    <s v=""/>
    <s v=""/>
    <s v=""/>
    <s v=""/>
    <s v=""/>
    <s v=""/>
    <s v=""/>
    <s v=""/>
    <s v="Michael Lang · 90+3"/>
    <s v=""/>
    <s v=""/>
    <s v="['31&amp;rsquor;|0:0|Mikael Lustig']"/>
    <s v="['61&amp;rsquor;|0:0|Valon Behrami', '68&amp;rsquor;|1:0|Granit Xhaka']"/>
    <s v="['82&amp;rsquor;|1:0|Martin Olsson|for Emil Forsberg', '82&amp;rsquor;|1:0|Emil Krafth|for Mikael Lustig', '90+1&amp;rsquor;|1:0|Isaac Kiese Thelin|for Marcus Berg']"/>
    <s v="['73&amp;rsquor;|1:0|Breel Embolo|for Steven Zuber', '73&amp;rsquor;|1:0|Haris Seferović|for Blerim Džemaili']"/>
  </r>
  <r>
    <s v="Colombia"/>
    <s v="England"/>
    <n v="1"/>
    <n v="0.6"/>
    <n v="3"/>
    <n v="1"/>
    <n v="2.1"/>
    <n v="4"/>
    <s v="José Pekerman"/>
    <s v="Radamel Falcao"/>
    <s v="Gareth Southgate"/>
    <s v="Harry Kane"/>
    <n v="44190"/>
    <s v="Otkrytie Arena, Moskva"/>
    <s v="Mark Geiger (Referee) · Joe Fletcher (AR1) · Frank Anderson (AR2) · Matt Conger (4th) · Danny Makkelie (VAR)"/>
    <x v="4"/>
    <x v="29"/>
    <s v="(3) 1–1 (4)"/>
    <s v="Mark Geiger"/>
    <s v="England won on penalty kicks following extra time"/>
    <x v="1"/>
    <x v="1"/>
    <s v="Yerry Mina · 90+3"/>
    <s v=""/>
    <s v="['90+3&amp;rsquor;|1:1|Yerry Mina|Assist:|Juan Cuadrado']"/>
    <s v=""/>
    <s v=""/>
    <s v=""/>
    <s v=""/>
    <s v="Harry Kane (P) · 57"/>
    <s v=""/>
    <s v=""/>
    <s v="['1|1:0|Radamel Falcao', '3|2:1|Juan Cuadrado', '5|3:2|Luis Muriel']"/>
    <s v="['2|1:1|Harry Kane', '4|2:2|Marcus Rashford', '8|3:3|Kieran Trippier', '10|3:4|Eric Dier']"/>
    <s v="['7|3:2|Mateus Uribe', '9|3:3|Carlos Bacca']"/>
    <s v="['6|3:2|Jordan Henderson']"/>
    <s v=""/>
    <s v=""/>
    <s v=""/>
    <s v=""/>
    <s v="['41&amp;rsquor;|0:0|Wílmar Barrios', '52&amp;rsquor;|0:0|Santiago Arias', '54&amp;rsquor;|0:0|Carlos Sánchez', '63&amp;rsquor;|0:1|Radamel Falcao', '64&amp;rsquor;|0:1|Carlos Bacca', '118&amp;rsquor;|1:1|Juan Cuadrado']"/>
    <s v="['56&amp;rsquor;|0:0|Jordan Henderson', '69&amp;rsquor;|0:1|Jesse Lingard']"/>
    <s v="['61&amp;rsquor;|0:1|Carlos Bacca|for Jefferson Lerma', '79&amp;rsquor;|0:1|Mateus Uribe|for Carlos Sánchez', '88&amp;rsquor;|0:1|Luis Muriel|for Juan Quintero', '116&amp;rsquor;|1:1|Cristián Zapata|for Santiago Arias']"/>
    <s v="['81&amp;rsquor;|0:1|Eric Dier|for Dele Alli', '88&amp;rsquor;|0:1|Jamie Vardy|for Raheem Sterling', '102&amp;rsquor;|1:1|Danny Rose|for Ashley Young', '113&amp;rsquor;|1:1|Marcus Rashford|for Kyle Walker']"/>
  </r>
  <r>
    <s v="Brazil"/>
    <s v="Mexico"/>
    <n v="2"/>
    <n v="2.7"/>
    <m/>
    <n v="0"/>
    <n v="0.7"/>
    <m/>
    <s v="Tite"/>
    <s v="Thiago Silva"/>
    <s v="Juan Carlos Osorio"/>
    <s v="Rafael Márquez"/>
    <n v="41970"/>
    <s v="Cosmos Arena, Samara"/>
    <s v="Gianluca Rocchi (Referee) · Elenito Di Liberatore (AR1) · Mauro Tonolini (AR2) · Antonio Matéu Lahoz (4th) · Massimiliano Irrati (VAR)"/>
    <x v="4"/>
    <x v="30"/>
    <s v="2–0"/>
    <s v="Gianluca Rocchi"/>
    <s v=""/>
    <x v="1"/>
    <x v="1"/>
    <s v="Neymar · 51|Roberto Firmino · 88"/>
    <s v=""/>
    <s v="['51&amp;rsquor;|1:0|Neymar|Assist:|Willian', '88&amp;rsquor;|2:0|Roberto Firmino|Assist:|Neymar']"/>
    <s v=""/>
    <s v=""/>
    <s v=""/>
    <s v=""/>
    <s v=""/>
    <s v=""/>
    <s v=""/>
    <s v=""/>
    <s v=""/>
    <s v=""/>
    <s v=""/>
    <s v=""/>
    <s v=""/>
    <s v=""/>
    <s v=""/>
    <s v="['43&amp;rsquor;|0:0|Filipe Luís', '59&amp;rsquor;|1:0|Casemiro']"/>
    <s v="['38&amp;rsquor;|0:0|Edson Álvarez', '55&amp;rsquor;|1:0|Héctor Herrera', '77&amp;rsquor;|1:0|Carlos Salcedo', '90+2&amp;rsquor;|2:0|Andrés Guardado']"/>
    <s v="['80&amp;rsquor;|1:0|Fernandinho|for Paulinho', '86&amp;rsquor;|1:0|Roberto Firmino|for Philippe Coutinho', '90+1&amp;rsquor;|2:0|Marquinhos|for Willian']"/>
    <s v="['46&amp;rsquor;|0:0|Miguel Layún|for Rafael Márquez', '55&amp;rsquor;|1:0|Jonathan dos Santos|for Edson Álvarez', '60&amp;rsquor;|1:0|Raúl Jiménez|for Javier Hernández']"/>
  </r>
  <r>
    <s v="Belgium"/>
    <s v="Japan"/>
    <n v="3"/>
    <n v="2.5"/>
    <m/>
    <n v="2"/>
    <n v="0.7"/>
    <m/>
    <s v="Roberto Martínez"/>
    <s v="Eden Hazard"/>
    <s v="Akira Nishino"/>
    <s v="Makoto Hasebe"/>
    <n v="41466"/>
    <s v="Rostov Arena, Rostov-na-Donu"/>
    <s v="Malang Diédhiou (Referee) · Djibril Camara (AR1) · El Hadji Malick Samba (AR2) · Bakary Papa Gassama (4th) · Felix Zwayer (VAR)"/>
    <x v="4"/>
    <x v="30"/>
    <s v="3–2"/>
    <s v="Malang Diédhiou"/>
    <s v=""/>
    <x v="1"/>
    <x v="1"/>
    <s v="Jan Vertonghen · 69|Marouane Fellaini · 74|Nacer Chadli · 90+4"/>
    <s v="Genki Haraguchi · 48|Takashi Inui · 52"/>
    <s v="['69&amp;rsquor;|1:2|Jan Vertonghen', '74&amp;rsquor;|2:2|Marouane Fellaini|Assist:|Eden Hazard', '90+4&amp;rsquor;|3:2|Nacer Chadli|Assist:|Thomas Meunier']"/>
    <s v="['48&amp;rsquor;|0:1|Genki Haraguchi|Assist:|Gaku Shibasaki', '52&amp;rsquor;|0:2|Takashi Inui|Assist:|Shinji Kagawa']"/>
    <s v=""/>
    <s v=""/>
    <s v=""/>
    <s v=""/>
    <s v=""/>
    <s v=""/>
    <s v=""/>
    <s v=""/>
    <s v=""/>
    <s v=""/>
    <s v=""/>
    <s v=""/>
    <s v=""/>
    <s v=""/>
    <s v=""/>
    <s v="['40&amp;rsquor;|0:0|Gaku Shibasaki']"/>
    <s v="['65&amp;rsquor;|0:2|Nacer Chadli|for Yannick Carrasco', '65&amp;rsquor;|0:2|Marouane Fellaini|for Dries Mertens']"/>
    <s v="['81&amp;rsquor;|2:2|Hotaru Yamaguchi|for Gaku Shibasaki', '81&amp;rsquor;|2:2|Keisuke Honda|for Genki Haraguchi']"/>
  </r>
  <r>
    <s v="Spain"/>
    <s v="Russia"/>
    <n v="1"/>
    <n v="1.8"/>
    <n v="3"/>
    <n v="1"/>
    <n v="1"/>
    <n v="4"/>
    <s v="Fernando Hierro"/>
    <s v="Sergio Ramos"/>
    <s v="Stanislav Cherchesov"/>
    <s v="Igor Akinfeev"/>
    <n v="78011"/>
    <s v="Olimpiyskiy stadion Luzhniki, Moskva"/>
    <s v="Björn Kuipers (Referee) · Sander van Roekel (AR1) · Erwin Zeinstra (AR2) · Clément Turpin (4th) · Danny Makkelie (VAR)"/>
    <x v="4"/>
    <x v="31"/>
    <s v="(3) 1–1 (4)"/>
    <s v="Björn Kuipers"/>
    <s v="Russia won on penalty kicks following extra time"/>
    <x v="1"/>
    <x v="1"/>
    <s v=""/>
    <s v=""/>
    <s v=""/>
    <s v=""/>
    <s v="Sergei Ignashevich (OG) · 12"/>
    <s v=""/>
    <s v=""/>
    <s v="Artem Dzyuba (P) · 42"/>
    <s v=""/>
    <s v=""/>
    <s v="['1|1:0|Andrés Iniesta', '3|2:1|Gerard Piqué', '7|3:3|Sergio Ramos']"/>
    <s v="['2|1:1|Fyodor Smolov', '4|2:2|Sergei Ignashevich', '6|2:3|Aleksandr Golovin', '8|3:4|Denis Cheryshev']"/>
    <s v="['5|2:2|Koke', '9|3:4|Iago Aspas']"/>
    <s v=""/>
    <s v=""/>
    <s v=""/>
    <s v=""/>
    <s v=""/>
    <s v="['40&amp;rsquor;|1:0|Gerard Piqué']"/>
    <s v="['54&amp;rsquor;|1:1|Ilya Kutepov', '71&amp;rsquor;|1:1|Roman Zobnin']"/>
    <s v="['67&amp;rsquor;|1:1|Andrés Iniesta|for David Silva', '70&amp;rsquor;|1:1|Dani Carvajal|for Nacho', '80&amp;rsquor;|1:1|Iago Aspas|for Diego Costa', '104&amp;rsquor;|1:1|Rodrigo|for Marco Asensio']"/>
    <s v="['46&amp;rsquor;|1:1|Vladimir Granat|for Yuri Zhirkov', '61&amp;rsquor;|1:1|Denis Cheryshev|for Aleksandr Samedov', '65&amp;rsquor;|1:1|Fyodor Smolov|for Artem Dzyuba', '97&amp;rsquor;|1:1|Aleksandr Erokhin|for Daler Kuzyaev']"/>
  </r>
  <r>
    <s v="Croatia"/>
    <s v="Denmark"/>
    <n v="1"/>
    <n v="2.5"/>
    <n v="3"/>
    <n v="1"/>
    <n v="0.9"/>
    <n v="2"/>
    <s v="Zlatko Dalić"/>
    <s v="Luka Modrić"/>
    <s v="Åge Hareide"/>
    <s v="Simon Kjær"/>
    <n v="40851"/>
    <s v="Stadion Nizhny Novgorod, Nizhny Novgorod"/>
    <s v="Néstor Pitana (Referee) · Hernán Maidana (AR1) · Juan Pablo Belatti (AR2) · Enrique Cáceres (4th) · Mauro Vigliano (VAR)"/>
    <x v="4"/>
    <x v="31"/>
    <s v="(3) 1–1 (2)"/>
    <s v="Néstor Pitana"/>
    <s v="Croatia won on penalty kicks following extra time"/>
    <x v="1"/>
    <x v="1"/>
    <s v="Mario Mandžukić · 4"/>
    <s v="Mathias Jørgensen · 1"/>
    <s v="['4&amp;rsquor;|1:1|Mario Mandžukić']"/>
    <s v="['1&amp;rsquor;|0:1|Mathias Jørgensen|Assist:|Thomas Delaney']"/>
    <s v=""/>
    <s v=""/>
    <s v=""/>
    <s v=""/>
    <s v="['116&amp;rsquor;|1:1|Luka Modrić|Penalty saved by Kasper Schmeichel']"/>
    <s v=""/>
    <s v="['4|1:1|Andrej Kramarić', '6|2:2|Luka Modrić', '10|3:2|Ivan Rakitić']"/>
    <s v="['3|0:1|Simon Kjær', '5|1:2|Michael Krohn-Dehli']"/>
    <s v="['2|0:0|Milan Badelj', '8|2:2|Josip Pivarić']"/>
    <s v="['1|0:0|Christian Eriksen', '7|2:2|Lasse Schöne', '9|2:2|Nicolai Jørgensen']"/>
    <s v=""/>
    <s v=""/>
    <s v=""/>
    <s v=""/>
    <s v=""/>
    <s v="['115&amp;rsquor;|1:1|Mathias Jørgensen']"/>
    <s v="['71&amp;rsquor;|1:1|Mateo Kovačić|for Marcelo Brozović', '81&amp;rsquor;|1:1|Josip Pivarić|for Ivan Strinić', '97&amp;rsquor;|1:1|Andrej Kramarić|for Ivan Perišić', '108&amp;rsquor;|1:1|Milan Badelj|for Mario Mandžukić']"/>
    <s v="['46&amp;rsquor;|1:1|Lasse Schöne|for Andreas Christensen', '66&amp;rsquor;|1:1|Nicolai Jørgensen|for Andreas Cornelius', '98&amp;rsquor;|1:1|Michael Krohn-Dehli|for Thomas Delaney', '106&amp;rsquor;|1:1|Pione Sisto|for Martin Braithwaite']"/>
  </r>
  <r>
    <s v="France"/>
    <s v="Argentina"/>
    <n v="4"/>
    <n v="2.2000000000000002"/>
    <m/>
    <n v="3"/>
    <n v="0.8"/>
    <m/>
    <s v="Didier Deschamps"/>
    <s v="Hugo Lloris"/>
    <s v="Jorge Sampaoli"/>
    <s v="Lionel Messi"/>
    <n v="42873"/>
    <s v="Kazan Arena, Kazan"/>
    <s v="Alireza Faghani (Referee) · Reza Sokhandan (AR1) · Mohammadreza Mansouri (AR2) · Julio Bascuñán (4th) · Massimiliano Irrati (VAR)"/>
    <x v="4"/>
    <x v="32"/>
    <s v="4–3"/>
    <s v="Alireza Faghani"/>
    <s v=""/>
    <x v="1"/>
    <x v="1"/>
    <s v="Benjamin Pavard · 57|Kylian Mbappé · 64|Kylian Mbappé · 68"/>
    <s v="Ángel Di María · 41|Gabriel Mercado · 48|Sergio Agüero · 90+3"/>
    <s v="['57&amp;rsquor;|2:2|Benjamin Pavard|Assist:|Lucas Hernández', '64&amp;rsquor;|3:2|Kylian Mbappé', '68&amp;rsquor;|4:2|Kylian Mbappé|Assist:|Olivier Giroud']"/>
    <s v="['41&amp;rsquor;|1:1|Ángel Di María|Assist:|Éver Banega', '48&amp;rsquor;|1:2|Gabriel Mercado|Assist:|Lionel Messi', '90+3&amp;rsquor;|4:3|Sergio Agüero|Assist:|Lionel Messi']"/>
    <s v=""/>
    <s v=""/>
    <s v="Antoine Griezmann (P) · 13"/>
    <s v=""/>
    <s v=""/>
    <s v=""/>
    <s v=""/>
    <s v=""/>
    <s v=""/>
    <s v=""/>
    <s v=""/>
    <s v=""/>
    <s v=""/>
    <s v=""/>
    <s v="['72&amp;rsquor;|4:2|Blaise Matuidi', '73&amp;rsquor;|4:2|Benjamin Pavard', '90+3&amp;rsquor;|4:3|Olivier Giroud']"/>
    <s v="['11&amp;rsquor;|0:0|Marcos Rojo', '19&amp;rsquor;|1:0|Nicolás Tagliafico', '43&amp;rsquor;|1:1|Javier Mascherano', '49&amp;rsquor;|1:2|Éver Banega', '90+3&amp;rsquor;|4:3|Nicolás Otamendi']"/>
    <s v="['75&amp;rsquor;|4:2|Corentin Tolisso|for Blaise Matuidi', '83&amp;rsquor;|4:2|Nabil Fekir|for Antoine Griezmann', '89&amp;rsquor;|4:2|Florian Thauvin|for Kylian Mbappé']"/>
    <s v="['46&amp;rsquor;|1:1|Federico Fazio|for Marcos Rojo', '66&amp;rsquor;|3:2|Sergio Agüero|for Enzo Pérez', '75&amp;rsquor;|4:2|Maximiliano Meza|for Cristian Pavón']"/>
  </r>
  <r>
    <s v="Uruguay"/>
    <s v="Portugal"/>
    <n v="2"/>
    <n v="0.6"/>
    <m/>
    <n v="1"/>
    <n v="1"/>
    <m/>
    <s v="Óscar Tabárez"/>
    <s v="Diego Godín"/>
    <s v="Fernando Santos"/>
    <s v="Cristiano Ronaldo"/>
    <n v="44287"/>
    <s v="Olimpiyskiy Stadion Fisht, Sochi"/>
    <s v="César Arturo Ramos (Referee) · Marvin Torrentera (AR1) · Miguel Ángel Hernández (AR2) · Jair Marrufo (4th) · Mark Geiger (VAR)"/>
    <x v="4"/>
    <x v="32"/>
    <s v="2–1"/>
    <s v="César Arturo Ramos"/>
    <s v=""/>
    <x v="1"/>
    <x v="1"/>
    <s v="Edinson Cavani · 7|Edinson Cavani · 62"/>
    <s v="Pepe · 55"/>
    <s v="['7&amp;rsquor;|1:0|Edinson Cavani|Assist:|Luis Suárez', '62&amp;rsquor;|2:1|Edinson Cavani|Assist:|Rodrigo Bentancur']"/>
    <s v="['55&amp;rsquor;|1:1|Pepe|Assist:|Raphaël Guerreiro']"/>
    <s v=""/>
    <s v=""/>
    <s v=""/>
    <s v=""/>
    <s v=""/>
    <s v=""/>
    <s v=""/>
    <s v=""/>
    <s v=""/>
    <s v=""/>
    <s v=""/>
    <s v=""/>
    <s v=""/>
    <s v=""/>
    <s v=""/>
    <s v="['90+3&amp;rsquor;|2:1|Cristiano Ronaldo']"/>
    <s v="['63&amp;rsquor;|2:1|Cristian Rodríguez|for Rodrigo Bentancur', '74&amp;rsquor;|2:1|Cristhian Stuani|for Edinson Cavani', '81&amp;rsquor;|2:1|Carlos Sánchez|for Nahitan Nández']"/>
    <s v="['65&amp;rsquor;|2:1|Ricardo Quaresma|for Adrien Silva', '74&amp;rsquor;|2:1|André Silva|for Gonçalo Guedes', '85&amp;rsquor;|2:1|Manuel Fernandes|for João Mário']"/>
  </r>
  <r>
    <s v="Japan"/>
    <s v="Poland"/>
    <n v="0"/>
    <n v="0.7"/>
    <m/>
    <n v="1"/>
    <n v="1.4"/>
    <m/>
    <s v="Akira Nishino"/>
    <s v="Eiji Kawashima"/>
    <s v="Adam Nawałka"/>
    <s v="Robert Lewandowski"/>
    <n v="42189"/>
    <s v="Volgograd Arena, Volgograd"/>
    <s v="Janny Sikazwe (Referee) · Jerson dos Santos (AR1) · Zakhele Siwela (AR2) · Ricardo Montero (4th) · Daniele Orsato (VAR)"/>
    <x v="5"/>
    <x v="33"/>
    <s v="0–1"/>
    <s v="Janny Sikazwe"/>
    <s v=""/>
    <x v="1"/>
    <x v="1"/>
    <s v=""/>
    <s v="Jan Bednarek · 59"/>
    <s v=""/>
    <s v="['59&amp;rsquor;|0:1|Jan Bednarek|Assist:|Rafał Kurzawa']"/>
    <s v=""/>
    <s v=""/>
    <s v=""/>
    <s v=""/>
    <s v=""/>
    <s v=""/>
    <s v=""/>
    <s v=""/>
    <s v=""/>
    <s v=""/>
    <s v=""/>
    <s v=""/>
    <s v=""/>
    <s v=""/>
    <s v="['66&amp;rsquor;|0:1|Tomoaki Makino']"/>
    <s v=""/>
    <s v="['47&amp;rsquor;|0:0|Yuya Osako|for Shinji Okazaki', '65&amp;rsquor;|0:1|Takashi Inui|for Takashi Usami', '82&amp;rsquor;|0:1|Makoto Hasebe|for Yoshinori Mutō']"/>
    <s v="['79&amp;rsquor;|0:1|Łukasz Teodorczyk|for Piotr Zieliński', '80&amp;rsquor;|0:1|Sławomir Peszko|for Rafał Kurzawa']"/>
  </r>
  <r>
    <s v="Senegal"/>
    <s v="Colombia"/>
    <n v="0"/>
    <n v="0.5"/>
    <m/>
    <n v="1"/>
    <n v="0.3"/>
    <m/>
    <s v="Aliou Cissé"/>
    <s v="Cheikhou Kouyaté"/>
    <s v="José Pekerman"/>
    <s v="Radamel Falcao"/>
    <n v="41970"/>
    <s v="Cosmos Arena, Samara"/>
    <s v="Milorad Mažić (Referee) · Milovan Ristić (AR1) · Dalibor Đurđević (AR2) · Bamlak Tessema (4th) · Danny Makkelie (VAR)"/>
    <x v="5"/>
    <x v="33"/>
    <s v="0–1"/>
    <s v="Milorad Mažić"/>
    <s v=""/>
    <x v="1"/>
    <x v="1"/>
    <s v=""/>
    <s v="Yerry Mina · 74"/>
    <s v=""/>
    <s v="['74&amp;rsquor;|0:1|Yerry Mina|Assist:|Juan Quintero']"/>
    <s v=""/>
    <s v=""/>
    <s v=""/>
    <s v=""/>
    <s v=""/>
    <s v=""/>
    <s v=""/>
    <s v=""/>
    <s v=""/>
    <s v=""/>
    <s v=""/>
    <s v=""/>
    <s v=""/>
    <s v=""/>
    <s v="[&quot;51&amp;rsquor;|0:0|M'Baye Niang&quot;]"/>
    <s v="['45&amp;rsquor;|0:0|Johan Mojica']"/>
    <s v="['74&amp;rsquor;|0:0|Moussa Wagué|for Youssouf Sabaly', '80&amp;rsquor;|0:1|Moussa Konaté|for Keita Baldé', &quot;86&amp;rsquor;|0:1|Diafra Sakho|for M'Baye Niang&quot;]"/>
    <s v="['31&amp;rsquor;|0:0|Luis Muriel|for James Rodríguez', '83&amp;rsquor;|0:1|Jefferson Lerma|for Mateus Uribe', '89&amp;rsquor;|0:1|Miguel Borja|for Radamel Falcao']"/>
  </r>
  <r>
    <s v="England"/>
    <s v="Belgium"/>
    <n v="0"/>
    <n v="0.9"/>
    <m/>
    <n v="1"/>
    <n v="1.3"/>
    <m/>
    <s v="Gareth Southgate"/>
    <s v="Eric Dier"/>
    <s v="Roberto Martínez"/>
    <s v="Thibaut Courtois"/>
    <n v="33973"/>
    <s v="Kaliningrad Stadium, Kaliningrad"/>
    <s v="Damir Skomina (Referee) · Jure Praprotnik (AR1) · Robert Vukan (AR2) · Mohammed Abdulla Hassan (4th) · Artur Soares Dias (VAR)"/>
    <x v="5"/>
    <x v="33"/>
    <s v="0–1"/>
    <s v="Damir Skomina"/>
    <s v=""/>
    <x v="1"/>
    <x v="1"/>
    <s v=""/>
    <s v="Adnan Januzaj · 51"/>
    <s v=""/>
    <s v="['51&amp;rsquor;|0:1|Adnan Januzaj|Assist:|Youri Tielemans']"/>
    <s v=""/>
    <s v=""/>
    <s v=""/>
    <s v=""/>
    <s v=""/>
    <s v=""/>
    <s v=""/>
    <s v=""/>
    <s v=""/>
    <s v=""/>
    <s v=""/>
    <s v=""/>
    <s v=""/>
    <s v=""/>
    <s v=""/>
    <s v="['19&amp;rsquor;|0:0|Youri Tielemans', '33&amp;rsquor;|0:0|Leander Dendoncker']"/>
    <s v="['46&amp;rsquor;|0:0|Harry Maguire|for John Stones', '79&amp;rsquor;|0:1|Danny Welbeck|for Marcus Rashford']"/>
    <s v="['74&amp;rsquor;|0:1|Vincent Kompany|for Thomas Vermaelen', '86&amp;rsquor;|0:1|Dries Mertens|for Adnan Januzaj']"/>
  </r>
  <r>
    <s v="Panama"/>
    <s v="Tunisia"/>
    <n v="1"/>
    <n v="0.6"/>
    <m/>
    <n v="2"/>
    <n v="2.1"/>
    <m/>
    <s v="Hernán Darío Gómez"/>
    <s v="Román Torres"/>
    <s v="Nabil Maâloul"/>
    <s v="Aymen Mathlouthi"/>
    <n v="37168"/>
    <s v="Mordovia Arena, Saransk"/>
    <s v="Nawaf Shukralla (Referee) · Yaser Tulefat (AR1) · Taleb Salem Al Marri (AR2) · Mehdi Abid Charef (4th) · Tiago Martins (VAR)"/>
    <x v="5"/>
    <x v="33"/>
    <s v="1–2"/>
    <s v="Nawaf Shukralla"/>
    <s v=""/>
    <x v="1"/>
    <x v="1"/>
    <s v=""/>
    <s v="Fakhreddine Ben Youssef · 51|Wahbi Khazri · 66"/>
    <s v=""/>
    <s v="['51&amp;rsquor;|1:1|Fakhreddine Ben Youssef|Assist:|Wahbi Khazri', '66&amp;rsquor;|1:2|Wahbi Khazri|Assist:|Oussama Haddadi']"/>
    <s v="Yassine Meriah (OG) · 33"/>
    <s v=""/>
    <s v=""/>
    <s v=""/>
    <s v=""/>
    <s v=""/>
    <s v=""/>
    <s v=""/>
    <s v=""/>
    <s v=""/>
    <s v=""/>
    <s v=""/>
    <s v=""/>
    <s v=""/>
    <s v="['78&amp;rsquor;|1:2|Ricardo Ávila', '79&amp;rsquor;|1:2|Gabriel Gómez', '90+6&amp;rsquor;|1:2|Luis Tejada']"/>
    <s v="['44&amp;rsquor;|1:0|Ferjani Sassi', '71&amp;rsquor;|1:2|Anice Badri', '90+3&amp;rsquor;|1:2|Ghaylène Chaalali']"/>
    <s v="['46&amp;rsquor;|1:0|Harold Cummings|for Gabriel Torres', '56&amp;rsquor;|1:1|Luis Tejada|for Román Torres', '81&amp;rsquor;|1:2|Abdiel Arroyo|for Ricardo Ávila']"/>
    <s v="['46&amp;rsquor;|1:0|Anice Badri|for Ferjani Sassi', '77&amp;rsquor;|1:2|Ahmed Khalil|for Naïm Sliti', '89&amp;rsquor;|1:2|Bassem Srarfi|for Wahbi Khazri']"/>
  </r>
  <r>
    <s v="Korea Republic"/>
    <s v="Germany"/>
    <n v="2"/>
    <n v="1.7"/>
    <m/>
    <n v="0"/>
    <n v="2.7"/>
    <m/>
    <s v="Shin Taeyong"/>
    <s v="Son Heung-min"/>
    <s v="Joachim Löw"/>
    <s v="Manuel Neuer"/>
    <n v="41835"/>
    <s v="Kazan Arena, Kazan"/>
    <s v="Mark Geiger (Referee) · Joe Fletcher (AR1) · Frank Anderson (AR2) · Julio Bascuñán (4th) · Danny Makkelie (VAR)"/>
    <x v="5"/>
    <x v="34"/>
    <s v="2–0"/>
    <s v="Mark Geiger"/>
    <s v=""/>
    <x v="1"/>
    <x v="1"/>
    <s v="Kim Young-gwon · 90+3|Son Heung-min · 90+6"/>
    <s v=""/>
    <s v="['90+3&amp;rsquor;|1:0|Kim Young-gwon', '90+6&amp;rsquor;|2:0|Son Heung-min|Assist:|Ju Se-jong']"/>
    <s v=""/>
    <s v=""/>
    <s v=""/>
    <s v=""/>
    <s v=""/>
    <s v=""/>
    <s v=""/>
    <s v=""/>
    <s v=""/>
    <s v=""/>
    <s v=""/>
    <s v=""/>
    <s v=""/>
    <s v=""/>
    <s v=""/>
    <s v="['9&amp;rsquor;|0:0|Jung Woo-young', '23&amp;rsquor;|0:0|Lee Jae-sung', '48&amp;rsquor;|0:0|Moon Seon-min', '65&amp;rsquor;|0:0|Son Heung-min']"/>
    <s v=""/>
    <s v="['56&amp;rsquor;|0:0|Hwang Hee-chan|for Koo Ja-cheol', '69&amp;rsquor;|0:0|Ju Se-jong|for Moon Seon-min', '79&amp;rsquor;|0:0|Go Yo-han|for Hwang Hee-chan']"/>
    <s v="['58&amp;rsquor;|0:0|Mario Gómez|for Sami Khedira', '63&amp;rsquor;|0:0|Thomas Müller|for Leon Goretzka', '78&amp;rsquor;|0:0|Julian Brandt|for Jonas Hector']"/>
  </r>
  <r>
    <s v="Mexico"/>
    <s v="Sweden"/>
    <n v="0"/>
    <n v="1.4"/>
    <m/>
    <n v="3"/>
    <n v="2.4"/>
    <m/>
    <s v="Juan Carlos Osorio"/>
    <s v="Andrés Guardado"/>
    <s v="Janne Andersson"/>
    <s v="Robin Olsen"/>
    <n v="33061"/>
    <s v="Stadion Central'nyj, Yekaterinburg"/>
    <s v="Néstor Pitana (Referee) · Hernán Maidana (AR1) · Juan Pablo Belatti (AR2) · Andrés Cunha (4th) · Mauro Vigliano (VAR)"/>
    <x v="5"/>
    <x v="34"/>
    <s v="0–3"/>
    <s v="Néstor Pitana"/>
    <s v=""/>
    <x v="1"/>
    <x v="1"/>
    <s v=""/>
    <s v="Ludwig Augustinsson · 50"/>
    <s v=""/>
    <s v="['50&amp;rsquor;|0:1|Ludwig Augustinsson|Assist:|Viktor Claesson']"/>
    <s v=""/>
    <s v="Edson Álvarez (OG) · 74"/>
    <s v=""/>
    <s v="Andreas Granqvist (P) · 62"/>
    <s v=""/>
    <s v=""/>
    <s v=""/>
    <s v=""/>
    <s v=""/>
    <s v=""/>
    <s v=""/>
    <s v=""/>
    <s v=""/>
    <s v=""/>
    <s v="['1&amp;rsquor;|0:0|Jesús Gallardo', '61&amp;rsquor;|0:1|Héctor Moreno', '86&amp;rsquor;|0:3|Miguel Layún']"/>
    <s v="['26&amp;rsquor;|0:0|Seb Larsson', '88&amp;rsquor;|0:3|Mikael Lustig']"/>
    <s v="['65&amp;rsquor;|0:2|Marco Fabián|for Jesús Gallardo', '75&amp;rsquor;|0:3|Jesús Corona|for Andrés Guardado', '89&amp;rsquor;|0:3|Oribe Peralta|for Miguel Layún']"/>
    <s v="['57&amp;rsquor;|0:1|Gustav Svensson|for Seb Larsson', '68&amp;rsquor;|0:2|Isaac Kiese Thelin|for Marcus Berg', '80&amp;rsquor;|0:3|Oscar Hiljemark|for Albin Ekdal']"/>
  </r>
  <r>
    <s v="Switzerland"/>
    <s v="Costa Rica"/>
    <n v="2"/>
    <n v="1.4"/>
    <m/>
    <n v="2"/>
    <n v="1.5"/>
    <m/>
    <s v="Vladimir Petković"/>
    <s v="Stephan Lichtsteiner"/>
    <s v="Oscar Ramírez"/>
    <s v="Bryan Ruiz"/>
    <n v="43319"/>
    <s v="Stadion Nizhny Novgorod, Nizhny Novgorod"/>
    <s v="Clément Turpin (Referee) · Nicolas Danos (AR1) · Cyril Gringore (AR2) · Norbert Hauata (4th) · Felix Zwayer (VAR)"/>
    <x v="5"/>
    <x v="34"/>
    <s v="2–2"/>
    <s v="Clément Turpin"/>
    <s v=""/>
    <x v="1"/>
    <x v="1"/>
    <s v="Blerim Džemaili · 31|Josip Drmić · 88"/>
    <s v="Kendall Waston · 56"/>
    <s v="['31&amp;rsquor;|1:0|Blerim Džemaili|Assist:|Breel Embolo', '88&amp;rsquor;|2:1|Josip Drmić|Assist:|Denis Zakaria']"/>
    <s v="['56&amp;rsquor;|1:1|Kendall Waston|Assist:|Joel Campbell']"/>
    <s v=""/>
    <s v="Yann Sommer (OG) · 90+3"/>
    <s v=""/>
    <s v=""/>
    <s v=""/>
    <s v="['90+3&amp;rsquor;|2:1|Bryan Ruiz|Penalty Miss']"/>
    <s v=""/>
    <s v=""/>
    <s v=""/>
    <s v=""/>
    <s v=""/>
    <s v=""/>
    <s v=""/>
    <s v=""/>
    <s v="['37&amp;rsquor;|1:0|Stephan Lichtsteiner', '75&amp;rsquor;|1:1|Denis Zakaria', '83&amp;rsquor;|1:1|Fabian Schär']"/>
    <s v="['11&amp;rsquor;|0:0|Cristian Gamboa', '29&amp;rsquor;|0:0|Joel Campbell', '89&amp;rsquor;|2:1|Kendall Waston']"/>
    <s v="['60&amp;rsquor;|1:1|Denis Zakaria|for Valon Behrami', '69&amp;rsquor;|1:1|Josip Drmić|for Mario Gavranović', '81&amp;rsquor;|1:1|Michael Lang|for Xherdan Shaqiri']"/>
    <s v="['81&amp;rsquor;|1:1|Rodney Wallace|for Daniel Colindres', '90+1&amp;rsquor;|2:1|Randall Azofeifa|for David Guzmán', '90+3&amp;rsquor;|2:1|Ian Smith|for Cristian Gamboa']"/>
  </r>
  <r>
    <s v="Serbia"/>
    <s v="Brazil"/>
    <n v="0"/>
    <n v="0.8"/>
    <m/>
    <n v="2"/>
    <n v="1.4"/>
    <m/>
    <s v="Mladen Krstajić"/>
    <s v="Aleksandar Kolarov"/>
    <s v="Tite"/>
    <s v="Miranda"/>
    <n v="44190"/>
    <s v="Otkrytie Arena, Moskva"/>
    <s v="Alireza Faghani (Referee) · Reza Sokhandan (AR1) · Mohammadreza Mansouri (AR2) · Nawaf Shukralla (4th) · Massimiliano Irrati (VAR)"/>
    <x v="5"/>
    <x v="34"/>
    <s v="0–2"/>
    <s v="Alireza Faghani"/>
    <s v=""/>
    <x v="1"/>
    <x v="1"/>
    <s v=""/>
    <s v="Paulinho · 36|Thiago Silva · 68"/>
    <s v=""/>
    <s v="['36&amp;rsquor;|0:1|Paulinho|Assist:|Philippe Coutinho', '68&amp;rsquor;|0:2|Thiago Silva|Assist:|Neymar']"/>
    <s v=""/>
    <s v=""/>
    <s v=""/>
    <s v=""/>
    <s v=""/>
    <s v=""/>
    <s v=""/>
    <s v=""/>
    <s v=""/>
    <s v=""/>
    <s v=""/>
    <s v=""/>
    <s v=""/>
    <s v=""/>
    <s v="['33&amp;rsquor;|0:0|Adem Ljajić', '48&amp;rsquor;|0:1|Nemanja Matić', '71&amp;rsquor;|0:2|Aleksandar Mitrović']"/>
    <s v=""/>
    <s v="['75&amp;rsquor;|0:2|Andrija Živković|for Adem Ljajić', '82&amp;rsquor;|0:2|Nemanja Radonjić|for Filip Kostić', '89&amp;rsquor;|0:2|Luka Jović|for Aleksandar Mitrović']"/>
    <s v="['10&amp;rsquor;|0:0|Filipe Luís|for Marcelo', '66&amp;rsquor;|0:1|Fernandinho|for Paulinho', '80&amp;rsquor;|0:2|Renato Augusto|for Philippe Coutinho']"/>
  </r>
  <r>
    <s v="Australia"/>
    <s v="Peru"/>
    <n v="0"/>
    <n v="0.9"/>
    <m/>
    <n v="2"/>
    <n v="0.2"/>
    <m/>
    <s v="Bert van Marwijk"/>
    <s v="Mile Jedinak"/>
    <s v="Ricardo Gareca"/>
    <s v="Paolo Guerrero"/>
    <n v="44073"/>
    <s v="Olimpiyskiy Stadion Fisht, Sochi"/>
    <s v="Sergey Karasev (Referee) · Anton Averianov (AR1) · Tikhon Kalugin (AR2) · Ryūji Satō (4th) · Danny Makkelie (VAR)"/>
    <x v="5"/>
    <x v="35"/>
    <s v="0–2"/>
    <s v="Sergey Karasev"/>
    <s v=""/>
    <x v="1"/>
    <x v="1"/>
    <s v=""/>
    <s v="André Carrillo · 18|Paolo Guerrero · 50"/>
    <s v=""/>
    <s v="['18&amp;rsquor;|0:1|André Carrillo|Assist:|Paolo Guerrero', '50&amp;rsquor;|0:2|Paolo Guerrero']"/>
    <s v=""/>
    <s v=""/>
    <s v=""/>
    <s v=""/>
    <s v=""/>
    <s v=""/>
    <s v=""/>
    <s v=""/>
    <s v=""/>
    <s v=""/>
    <s v=""/>
    <s v=""/>
    <s v=""/>
    <s v=""/>
    <s v="['10&amp;rsquor;|0:0|Mile Jedinak', '60&amp;rsquor;|0:2|Daniel Arzani', '66&amp;rsquor;|0:2|Tom Rogić', '88&amp;rsquor;|0:2|Mark Milligan']"/>
    <s v="['45&amp;rsquor;|0:1|Yoshimar Yotún', '79&amp;rsquor;|0:2|Paolo Hurtado']"/>
    <s v="['53&amp;rsquor;|0:2|Tim Cahill|for Tomi Juric', '58&amp;rsquor;|0:2|Daniel Arzani|for Robbie Kruse', '72&amp;rsquor;|0:2|Jackson Irvine|for Tom Rogić']"/>
    <s v="['46&amp;rsquor;|0:1|Pedro Aquino|for Yoshimar Yotún', '63&amp;rsquor;|0:2|Paolo Hurtado|for Renato Tapia', '79&amp;rsquor;|0:2|Wilder Cartagena|for André Carrillo']"/>
  </r>
  <r>
    <s v="Denmark"/>
    <s v="France"/>
    <n v="0"/>
    <n v="0.2"/>
    <m/>
    <n v="0"/>
    <n v="0.4"/>
    <m/>
    <s v="Åge Hareide"/>
    <s v="Simon Kjær"/>
    <s v="Didier Deschamps"/>
    <s v="Raphaël Varane"/>
    <n v="78011"/>
    <s v="Olimpiyskiy stadion Luzhniki, Moskva"/>
    <s v="Sandro Ricci (Referee) · Emerson de Carvalho (AR1) · Marcelo Van Gasse (AR2) · Gianluca Rocchi (4th) · Mauro Vigliano (VAR)"/>
    <x v="5"/>
    <x v="35"/>
    <s v="0–0"/>
    <s v="Sandro Ricci"/>
    <s v=""/>
    <x v="1"/>
    <x v="1"/>
    <s v=""/>
    <s v=""/>
    <s v=""/>
    <s v=""/>
    <s v=""/>
    <s v=""/>
    <s v=""/>
    <s v=""/>
    <s v=""/>
    <s v=""/>
    <s v=""/>
    <s v=""/>
    <s v=""/>
    <s v=""/>
    <s v=""/>
    <s v=""/>
    <s v=""/>
    <s v=""/>
    <s v="['45+3&amp;rsquor;|0:0|Mathias Jørgensen']"/>
    <s v=""/>
    <s v="['60&amp;rsquor;|0:0|Viktor Fischer|for Pione Sisto', '75&amp;rsquor;|0:0|Kasper Dolberg|for Andreas Cornelius', '90+2&amp;rsquor;|0:0|Lukas Lerager|for Thomas Delaney']"/>
    <s v="['50&amp;rsquor;|0:0|Benjamin Mendy|for Lucas Hernández', '68&amp;rsquor;|0:0|Nabil Fekir|for Antoine Griezmann', '78&amp;rsquor;|0:0|Kylian Mbappé|for Ousmane Dembélé']"/>
  </r>
  <r>
    <s v="Iceland"/>
    <s v="Croatia"/>
    <n v="1"/>
    <n v="2.1"/>
    <m/>
    <n v="2"/>
    <n v="0.7"/>
    <m/>
    <s v="Heimir Hallgrímsson"/>
    <s v="Aron Gunnarsson"/>
    <s v="Zlatko Dalić"/>
    <s v="Luka Modrić"/>
    <n v="43472"/>
    <s v="Rostov Arena, Rostov-na-Donu"/>
    <s v="Antonio Matéu Lahoz (Referee) · Pau Cebrián Devis (AR1) · Roberto Díaz Pérez (AR2) · John Pitti (4th) · Paolo Valeri (VAR)"/>
    <x v="5"/>
    <x v="35"/>
    <s v="1–2"/>
    <s v="Antonio Matéu Lahoz"/>
    <s v=""/>
    <x v="1"/>
    <x v="1"/>
    <s v=""/>
    <s v="Milan Badelj · 53|Ivan Perišić · 90"/>
    <s v=""/>
    <s v="['53&amp;rsquor;|0:1|Milan Badelj', '90&amp;rsquor;|1:2|Ivan Perišić|Assist:|Milan Badelj']"/>
    <s v=""/>
    <s v=""/>
    <s v="Gylfi Sigurðsson (P) · 76"/>
    <s v=""/>
    <s v=""/>
    <s v=""/>
    <s v=""/>
    <s v=""/>
    <s v=""/>
    <s v=""/>
    <s v=""/>
    <s v=""/>
    <s v=""/>
    <s v=""/>
    <s v="['59&amp;rsquor;|0:1|Emil Hallfreðsson', '64&amp;rsquor;|0:1|Alfreð Finnbogason', '84&amp;rsquor;|1:1|Birkir Már Sævarsson']"/>
    <s v="['14&amp;rsquor;|0:0|Marko Pjaca', '83&amp;rsquor;|1:1|Tin Jedvaj']"/>
    <s v="['70&amp;rsquor;|0:1|Björn Sigurðarson|for Ragnar Sigurðsson', '85&amp;rsquor;|1:1|Albert Guðmundsson|for Alfreð Finnbogason', '90&amp;rsquor;|1:1|Arnór Ingvi Traustason|for Birkir Bjarnason']"/>
    <s v="['65&amp;rsquor;|0:1|Filip Bradarić|for Luka Modrić', '70&amp;rsquor;|0:1|Dejan Lovren|for Marko Pjaca', '81&amp;rsquor;|1:1|Ivan Rakitić|for Mateo Kovačić']"/>
  </r>
  <r>
    <s v="Nigeria"/>
    <s v="Argentina"/>
    <n v="1"/>
    <n v="1.4"/>
    <m/>
    <n v="2"/>
    <n v="0.9"/>
    <m/>
    <s v="Gernot Rohr"/>
    <s v="John Obi Mikel"/>
    <s v="Jorge Sampaoli"/>
    <s v="Lionel Messi"/>
    <n v="64468"/>
    <s v="Gazprom Arena, Sankt-Petersburg"/>
    <s v="Cüneyt Çakιr (Referee) · Bahattin Duran (AR1) · Tarık Ongun (AR2) · Björn Kuipers (4th) · Daniele Orsato (VAR)"/>
    <x v="5"/>
    <x v="35"/>
    <s v="1–2"/>
    <s v="Cüneyt Çakιr"/>
    <s v=""/>
    <x v="1"/>
    <x v="1"/>
    <s v=""/>
    <s v="Lionel Messi · 14|Marcos Rojo · 86"/>
    <s v=""/>
    <s v="['14&amp;rsquor;|0:1|Lionel Messi|Assist:|Éver Banega', '86&amp;rsquor;|1:2|Marcos Rojo|Assist:|Gabriel Mercado']"/>
    <s v=""/>
    <s v=""/>
    <s v="Victor Moses (P) · 51"/>
    <s v=""/>
    <s v=""/>
    <s v=""/>
    <s v=""/>
    <s v=""/>
    <s v=""/>
    <s v=""/>
    <s v=""/>
    <s v=""/>
    <s v=""/>
    <s v=""/>
    <s v="['32&amp;rsquor;|0:1|Leon Balogun', '90+1&amp;rsquor;|1:2|John Obi Mikel']"/>
    <s v="['49&amp;rsquor;|0:1|Javier Mascherano', '64&amp;rsquor;|1:1|Éver Banega', '90+4&amp;rsquor;|1:2|Lionel Messi']"/>
    <s v="['46&amp;rsquor;|0:1|Odion Ighalo|for Kelechi Iheanacho', '90&amp;rsquor;|1:2|Alex Iwobi|for Kenneth Omeruo', '90+2&amp;rsquor;|1:2|Simeon Nwankwo|for Ahmed Musa']"/>
    <s v="['61&amp;rsquor;|1:1|Cristian Pavón|for Enzo Pérez', '72&amp;rsquor;|1:1|Maximiliano Meza|for Ángel Di María', '80&amp;rsquor;|1:1|Sergio Agüero|for Nicolás Tagliafico']"/>
  </r>
  <r>
    <s v="Saudi Arabia"/>
    <s v="Egypt"/>
    <n v="2"/>
    <n v="2.6"/>
    <m/>
    <n v="1"/>
    <n v="0.8"/>
    <m/>
    <s v="Juan Antonio Pizzi"/>
    <s v="Osama Hawsawi"/>
    <s v="Héctor Cúper"/>
    <s v="Essam El-Hadary"/>
    <n v="36823"/>
    <s v="Volgograd Arena, Volgograd"/>
    <s v="Wilmar Roldán (Referee) · Alexander Guzmán (AR1) · Cristián de la Cruz (AR2) · Ricardo Montero (4th) · Artur Soares Dias (VAR)"/>
    <x v="5"/>
    <x v="36"/>
    <s v="2–1"/>
    <s v="Wilmar Roldán"/>
    <s v=""/>
    <x v="1"/>
    <x v="1"/>
    <s v="Salem Al-Dawsari · 90+5"/>
    <s v="Mohamed Salah · 22"/>
    <s v="['90+5&amp;rsquor;|2:1|Salem Al-Dawsari|Assist:|Abdullah Otayf']"/>
    <s v="['22&amp;rsquor;|0:1|Mohamed Salah|Assist:|Abdallah Said']"/>
    <s v=""/>
    <s v=""/>
    <s v="Salman Al-Faraj (P) · 45+6"/>
    <s v=""/>
    <s v="['41&amp;rsquor;|0:1|Fahad Al Muwallad|Penalty saved by Essam El-Hadary']"/>
    <s v=""/>
    <s v=""/>
    <s v=""/>
    <s v=""/>
    <s v=""/>
    <s v=""/>
    <s v=""/>
    <s v=""/>
    <s v=""/>
    <s v=""/>
    <s v="['45+5&amp;rsquor;|0:1|Ali Gabr', '86&amp;rsquor;|1:1|Ahmed Fathy']"/>
    <s v="['65&amp;rsquor;|1:1|Muhannad Assiri|for Hattan Bahebri', '79&amp;rsquor;|1:1|Yahya Al-Shehri|for Fahad Al Muwallad']"/>
    <s v="['45+7&amp;rsquor;|1:1|Amr Warda|for Abdallah Said', '64&amp;rsquor;|1:1|Ramadan Sobhi|for Marwan Mohsen', '81&amp;rsquor;|1:1|Kahraba|for Trézéguet']"/>
  </r>
  <r>
    <s v="Uruguay"/>
    <s v="Russia"/>
    <n v="3"/>
    <n v="2.4"/>
    <m/>
    <n v="0"/>
    <n v="0.1"/>
    <m/>
    <s v="Óscar Tabárez"/>
    <s v="Diego Godín"/>
    <s v="Stanislav Cherchesov"/>
    <s v="Igor Akinfeev"/>
    <n v="41970"/>
    <s v="Cosmos Arena, Samara"/>
    <s v="Malang Diédhiou (Referee) · Djibril Camara (AR1) · El Hadji Malick Samba (AR2) · Bamlak Tessema (4th) · Clément Turpin (VAR)"/>
    <x v="5"/>
    <x v="36"/>
    <s v="3–0"/>
    <s v="Malang Diédhiou"/>
    <s v=""/>
    <x v="1"/>
    <x v="1"/>
    <s v="Luis Suárez · 10|Edinson Cavani · 90"/>
    <s v=""/>
    <s v="['10&amp;rsquor;|1:0|Luis Suárez', '90&amp;rsquor;|3:0|Edinson Cavani']"/>
    <s v=""/>
    <s v="Denis Cheryshev (OG) · 23"/>
    <s v=""/>
    <s v=""/>
    <s v=""/>
    <s v=""/>
    <s v=""/>
    <s v=""/>
    <s v=""/>
    <s v=""/>
    <s v=""/>
    <s v=""/>
    <s v=""/>
    <s v=""/>
    <s v="Igor Smolnikov · 36"/>
    <s v="['59&amp;rsquor;|2:0|Rodrigo Bentancur']"/>
    <s v="['9&amp;rsquor;|0:0|Yuri Gazinskiy', '27&amp;rsquor;|2:0|Igor Smolnikov']"/>
    <s v="['63&amp;rsquor;|2:0|Giorgian De Arrascaeta|for Rodrigo Bentancur', '73&amp;rsquor;|2:0|Cristian Rodríguez|for Nahitan Nández', '90+3&amp;rsquor;|3:0|Maxi Gómez|for Edinson Cavani']"/>
    <s v="['38&amp;rsquor;|2:0|Mário Fernandes|for Denis Cheryshev', '46&amp;rsquor;|2:0|Daler Kuzyaev|for Yuri Gazinskiy', '60&amp;rsquor;|2:0|Fyodor Smolov|for Aleksei Miranchuk']"/>
  </r>
  <r>
    <s v="Spain"/>
    <s v="Morocco"/>
    <n v="2"/>
    <n v="2.9"/>
    <m/>
    <n v="2"/>
    <n v="1.2"/>
    <m/>
    <s v="Fernando Hierro"/>
    <s v="Sergio Ramos"/>
    <s v="Hervé Renard"/>
    <s v="M'barek Boussoufa"/>
    <n v="33973"/>
    <s v="Kaliningrad Stadium, Kaliningrad"/>
    <s v="Ravshan Irmatov (Referee) · Abdukhamidullo Rasulov (AR1) · Jakhongir Saidov (AR2) · Mohammed Abdulla Hassan (4th) · Felix Zwayer (VAR)"/>
    <x v="5"/>
    <x v="36"/>
    <s v="2–2"/>
    <s v="Ravshan Irmatov"/>
    <s v=""/>
    <x v="1"/>
    <x v="1"/>
    <s v="Isco · 19|Iago Aspas · 90+1"/>
    <s v="Khalid Boutaïb · 14|Youssef En-Nesyri · 81"/>
    <s v="['19&amp;rsquor;|1:1|Isco|Assist:|Andrés Iniesta', '90+1&amp;rsquor;|2:2|Iago Aspas|Assist:|Dani Carvajal']"/>
    <s v="['14&amp;rsquor;|0:1|Khalid Boutaïb', '81&amp;rsquor;|1:2|Youssef En-Nesyri|Assist:|Fayçal Fajr']"/>
    <s v=""/>
    <s v=""/>
    <s v=""/>
    <s v=""/>
    <s v=""/>
    <s v=""/>
    <s v=""/>
    <s v=""/>
    <s v=""/>
    <s v=""/>
    <s v=""/>
    <s v=""/>
    <s v=""/>
    <s v=""/>
    <s v=""/>
    <s v="['22&amp;rsquor;|1:1|Karim El Ahmadi', '29&amp;rsquor;|1:1|Nordin Amrabat', '31&amp;rsquor;|1:1|Manuel da Costa', &quot;31&amp;rsquor;|1:1|M'barek Boussoufa&quot;, '88&amp;rsquor;|1:2|Munir', '90+4&amp;rsquor;|2:2|Achraf Hakimi']"/>
    <s v="['74&amp;rsquor;|1:1|Marco Asensio|for Thiago Alcántara', '74&amp;rsquor;|1:1|Iago Aspas|for Diego Costa', '84&amp;rsquor;|1:2|Rodrigo|for David Silva']"/>
    <s v="['63&amp;rsquor;|1:1|Fayçal Fajr|for Younès Belhanda', '72&amp;rsquor;|1:1|Youssef En-Nesyri|for Khalid Boutaïb', '85&amp;rsquor;|1:2|Aziz Bouhaddouz|for Hakim Ziyech']"/>
  </r>
  <r>
    <s v="IR Iran"/>
    <s v="Portugal"/>
    <n v="1"/>
    <n v="1.4"/>
    <m/>
    <n v="1"/>
    <n v="1.3"/>
    <m/>
    <s v="Carlos Queiroz"/>
    <s v="Ehsan Hajsafi"/>
    <s v="Fernando Santos"/>
    <s v="Cristiano Ronaldo"/>
    <n v="41685"/>
    <s v="Mordovia Arena, Saransk"/>
    <s v="Enrique Cáceres (Referee) · Eduardo Cardozo (AR1) · Juan Zorrilla (AR2) · Mehdi Abid Charef (4th) · Massimiliano Irrati (VAR)"/>
    <x v="5"/>
    <x v="36"/>
    <s v="1–1"/>
    <s v="Enrique Cáceres"/>
    <s v=""/>
    <x v="1"/>
    <x v="1"/>
    <s v=""/>
    <s v="Ricardo Quaresma · 45"/>
    <s v=""/>
    <s v="['45&amp;rsquor;|0:1|Ricardo Quaresma|Assist:|Adrien Silva']"/>
    <s v=""/>
    <s v=""/>
    <s v="Karim Ansarifard (P) · 90+3"/>
    <s v=""/>
    <s v=""/>
    <s v="['53&amp;rsquor;|0:1|Cristiano Ronaldo|Penalty saved by Alireza Beiranvand']"/>
    <s v=""/>
    <s v=""/>
    <s v=""/>
    <s v=""/>
    <s v=""/>
    <s v=""/>
    <s v=""/>
    <s v=""/>
    <s v="['51&amp;rsquor;|0:1|Ehsan Hajsafi', '54&amp;rsquor;|0:1|Sardar Azmoun']"/>
    <s v="['33&amp;rsquor;|0:0|Raphaël Guerreiro', '64&amp;rsquor;|0:1|Ricardo Quaresma', '83&amp;rsquor;|0:1|Cristiano Ronaldo', '90+8&amp;rsquor;|1:1|Cédric Soares']"/>
    <s v="['56&amp;rsquor;|0:1|Milad Mohammadi|for Ehsan Hajsafi', '70&amp;rsquor;|0:1|Saman Ghoddos|for Alireza Jahanbakhsh', '75&amp;rsquor;|0:1|Karim Ansarifard|for Saeid Ezatolahi']"/>
    <s v="['69&amp;rsquor;|0:1|Bernardo Silva|for Ricardo Quaresma', '84&amp;rsquor;|0:1|João Moutinho|for João Mário', '90+6&amp;rsquor;|1:1|Gonçalo Guedes|for André Silva']"/>
  </r>
  <r>
    <s v="England"/>
    <s v="Panama"/>
    <n v="6"/>
    <n v="2.8"/>
    <m/>
    <n v="1"/>
    <n v="1.1000000000000001"/>
    <m/>
    <s v="Gareth Southgate"/>
    <s v="Harry Kane"/>
    <s v="Hernán Darío Gómez"/>
    <s v="Román Torres"/>
    <n v="43319"/>
    <s v="Stadion Nizhny Novgorod, Nizhny Novgorod"/>
    <s v="Gehad Grisha (Referee) · Redouane Achik (AR1) · Waleed Ahmed Ali (AR2) · Norbert Hauata (4th) · Danny Makkelie (VAR)"/>
    <x v="5"/>
    <x v="37"/>
    <s v="6–1"/>
    <s v="Gehad Grisha"/>
    <s v=""/>
    <x v="1"/>
    <x v="1"/>
    <s v="John Stones · 8|Jesse Lingard · 36|John Stones · 40|Harry Kane · 62"/>
    <s v="Felipe Baloy · 78"/>
    <s v="['8&amp;rsquor;|1:0|John Stones|Assist:|Kieran Trippier', '36&amp;rsquor;|3:0|Jesse Lingard|Assist:|Raheem Sterling', '40&amp;rsquor;|4:0|John Stones', '62&amp;rsquor;|6:0|Harry Kane|Assist:|Ruben Loftus-Cheek']"/>
    <s v="['78&amp;rsquor;|6:1|Felipe Baloy|Assist:|Ricardo Ávila']"/>
    <s v=""/>
    <s v=""/>
    <s v="Harry Kane (P) · 22|Harry Kane (P) · 45+1"/>
    <s v=""/>
    <s v=""/>
    <s v=""/>
    <s v=""/>
    <s v=""/>
    <s v=""/>
    <s v=""/>
    <s v=""/>
    <s v=""/>
    <s v=""/>
    <s v=""/>
    <s v="['23&amp;rsquor;|2:0|Ruben Loftus-Cheek']"/>
    <s v="['10&amp;rsquor;|1:0|Armando Cooper', '44&amp;rsquor;|4:0|Fidel Escobar', '72&amp;rsquor;|6:0|Michael Amir Murillo']"/>
    <s v="['63&amp;rsquor;|6:0|Jamie Vardy|for Harry Kane', '63&amp;rsquor;|6:0|Fabian Delph|for Jesse Lingard', '70&amp;rsquor;|6:0|Danny Rose|for Kieran Trippier']"/>
    <s v="['62&amp;rsquor;|5:0|Ricardo Ávila|for Aníbal Godoy', '69&amp;rsquor;|6:0|Abdiel Arroyo|for Édgar Yoel Bárcenas', '69&amp;rsquor;|6:0|Felipe Baloy|for Gabriel Gómez']"/>
  </r>
  <r>
    <s v="Japan"/>
    <s v="Senegal"/>
    <n v="2"/>
    <n v="0.9"/>
    <m/>
    <n v="2"/>
    <n v="1.4"/>
    <m/>
    <s v="Akira Nishino"/>
    <s v="Makoto Hasebe"/>
    <s v="Aliou Cissé"/>
    <s v="Sadio Mané"/>
    <n v="32572"/>
    <s v="Stadion Central'nyj, Yekaterinburg"/>
    <s v="Gianluca Rocchi (Referee) · Elenito Di Liberatore (AR1) · Mauro Tonolini (AR2) · Abdelrahman Al Jassim (4th) · Massimiliano Irrati (VAR)"/>
    <x v="5"/>
    <x v="37"/>
    <s v="2–2"/>
    <s v="Gianluca Rocchi"/>
    <s v=""/>
    <x v="1"/>
    <x v="1"/>
    <s v="Takashi Inui · 34|Keisuke Honda · 78"/>
    <s v="Sadio Mané · 12|Moussa Wagué · 71"/>
    <s v="['34&amp;rsquor;|1:1|Takashi Inui|Assist:|Yuto Nagatomo', '78&amp;rsquor;|2:2|Keisuke Honda|Assist:|Takashi Inui']"/>
    <s v="['12&amp;rsquor;|0:1|Sadio Mané', &quot;71&amp;rsquor;|1:2|Moussa Wagué|Assist:|M'Baye Niang&quot;]"/>
    <s v=""/>
    <s v=""/>
    <s v=""/>
    <s v=""/>
    <s v=""/>
    <s v=""/>
    <s v=""/>
    <s v=""/>
    <s v=""/>
    <s v=""/>
    <s v=""/>
    <s v=""/>
    <s v=""/>
    <s v=""/>
    <s v="['68&amp;rsquor;|1:1|Takashi Inui', '90+4&amp;rsquor;|2:2|Makoto Hasebe']"/>
    <s v="[&quot;59&amp;rsquor;|1:1|M'Baye Niang&quot;, '90&amp;rsquor;|2:2|Youssouf Sabaly', &quot;90+1&amp;rsquor;|2:2|Cheikh N'Doye&quot;]"/>
    <s v="['72&amp;rsquor;|1:2|Keisuke Honda|for Shinji Kagawa', '75&amp;rsquor;|1:2|Shinji Okazaki|for Genki Haraguchi', '87&amp;rsquor;|2:2|Takashi Usami|for Takashi Inui']"/>
    <s v="[&quot;65&amp;rsquor;|1:1|Cheikhou Kouyaté|for Alfred N'Diaye&quot;, &quot;81&amp;rsquor;|2:2|Cheikh N'Doye|for Badou Ndiaye&quot;, &quot;86&amp;rsquor;|2:2|Mame Biram Diouf|for M'Baye Niang&quot;]"/>
  </r>
  <r>
    <s v="Poland"/>
    <s v="Colombia"/>
    <n v="0"/>
    <n v="1.1000000000000001"/>
    <m/>
    <n v="3"/>
    <n v="2.1"/>
    <m/>
    <s v="Adam Nawałka"/>
    <s v="Robert Lewandowski"/>
    <s v="José Pekerman"/>
    <s v="Radamel Falcao"/>
    <n v="42873"/>
    <s v="Kazan Arena, Kazan"/>
    <s v="César Arturo Ramos (Referee) · Marvin Torrentera (AR1) · Miguel Ángel Hernández (AR2) · Julio Bascuñán (4th) · Mauro Vigliano (VAR)"/>
    <x v="5"/>
    <x v="37"/>
    <s v="0–3"/>
    <s v="César Arturo Ramos"/>
    <s v=""/>
    <x v="1"/>
    <x v="1"/>
    <s v=""/>
    <s v="Yerry Mina · 40|Radamel Falcao · 70|Juan Cuadrado · 75"/>
    <s v=""/>
    <s v="['40&amp;rsquor;|0:1|Yerry Mina|Assist:|James Rodríguez', '70&amp;rsquor;|0:2|Radamel Falcao|Assist:|Juan Quintero', '75&amp;rsquor;|0:3|Juan Cuadrado|Assist:|James Rodríguez']"/>
    <s v=""/>
    <s v=""/>
    <s v=""/>
    <s v=""/>
    <s v=""/>
    <s v=""/>
    <s v=""/>
    <s v=""/>
    <s v=""/>
    <s v=""/>
    <s v=""/>
    <s v=""/>
    <s v=""/>
    <s v=""/>
    <s v="['61&amp;rsquor;|0:1|Jan Bednarek', '85&amp;rsquor;|0:3|Jacek Góralski']"/>
    <s v=""/>
    <s v="['57&amp;rsquor;|0:1|Kamil Grosicki|for Dawid Kownacki', '72&amp;rsquor;|0:2|Łukasz Teodorczyk|for Bartosz Bereszyński', '80&amp;rsquor;|0:3|Kamil Glik|for Michał Pazdan']"/>
    <s v="['32&amp;rsquor;|0:0|Mateus Uribe|for Abel Aguilar', '73&amp;rsquor;|0:2|Jefferson Lerma|for Juan Quintero', '78&amp;rsquor;|0:3|Carlos Bacca|for Radamel Falcao']"/>
  </r>
  <r>
    <s v="Belgium"/>
    <s v="Tunisia"/>
    <n v="5"/>
    <n v="5.2"/>
    <m/>
    <n v="2"/>
    <n v="1.1000000000000001"/>
    <m/>
    <s v="Roberto Martínez"/>
    <s v="Eden Hazard"/>
    <s v="Nabil Maâloul"/>
    <s v="Wahbi Khazri"/>
    <n v="44190"/>
    <s v="Otkrytie Arena, Moskva"/>
    <s v="Jair Marrufo (Referee) · Corey Rockwell (AR1) · Juan Zumba (AR2) · Andrés Cunha (4th) · Mark Geiger (VAR)"/>
    <x v="5"/>
    <x v="38"/>
    <s v="5–2"/>
    <s v="Jair Marrufo"/>
    <s v=""/>
    <x v="1"/>
    <x v="1"/>
    <s v="Romelu Lukaku · 16|Romelu Lukaku · 45+3|Eden Hazard · 51|Michy Batshuayi · 90"/>
    <s v="Dylan Bronn · 18|Wahbi Khazri · 90+3"/>
    <s v="['16&amp;rsquor;|2:0|Romelu Lukaku|Assist:|Dries Mertens', '45+3&amp;rsquor;|3:1|Romelu Lukaku|Assist:|Thomas Meunier', '51&amp;rsquor;|4:1|Eden Hazard|Assist:|Toby Alderweireld', '90&amp;rsquor;|5:1|Michy Batshuayi|Assist:|Youri Tielemans']"/>
    <s v="['18&amp;rsquor;|2:1|Dylan Bronn|Assist:|Wahbi Khazri', '90+3&amp;rsquor;|5:2|Wahbi Khazri|Assist:|Hamdi Nagguez']"/>
    <s v=""/>
    <s v=""/>
    <s v="Eden Hazard (P) · 6"/>
    <s v=""/>
    <s v=""/>
    <s v=""/>
    <s v=""/>
    <s v=""/>
    <s v=""/>
    <s v=""/>
    <s v=""/>
    <s v=""/>
    <s v=""/>
    <s v=""/>
    <s v=""/>
    <s v="['14&amp;rsquor;|1:0|Ferjani Sassi']"/>
    <s v="['59&amp;rsquor;|4:1|Marouane Fellaini|for Romelu Lukaku', '68&amp;rsquor;|4:1|Michy Batshuayi|for Eden Hazard', '86&amp;rsquor;|4:1|Youri Tielemans|for Dries Mertens']"/>
    <s v="['24&amp;rsquor;|2:1|Hamdi Nagguez|for Dylan Bronn', '41&amp;rsquor;|2:1|Yohan Benalouane|for Syam Ben Youssef', '59&amp;rsquor;|4:1|Naïm Sliti|for Ferjani Sassi']"/>
  </r>
  <r>
    <s v="Korea Republic"/>
    <s v="Mexico"/>
    <n v="1"/>
    <n v="0.9"/>
    <m/>
    <n v="2"/>
    <n v="1.9"/>
    <m/>
    <s v="Shin Taeyong"/>
    <s v="Cho Hyun-woo"/>
    <s v="Juan Carlos Osorio"/>
    <s v="Guillermo Ochoa"/>
    <n v="43472"/>
    <s v="Rostov Arena, Rostov-na-Donu"/>
    <s v="Milorad Mažić (Referee) · Milovan Ristić (AR1) · Dalibor Đurđević (AR2) · John Pitti (4th) · Daniele Orsato (VAR)"/>
    <x v="5"/>
    <x v="38"/>
    <s v="1–2"/>
    <s v="Milorad Mažić"/>
    <s v=""/>
    <x v="1"/>
    <x v="1"/>
    <s v="Son Heung-min · 90+3"/>
    <s v="Javier Hernández · 66"/>
    <s v="['90+3&amp;rsquor;|1:2|Son Heung-min|Assist:|Lee Jae-sung']"/>
    <s v="['66&amp;rsquor;|0:2|Javier Hernández|Assist:|Hirving Lozano']"/>
    <s v=""/>
    <s v=""/>
    <s v=""/>
    <s v="Carlos Vela (P) · 26"/>
    <s v=""/>
    <s v=""/>
    <s v=""/>
    <s v=""/>
    <s v=""/>
    <s v=""/>
    <s v=""/>
    <s v=""/>
    <s v=""/>
    <s v=""/>
    <s v="['58&amp;rsquor;|0:1|Kim Young-gwon', '63&amp;rsquor;|0:1|Lee Yong', '72&amp;rsquor;|0:2|Lee Seung-woo', '80&amp;rsquor;|0:2|Jung Woo-young']"/>
    <s v=""/>
    <s v="['64&amp;rsquor;|0:1|Lee Seung-woo|for Ju Se-jong', '77&amp;rsquor;|0:2|Jung Woo-young|for Moon Seon-min', '84&amp;rsquor;|0:2|Hong Chul|for Kim Min-woo']"/>
    <s v="['68&amp;rsquor;|0:2|Rafael Márquez|for Andrés Guardado', '71&amp;rsquor;|0:2|Jesús Corona|for Hirving Lozano', '77&amp;rsquor;|0:2|Giovani dos Santos|for Carlos Vela']"/>
  </r>
  <r>
    <s v="Germany"/>
    <s v="Sweden"/>
    <n v="2"/>
    <n v="1.4"/>
    <m/>
    <n v="1"/>
    <n v="0.9"/>
    <m/>
    <s v="Joachim Löw"/>
    <s v="Manuel Neuer"/>
    <s v="Janne Andersson"/>
    <s v="Andreas Granqvist"/>
    <n v="44287"/>
    <s v="Olimpiyskiy Stadion Fisht, Sochi"/>
    <s v="Szymon Marciniak (Referee) · Paweł Sokolnicki (AR1) · Tomasz Listkiewicz (AR2) · Ryūji Satō (4th) · Clément Turpin (VAR)"/>
    <x v="5"/>
    <x v="38"/>
    <s v="2–1"/>
    <s v="Szymon Marciniak"/>
    <s v=""/>
    <x v="1"/>
    <x v="1"/>
    <s v="Marco Reus · 48|Toni Kroos · 90+5"/>
    <s v="Ola Toivonen · 32"/>
    <s v="['48&amp;rsquor;|1:1|Marco Reus|Assist:|Mario Gómez', '90+5&amp;rsquor;|2:1|Toni Kroos|Assist:|Marco Reus']"/>
    <s v="['32&amp;rsquor;|0:1|Ola Toivonen|Assist:|Viktor Claesson']"/>
    <s v=""/>
    <s v=""/>
    <s v=""/>
    <s v=""/>
    <s v=""/>
    <s v=""/>
    <s v=""/>
    <s v=""/>
    <s v=""/>
    <s v=""/>
    <s v=""/>
    <s v=""/>
    <s v="Jérôme Boateng · 82"/>
    <s v=""/>
    <s v="['71&amp;rsquor;|1:1|Jérôme Boateng']"/>
    <s v="['52&amp;rsquor;|1:1|Albin Ekdal', '90+7&amp;rsquor;|2:1|Seb Larsson']"/>
    <s v="['31&amp;rsquor;|0:0|İlkay Gündoğan|for Sebastian Rudy', '46&amp;rsquor;|0:1|Mario Gómez|for Julian Draxler', '87&amp;rsquor;|1:1|Julian Brandt|for Jonas Hector']"/>
    <s v="['74&amp;rsquor;|1:1|Jimmy Durmaz|for Viktor Claesson', '78&amp;rsquor;|1:1|John Guidetti|for Ola Toivonen', '90&amp;rsquor;|1:1|Isaac Kiese Thelin|for Marcus Berg']"/>
  </r>
  <r>
    <s v="Brazil"/>
    <s v="Costa Rica"/>
    <n v="2"/>
    <n v="2.6"/>
    <m/>
    <n v="0"/>
    <n v="0.1"/>
    <m/>
    <s v="Tite"/>
    <s v="Thiago Silva"/>
    <s v="Oscar Ramírez"/>
    <s v="Bryan Ruiz"/>
    <n v="64468"/>
    <s v="Gazprom Arena, Sankt-Petersburg"/>
    <s v="Björn Kuipers (Referee) · Sander van Roekel (AR1) · Erwin Zeinstra (AR2) · Damir Skomina (4th) · Danny Makkelie (VAR)"/>
    <x v="5"/>
    <x v="39"/>
    <s v="2–0"/>
    <s v="Björn Kuipers"/>
    <s v=""/>
    <x v="1"/>
    <x v="1"/>
    <s v="Philippe Coutinho · 90+1|Neymar · 90+7"/>
    <s v=""/>
    <s v="['90+1&amp;rsquor;|1:0|Philippe Coutinho|Assist:|Gabriel Jesus', '90+7&amp;rsquor;|2:0|Neymar|Assist:|Douglas Costa']"/>
    <s v=""/>
    <s v=""/>
    <s v=""/>
    <s v=""/>
    <s v=""/>
    <s v=""/>
    <s v=""/>
    <s v=""/>
    <s v=""/>
    <s v=""/>
    <s v=""/>
    <s v=""/>
    <s v=""/>
    <s v=""/>
    <s v=""/>
    <s v="['81&amp;rsquor;|0:0|Philippe Coutinho', '81&amp;rsquor;|0:0|Neymar']"/>
    <s v="['84&amp;rsquor;|0:0|Johnny Acosta']"/>
    <s v="['46&amp;rsquor;|0:0|Douglas Costa|for Willian', '68&amp;rsquor;|0:0|Roberto Firmino|for Paulinho', '90+3&amp;rsquor;|1:0|Fernandinho|for Gabriel Jesus']"/>
    <s v="['54&amp;rsquor;|0:0|Christian Bolaños|for Marco Ureña', '75&amp;rsquor;|0:0|Francisco Calvo|for Cristian Gamboa', '83&amp;rsquor;|0:0|Yeltsin Tejeda|for David Guzmán']"/>
  </r>
  <r>
    <s v="Nigeria"/>
    <s v="Iceland"/>
    <n v="2"/>
    <n v="0.9"/>
    <m/>
    <n v="0"/>
    <n v="1.3"/>
    <m/>
    <s v="Gernot Rohr"/>
    <s v="John Obi Mikel"/>
    <s v="Heimir Hallgrímsson"/>
    <s v="Aron Gunnarsson"/>
    <n v="40904"/>
    <s v="Volgograd Arena, Volgograd"/>
    <s v="Matt Conger (Referee) · Simon Lount (AR1) · Tevita Makasini (AR2) · Ricardo Montero (4th) · Massimiliano Irrati (VAR)"/>
    <x v="5"/>
    <x v="39"/>
    <s v="2–0"/>
    <s v="Matt Conger"/>
    <s v=""/>
    <x v="1"/>
    <x v="1"/>
    <s v="Ahmed Musa · 49|Ahmed Musa · 75"/>
    <s v=""/>
    <s v="['49&amp;rsquor;|1:0|Ahmed Musa|Assist:|Victor Moses', '75&amp;rsquor;|2:0|Ahmed Musa|Assist:|Kenneth Omeruo']"/>
    <s v=""/>
    <s v=""/>
    <s v=""/>
    <s v=""/>
    <s v=""/>
    <s v=""/>
    <s v="['83&amp;rsquor;|2:0|Gylfi Sigurðsson|Penalty Miss']"/>
    <s v=""/>
    <s v=""/>
    <s v=""/>
    <s v=""/>
    <s v=""/>
    <s v=""/>
    <s v=""/>
    <s v=""/>
    <s v="['44&amp;rsquor;|0:0|Brian Idowu']"/>
    <s v=""/>
    <s v="['46&amp;rsquor;|0:0|Tyronne Ebuehi|for Brian Idowu', '85&amp;rsquor;|2:0|Odion Ighalo|for Kelechi Iheanacho', '90&amp;rsquor;|2:0|Alex Iwobi|for Oghenekaro Etebo']"/>
    <s v="['65&amp;rsquor;|1:0|Sverrir Ingi Ingason|for Ragnar Sigurðsson', '71&amp;rsquor;|1:0|Björn Sigurðarson|for Jón Daði Böðvarsson', '87&amp;rsquor;|2:0|Ari Freyr Skúlason|for Aron Gunnarsson']"/>
  </r>
  <r>
    <s v="Serbia"/>
    <s v="Switzerland"/>
    <n v="1"/>
    <n v="1.5"/>
    <m/>
    <n v="2"/>
    <n v="2.1"/>
    <m/>
    <s v="Mladen Krstajić"/>
    <s v="Aleksandar Kolarov"/>
    <s v="Vladimir Petković"/>
    <s v="Stephan Lichtsteiner"/>
    <n v="33167"/>
    <s v="Kaliningrad Stadium, Kaliningrad"/>
    <s v="Felix Brych (Referee) · Mark Borsch (AR1) · Stefan Lupp (AR2) · Nawaf Shukralla (4th) · Felix Zwayer (VAR)"/>
    <x v="5"/>
    <x v="39"/>
    <s v="1–2"/>
    <s v="Felix Brych"/>
    <s v=""/>
    <x v="1"/>
    <x v="1"/>
    <s v="Aleksandar Mitrović · 5"/>
    <s v="Granit Xhaka · 52|Xherdan Shaqiri · 90"/>
    <s v="['5&amp;rsquor;|1:0|Aleksandar Mitrović|Assist:|Dušan Tadić']"/>
    <s v="['52&amp;rsquor;|1:1|Granit Xhaka', '90&amp;rsquor;|1:2|Xherdan Shaqiri|Assist:|Mario Gavranović']"/>
    <s v=""/>
    <s v=""/>
    <s v=""/>
    <s v=""/>
    <s v=""/>
    <s v=""/>
    <s v=""/>
    <s v=""/>
    <s v=""/>
    <s v=""/>
    <s v=""/>
    <s v=""/>
    <s v=""/>
    <s v=""/>
    <s v="['34&amp;rsquor;|1:0|Sergej Milinković-Savić', '39&amp;rsquor;|1:0|Luka Milivojević', '45+2&amp;rsquor;|1:0|Nemanja Matić', '87&amp;rsquor;|1:1|Aleksandar Mitrović']"/>
    <s v="['90+2&amp;rsquor;|1:2|Xherdan Shaqiri']"/>
    <s v="['64&amp;rsquor;|1:1|Adem Ljajić|for Filip Kostić', '81&amp;rsquor;|1:1|Nemanja Radonjić|for Luka Milivojević']"/>
    <s v="['46&amp;rsquor;|1:0|Mario Gavranović|for Haris Seferović', '73&amp;rsquor;|1:1|Breel Embolo|for Blerim Džemaili', '90+4&amp;rsquor;|1:2|Josip Drmić|for Steven Zuber']"/>
  </r>
  <r>
    <s v="Denmark"/>
    <s v="Australia"/>
    <n v="1"/>
    <n v="0.8"/>
    <m/>
    <n v="1"/>
    <n v="1.3"/>
    <m/>
    <s v="Åge Hareide"/>
    <s v="Simon Kjær"/>
    <s v="Bert van Marwijk"/>
    <s v="Mile Jedinak"/>
    <n v="40727"/>
    <s v="Cosmos Arena, Samara"/>
    <s v="Antonio Matéu Lahoz (Referee) · Pau Cebrián Devis (AR1) · Roberto Díaz Pérez (AR2) · Bamlak Tessema (4th) · Mark Geiger (VAR)"/>
    <x v="5"/>
    <x v="40"/>
    <s v="1–1"/>
    <s v="Antonio Matéu Lahoz"/>
    <s v=""/>
    <x v="1"/>
    <x v="1"/>
    <s v="Christian Eriksen · 7"/>
    <s v=""/>
    <s v="['7&amp;rsquor;|1:0|Christian Eriksen|Assist:|Nicolai Jørgensen']"/>
    <s v=""/>
    <s v=""/>
    <s v=""/>
    <s v=""/>
    <s v="Mile Jedinak (P) · 38"/>
    <s v=""/>
    <s v=""/>
    <s v=""/>
    <s v=""/>
    <s v=""/>
    <s v=""/>
    <s v=""/>
    <s v=""/>
    <s v=""/>
    <s v=""/>
    <s v="['37&amp;rsquor;|1:0|Yussuf Poulsen', '84&amp;rsquor;|1:1|Pione Sisto']"/>
    <s v=""/>
    <s v="['59&amp;rsquor;|1:1|Martin Braithwaite|for Yussuf Poulsen', '68&amp;rsquor;|1:1|Andreas Cornelius|for Nicolai Jørgensen']"/>
    <s v="['68&amp;rsquor;|1:1|Daniel Arzani|for Robbie Kruse', '75&amp;rsquor;|1:1|Tomi Juric|for Andrew Nabbout', '82&amp;rsquor;|1:1|Jackson Irvine|for Tom Rogić']"/>
  </r>
  <r>
    <s v="France"/>
    <s v="Peru"/>
    <n v="1"/>
    <n v="2"/>
    <m/>
    <n v="0"/>
    <n v="0.4"/>
    <m/>
    <s v="Didier Deschamps"/>
    <s v="Hugo Lloris"/>
    <s v="Ricardo Gareca"/>
    <s v="Paolo Guerrero"/>
    <n v="32789"/>
    <s v="Stadion Central'nyj, Yekaterinburg"/>
    <s v="Mohammed Abdulla Hassan (Referee) · Mohamed Ahmed Al Hammadi (AR1) · Hasan Mohamed Al Mahri (AR2) · Janny Sikazwe (4th) · Daniele Orsato (VAR)"/>
    <x v="5"/>
    <x v="40"/>
    <s v="1–0"/>
    <s v="Mohammed Abdulla Hassan"/>
    <s v=""/>
    <x v="1"/>
    <x v="1"/>
    <s v="Kylian Mbappé · 34"/>
    <s v=""/>
    <s v="['34&amp;rsquor;|1:0|Kylian Mbappé']"/>
    <s v=""/>
    <s v=""/>
    <s v=""/>
    <s v=""/>
    <s v=""/>
    <s v=""/>
    <s v=""/>
    <s v=""/>
    <s v=""/>
    <s v=""/>
    <s v=""/>
    <s v=""/>
    <s v=""/>
    <s v=""/>
    <s v=""/>
    <s v="['16&amp;rsquor;|0:0|Blaise Matuidi', '86&amp;rsquor;|1:0|Paul Pogba']"/>
    <s v="['23&amp;rsquor;|0:0|Paolo Guerrero', '81&amp;rsquor;|1:0|Pedro Aquino']"/>
    <s v="['75&amp;rsquor;|1:0|Ousmane Dembélé|for Kylian Mbappé', '80&amp;rsquor;|1:0|Nabil Fekir|for Antoine Griezmann', '89&amp;rsquor;|1:0|Steven Nzonzi|for Paul Pogba']"/>
    <s v="['46&amp;rsquor;|1:0|Jefferson Farfán|for Yoshimar Yotún', '46&amp;rsquor;|1:0|Anderson Santamaría|for Alberto Rodríguez', '82&amp;rsquor;|1:0|Raúl Ruidíaz|for Miguel Trauco']"/>
  </r>
  <r>
    <s v="Argentina"/>
    <s v="Croatia"/>
    <n v="0"/>
    <n v="1.3"/>
    <m/>
    <n v="3"/>
    <n v="1.9"/>
    <m/>
    <s v="Jorge Sampaoli"/>
    <s v="Lionel Messi"/>
    <s v="Zlatko Dalić"/>
    <s v="Luka Modrić"/>
    <n v="43319"/>
    <s v="Stadion Nizhny Novgorod, Nizhny Novgorod"/>
    <s v="Ravshan Irmatov (Referee) · Abdukhamidullo Rasulov (AR1) · Jakhongir Saidov (AR2) · Norbert Hauata (4th) · Felix Zwayer (VAR)"/>
    <x v="5"/>
    <x v="40"/>
    <s v="0–3"/>
    <s v="Ravshan Irmatov"/>
    <s v=""/>
    <x v="1"/>
    <x v="1"/>
    <s v=""/>
    <s v="Ante Rebić · 53|Luka Modrić · 80|Ivan Rakitić · 90+1"/>
    <s v=""/>
    <s v="['53&amp;rsquor;|0:1|Ante Rebić', '80&amp;rsquor;|0:2|Luka Modrić|Assist:|Marcelo Brozović', '90+1&amp;rsquor;|0:3|Ivan Rakitić|Assist:|Mateo Kovačić']"/>
    <s v=""/>
    <s v=""/>
    <s v=""/>
    <s v=""/>
    <s v=""/>
    <s v=""/>
    <s v=""/>
    <s v=""/>
    <s v=""/>
    <s v=""/>
    <s v=""/>
    <s v=""/>
    <s v=""/>
    <s v=""/>
    <s v="['51&amp;rsquor;|0:0|Gabriel Mercado', '85&amp;rsquor;|0:2|Nicolás Otamendi', '87&amp;rsquor;|0:2|Marcos Acuña']"/>
    <s v="['39&amp;rsquor;|0:0|Ante Rebić', '59&amp;rsquor;|0:1|Mario Mandžukić', '67&amp;rsquor;|0:1|Šime Vrsaljko', '90+4&amp;rsquor;|0:3|Vedran Ćorluka']"/>
    <s v="['54&amp;rsquor;|0:1|Gonzalo Higuaín|for Sergio Agüero', '56&amp;rsquor;|0:1|Cristian Pavón|for Eduardo Salvio', '68&amp;rsquor;|0:1|Paulo Dybala|for Enzo Pérez']"/>
    <s v="['57&amp;rsquor;|0:1|Andrej Kramarić|for Ante Rebić', '82&amp;rsquor;|0:2|Mateo Kovačić|for Ivan Perišić', '90+3&amp;rsquor;|0:3|Vedran Ćorluka|for Mario Mandžukić']"/>
  </r>
  <r>
    <s v="Portugal"/>
    <s v="Morocco"/>
    <n v="1"/>
    <n v="1.2"/>
    <m/>
    <n v="0"/>
    <n v="0.9"/>
    <m/>
    <s v="Fernando Santos"/>
    <s v="Cristiano Ronaldo"/>
    <s v="Hervé Renard"/>
    <s v="Medhi Benatia"/>
    <n v="78011"/>
    <s v="Olimpiyskiy stadion Luzhniki, Moskva"/>
    <s v="Mark Geiger (Referee) · Joe Fletcher (AR1) · Frank Anderson (AR2) · Sergey Karasev (4th) · Felix Zwayer (VAR)"/>
    <x v="5"/>
    <x v="41"/>
    <s v="1–0"/>
    <s v="Mark Geiger"/>
    <s v=""/>
    <x v="1"/>
    <x v="1"/>
    <s v="Cristiano Ronaldo · 4"/>
    <s v=""/>
    <s v="['4&amp;rsquor;|1:0|Cristiano Ronaldo|Assist:|João Moutinho']"/>
    <s v=""/>
    <s v=""/>
    <s v=""/>
    <s v=""/>
    <s v=""/>
    <s v=""/>
    <s v=""/>
    <s v=""/>
    <s v=""/>
    <s v=""/>
    <s v=""/>
    <s v=""/>
    <s v=""/>
    <s v=""/>
    <s v=""/>
    <s v="['90+2&amp;rsquor;|1:0|Adrien Silva']"/>
    <s v="['40&amp;rsquor;|1:0|Medhi Benatia']"/>
    <s v="['59&amp;rsquor;|1:0|Gelson Martins|for Bernardo Silva', '70&amp;rsquor;|1:0|Bruno Fernandes|for João Mário', '89&amp;rsquor;|1:0|Adrien Silva|for João Moutinho']"/>
    <s v="['69&amp;rsquor;|1:0|Ayoub El Kaabi|for Khalid Boutaïb', '75&amp;rsquor;|1:0|Mehdi Carcela|for Younès Belhanda', '86&amp;rsquor;|1:0|Fayçal Fajr|for Karim El Ahmadi']"/>
  </r>
  <r>
    <s v="Uruguay"/>
    <s v="Saudi Arabia"/>
    <n v="1"/>
    <n v="1.7"/>
    <m/>
    <n v="0"/>
    <n v="0.3"/>
    <m/>
    <s v="Óscar Tabárez"/>
    <s v="Diego Godín"/>
    <s v="Juan Antonio Pizzi"/>
    <s v="Osama Hawsawi"/>
    <n v="42678"/>
    <s v="Rostov Arena, Rostov-na-Donu"/>
    <s v="Clément Turpin (Referee) · Nicolas Danos (AR1) · Cyril Gringore (AR2) · John Pitti (4th) · Szymon Marciniak (VAR)"/>
    <x v="5"/>
    <x v="41"/>
    <s v="1–0"/>
    <s v="Clément Turpin"/>
    <s v=""/>
    <x v="1"/>
    <x v="1"/>
    <s v="Luis Suárez · 23"/>
    <s v=""/>
    <s v="['23&amp;rsquor;|1:0|Luis Suárez|Assist:|Carlos Sánchez']"/>
    <s v=""/>
    <s v=""/>
    <s v=""/>
    <s v=""/>
    <s v=""/>
    <s v=""/>
    <s v=""/>
    <s v=""/>
    <s v=""/>
    <s v=""/>
    <s v=""/>
    <s v=""/>
    <s v=""/>
    <s v=""/>
    <s v=""/>
    <s v=""/>
    <s v=""/>
    <s v="['59&amp;rsquor;|1:0|Diego Laxalt|for Cristian Rodríguez', '59&amp;rsquor;|1:0|Lucas Torreira|for Matías Vecino', '82&amp;rsquor;|1:0|Nahitan Nández|for Carlos Sánchez']"/>
    <s v="['44&amp;rsquor;|1:0|Hussain Al Moqahwi|for Taisir Al-Jassim', '75&amp;rsquor;|1:0|Mohamed Kanno|for Hattan Bahebri', '78&amp;rsquor;|1:0|Mohammed Al Sahlawi|for Fahad Al Muwallad']"/>
  </r>
  <r>
    <s v="IR Iran"/>
    <s v="Spain"/>
    <n v="0"/>
    <n v="0.7"/>
    <m/>
    <n v="1"/>
    <n v="1.9"/>
    <m/>
    <s v="Carlos Queiroz"/>
    <s v="Ehsan Hajsafi"/>
    <s v="Fernando Hierro"/>
    <s v="Sergio Ramos"/>
    <n v="42718"/>
    <s v="Kazan Arena, Kazan"/>
    <s v="Andrés Cunha (Referee) · Nicolás Tarán (AR1) · Mauricio Espinosa (AR2) · Julio Bascuñán (4th) · Mauro Vigliano (VAR)"/>
    <x v="5"/>
    <x v="41"/>
    <s v="0–1"/>
    <s v="Andrés Cunha"/>
    <s v=""/>
    <x v="1"/>
    <x v="1"/>
    <s v=""/>
    <s v="Diego Costa · 54"/>
    <s v=""/>
    <s v="['54&amp;rsquor;|0:1|Diego Costa']"/>
    <s v=""/>
    <s v=""/>
    <s v=""/>
    <s v=""/>
    <s v=""/>
    <s v=""/>
    <s v=""/>
    <s v=""/>
    <s v=""/>
    <s v=""/>
    <s v=""/>
    <s v=""/>
    <s v=""/>
    <s v=""/>
    <s v="['79&amp;rsquor;|0:1|Vahid Amiri', '90+2&amp;rsquor;|0:1|Omid Ebrahimi']"/>
    <s v=""/>
    <s v="['69&amp;rsquor;|0:1|Milad Mohammadi|for Ehsan Hajsafi', '74&amp;rsquor;|0:1|Alireza Jahanbakhsh|for Karim Ansarifard', '86&amp;rsquor;|0:1|Saman Ghoddos|for Vahid Amiri']"/>
    <s v="['71&amp;rsquor;|0:1|Koke|for Andrés Iniesta', '79&amp;rsquor;|0:1|Marco Asensio|for Lucas Vázquez', '89&amp;rsquor;|0:1|Rodrigo|for Diego Costa']"/>
  </r>
  <r>
    <s v="Colombia"/>
    <s v="Japan"/>
    <n v="1"/>
    <n v="1"/>
    <m/>
    <n v="2"/>
    <n v="2"/>
    <m/>
    <s v="José Pekerman"/>
    <s v="Radamel Falcao"/>
    <s v="Akira Nishino"/>
    <s v="Makoto Hasebe"/>
    <n v="40842"/>
    <s v="Mordovia Arena, Saransk"/>
    <s v="Damir Skomina (Referee) · Jure Praprotnik (AR1) · Robert Vukan (AR2) · Mehdi Abid Charef (4th) · Danny Makkelie (VAR)"/>
    <x v="5"/>
    <x v="42"/>
    <s v="1–2"/>
    <s v="Damir Skomina"/>
    <s v=""/>
    <x v="1"/>
    <x v="1"/>
    <s v="Juan Quintero · 39"/>
    <s v="Yuya Osako · 73"/>
    <s v="['39&amp;rsquor;|1:1|Juan Quintero']"/>
    <s v="['73&amp;rsquor;|1:2|Yuya Osako|Assist:|Keisuke Honda']"/>
    <s v=""/>
    <s v=""/>
    <s v=""/>
    <s v="Shinji Kagawa (P) · 6"/>
    <s v=""/>
    <s v=""/>
    <s v=""/>
    <s v=""/>
    <s v=""/>
    <s v=""/>
    <s v="Carlos Sánchez · 3"/>
    <s v=""/>
    <s v=""/>
    <s v=""/>
    <s v="['64&amp;rsquor;|1:1|Wílmar Barrios', '86&amp;rsquor;|1:2|James Rodríguez']"/>
    <s v="['90+3&amp;rsquor;|1:2|Eiji Kawashima']"/>
    <s v="['31&amp;rsquor;|0:1|Wílmar Barrios|for Juan Cuadrado', '59&amp;rsquor;|1:1|James Rodríguez|for Juan Quintero', '70&amp;rsquor;|1:1|Carlos Bacca|for José Izquierdo']"/>
    <s v="['70&amp;rsquor;|1:1|Keisuke Honda|for Shinji Kagawa', '80&amp;rsquor;|1:2|Hotaru Yamaguchi|for Gaku Shibasaki', '85&amp;rsquor;|1:2|Shinji Okazaki|for Yuya Osako']"/>
  </r>
  <r>
    <s v="Poland"/>
    <s v="Senegal"/>
    <n v="1"/>
    <n v="0.8"/>
    <m/>
    <n v="2"/>
    <n v="1"/>
    <m/>
    <s v="Adam Nawałka"/>
    <s v="Robert Lewandowski"/>
    <s v="Aliou Cissé"/>
    <s v="Sadio Mané"/>
    <n v="44190"/>
    <s v="Otkrytie Arena, Moskva"/>
    <s v="Nawaf Shukralla (Referee) · Yaser Tulefat (AR1) · Taleb Salem Al Marri (AR2) · Abdelrahman Al Jassim (4th) · Artur Soares Dias (VAR)"/>
    <x v="5"/>
    <x v="42"/>
    <s v="1–2"/>
    <s v="Nawaf Shukralla"/>
    <s v=""/>
    <x v="1"/>
    <x v="1"/>
    <s v="Grzegorz Krychowiak · 86"/>
    <s v="M'Baye Niang · 61"/>
    <s v="['86&amp;rsquor;|1:2|Grzegorz Krychowiak|Assist:|Kamil Grosicki']"/>
    <s v="[&quot;61&amp;rsquor;|0:2|M'Baye Niang&quot;]"/>
    <s v=""/>
    <s v="Thiago Cionek (OG) · 38"/>
    <s v=""/>
    <s v=""/>
    <s v=""/>
    <s v=""/>
    <s v=""/>
    <s v=""/>
    <s v=""/>
    <s v=""/>
    <s v=""/>
    <s v=""/>
    <s v=""/>
    <s v=""/>
    <s v="['12&amp;rsquor;|0:0|Grzegorz Krychowiak']"/>
    <s v="['49&amp;rsquor;|0:1|Salif Sané', '72&amp;rsquor;|0:2|Idrissa Gana Gueye']"/>
    <s v="['46&amp;rsquor;|0:1|Jan Bednarek|for Jakub Błaszczykowski', '73&amp;rsquor;|0:2|Dawid Kownacki|for Arkadiusz Milik', '83&amp;rsquor;|0:2|Bartosz Bereszyński|for Łukasz Piszczek']"/>
    <s v="[&quot;62&amp;rsquor;|0:2|Cheikh N'Doye|for Mame Biram Diouf&quot;, &quot;75&amp;rsquor;|0:2|Moussa Konaté|for M'Baye Niang&quot;, &quot;86&amp;rsquor;|0:2|Cheikhou Kouyaté|for Alfred N'Diaye&quot;]"/>
  </r>
  <r>
    <s v="Russia"/>
    <s v="Egypt"/>
    <n v="3"/>
    <n v="1.2"/>
    <m/>
    <n v="1"/>
    <n v="1.4"/>
    <m/>
    <s v="Stanislav Cherchesov"/>
    <s v="Igor Akinfeev"/>
    <s v="Héctor Cúper"/>
    <s v="Ahmed Fathy"/>
    <n v="64468"/>
    <s v="Gazprom Arena, Sankt-Petersburg"/>
    <s v="Enrique Cáceres (Referee) · Eduardo Cardozo (AR1) · Juan Zorrilla (AR2) · Cüneyt Çakιr (4th) · Massimiliano Irrati (VAR)"/>
    <x v="5"/>
    <x v="42"/>
    <s v="3–1"/>
    <s v="Enrique Cáceres"/>
    <s v=""/>
    <x v="1"/>
    <x v="1"/>
    <s v="Denis Cheryshev · 59|Artem Dzyuba · 62"/>
    <s v=""/>
    <s v="['59&amp;rsquor;|2:0|Denis Cheryshev|Assist:|Mário Fernandes', '62&amp;rsquor;|3:0|Artem Dzyuba|Assist:|Ilya Kutepov']"/>
    <s v=""/>
    <s v="Ahmed Fathy (OG) · 47"/>
    <s v=""/>
    <s v=""/>
    <s v="Mohamed Salah (P) · 73"/>
    <s v=""/>
    <s v=""/>
    <s v=""/>
    <s v=""/>
    <s v=""/>
    <s v=""/>
    <s v=""/>
    <s v=""/>
    <s v=""/>
    <s v=""/>
    <s v="['84&amp;rsquor;|3:1|Fyodor Smolov']"/>
    <s v="['57&amp;rsquor;|1:0|Trézéguet']"/>
    <s v="['74&amp;rsquor;|3:1|Daler Kuzyaev|for Denis Cheryshev', '79&amp;rsquor;|3:1|Fyodor Smolov|for Artem Dzyuba', '86&amp;rsquor;|3:1|Fyodor Kudryashov|for Yuri Zhirkov']"/>
    <s v="['64&amp;rsquor;|3:0|Amr Warda|for Mohamed Elneny', '68&amp;rsquor;|3:0|Ramadan Sobhi|for Trézéguet', '82&amp;rsquor;|3:1|Kahraba|for Marwan Mohsen']"/>
  </r>
  <r>
    <s v="Sweden"/>
    <s v="Korea Republic"/>
    <n v="1"/>
    <n v="2.2999999999999998"/>
    <m/>
    <n v="0"/>
    <n v="0.3"/>
    <m/>
    <s v="Janne Andersson"/>
    <s v="Robin Olsen"/>
    <s v="Shin Taeyong"/>
    <s v="Ki Sung-yueng"/>
    <n v="42300"/>
    <s v="Stadion Nizhny Novgorod, Nizhny Novgorod"/>
    <s v="Joel Aguilar (Referee) · Juan Zumba (AR1) · Juan Carlos Mora (AR2) · Norbert Hauata (4th) · Mauro Vigliano (VAR)"/>
    <x v="5"/>
    <x v="43"/>
    <s v="1–0"/>
    <s v="Joel Aguilar"/>
    <s v=""/>
    <x v="1"/>
    <x v="1"/>
    <s v=""/>
    <s v=""/>
    <s v=""/>
    <s v=""/>
    <s v=""/>
    <s v=""/>
    <s v="Andreas Granqvist (P) · 65"/>
    <s v=""/>
    <s v=""/>
    <s v=""/>
    <s v=""/>
    <s v=""/>
    <s v=""/>
    <s v=""/>
    <s v=""/>
    <s v=""/>
    <s v=""/>
    <s v=""/>
    <s v="['61&amp;rsquor;|0:0|Viktor Claesson']"/>
    <s v="['12&amp;rsquor;|0:0|Kim Shin-wook', '55&amp;rsquor;|0:0|Hwang Hee-chan']"/>
    <s v="['71&amp;rsquor;|1:0|Oscar Hiljemark|for Albin Ekdal', '77&amp;rsquor;|1:0|Isaac Kiese Thelin|for Ola Toivonen', '81&amp;rsquor;|1:0|Gustav Svensson|for Seb Larsson']"/>
    <s v="['28&amp;rsquor;|0:0|Kim Min-woo|for Park Joo-ho', '67&amp;rsquor;|1:0|Jung Woo-young|for Kim Shin-wook', '72&amp;rsquor;|1:0|Lee Seung-woo|for Koo Ja-cheol']"/>
  </r>
  <r>
    <s v="Belgium"/>
    <s v="Panama"/>
    <n v="3"/>
    <n v="2"/>
    <m/>
    <n v="0"/>
    <n v="0.5"/>
    <m/>
    <s v="Roberto Martínez"/>
    <s v="Eden Hazard"/>
    <s v="Hernán Darío Gómez"/>
    <s v="Román Torres"/>
    <n v="43257"/>
    <s v="Olimpiyskiy Stadion Fisht, Sochi"/>
    <s v="Janny Sikazwe (Referee) · Jerson dos Santos (AR1) · Zakhele Siwela (AR2) · Ryūji Satō (4th) · Bastian Dankert (VAR)"/>
    <x v="5"/>
    <x v="43"/>
    <s v="3–0"/>
    <s v="Janny Sikazwe"/>
    <s v=""/>
    <x v="1"/>
    <x v="1"/>
    <s v="Dries Mertens · 48|Romelu Lukaku · 69|Romelu Lukaku · 75"/>
    <s v=""/>
    <s v="['48&amp;rsquor;|1:0|Dries Mertens', '69&amp;rsquor;|2:0|Romelu Lukaku|Assist:|Kevin De Bruyne', '75&amp;rsquor;|3:0|Romelu Lukaku|Assist:|Eden Hazard']"/>
    <s v=""/>
    <s v=""/>
    <s v=""/>
    <s v=""/>
    <s v=""/>
    <s v=""/>
    <s v=""/>
    <s v=""/>
    <s v=""/>
    <s v=""/>
    <s v=""/>
    <s v=""/>
    <s v=""/>
    <s v=""/>
    <s v=""/>
    <s v="['14&amp;rsquor;|0:0|Thomas Meunier', '59&amp;rsquor;|1:0|Jan Vertonghen', '88&amp;rsquor;|3:0|Kevin De Bruyne']"/>
    <s v="['18&amp;rsquor;|0:0|Erick Davis', '45+2&amp;rsquor;|0:0|Édgar Yoel Bárcenas', '49&amp;rsquor;|1:0|Armando Cooper', '51&amp;rsquor;|1:0|Michael Amir Murillo', '57&amp;rsquor;|1:0|Aníbal Godoy']"/>
    <s v="['74&amp;rsquor;|2:0|Mousa Dembélé|for Yannick Carrasco', '83&amp;rsquor;|3:0|Thorgan Hazard|for Dries Mertens', '90&amp;rsquor;|3:0|Nacer Chadli|for Axel Witsel']"/>
    <s v="['63&amp;rsquor;|1:0|Gabriel Torres|for Édgar Yoel Bárcenas', '63&amp;rsquor;|1:0|Ismael Díaz|for José Luis Rodríguez', '73&amp;rsquor;|2:0|Luis Tejada|for Blas Pérez']"/>
  </r>
  <r>
    <s v="Tunisia"/>
    <s v="England"/>
    <n v="1"/>
    <n v="1"/>
    <m/>
    <n v="2"/>
    <n v="2.8"/>
    <m/>
    <s v="Nabil Maâloul"/>
    <s v="Wahbi Khazri"/>
    <s v="Gareth Southgate"/>
    <s v="Harry Kane"/>
    <n v="41064"/>
    <s v="Volgograd Arena, Volgograd"/>
    <s v="Wilmar Roldán (Referee) · Alexander Guzmán (AR1) · Cristián de la Cruz (AR2) · Ricardo Montero (4th) · Sandro Ricci (VAR)"/>
    <x v="5"/>
    <x v="43"/>
    <s v="1–2"/>
    <s v="Wilmar Roldán"/>
    <s v=""/>
    <x v="1"/>
    <x v="1"/>
    <s v=""/>
    <s v="Harry Kane · 11|Harry Kane · 90+1"/>
    <s v=""/>
    <s v="['11&amp;rsquor;|0:1|Harry Kane', '90+1&amp;rsquor;|1:2|Harry Kane|Assist:|Harry Maguire']"/>
    <s v=""/>
    <s v=""/>
    <s v="Ferjani Sassi (P) · 35"/>
    <s v=""/>
    <s v=""/>
    <s v=""/>
    <s v=""/>
    <s v=""/>
    <s v=""/>
    <s v=""/>
    <s v=""/>
    <s v=""/>
    <s v=""/>
    <s v=""/>
    <s v=""/>
    <s v="['34&amp;rsquor;|0:1|Kyle Walker']"/>
    <s v="['16&amp;rsquor;|0:1|Farouk Ben Mustapha|for Mouez Hassen', '73&amp;rsquor;|1:1|Mohamed Amine Ben Amor|for Naïm Sliti', '85&amp;rsquor;|1:1|Saber Khalifa|for Wahbi Khazri']"/>
    <s v="['68&amp;rsquor;|1:1|Marcus Rashford|for Raheem Sterling', '80&amp;rsquor;|1:1|Ruben Loftus-Cheek|for Dele Alli', '90+3&amp;rsquor;|1:2|Eric Dier|for Jesse Lingard']"/>
  </r>
  <r>
    <s v="Costa Rica"/>
    <s v="Serbia"/>
    <n v="0"/>
    <n v="0.9"/>
    <m/>
    <n v="1"/>
    <n v="0.9"/>
    <m/>
    <s v="Oscar Ramírez"/>
    <s v="Bryan Ruiz"/>
    <s v="Mladen Krstajić"/>
    <s v="Aleksandar Kolarov"/>
    <n v="41432"/>
    <s v="Cosmos Arena, Samara"/>
    <s v="Malang Diédhiou (Referee) · Djibril Camara (AR1) · El Hadji Malick Samba (AR2) · Bamlak Tessema (4th) · Clément Turpin (VAR)"/>
    <x v="5"/>
    <x v="44"/>
    <s v="0–1"/>
    <s v="Malang Diédhiou"/>
    <s v=""/>
    <x v="1"/>
    <x v="1"/>
    <s v=""/>
    <s v="Aleksandar Kolarov · 56"/>
    <s v=""/>
    <s v="['56&amp;rsquor;|0:1|Aleksandar Kolarov']"/>
    <s v=""/>
    <s v=""/>
    <s v=""/>
    <s v=""/>
    <s v=""/>
    <s v=""/>
    <s v=""/>
    <s v=""/>
    <s v=""/>
    <s v=""/>
    <s v=""/>
    <s v=""/>
    <s v=""/>
    <s v=""/>
    <s v="['22&amp;rsquor;|0:0|Francisco Calvo', '56&amp;rsquor;|0:0|David Guzmán']"/>
    <s v="['59&amp;rsquor;|0:1|Branislav Ivanović', '90+8&amp;rsquor;|0:1|Aleksandar Prijović']"/>
    <s v="['60&amp;rsquor;|0:1|Christian Bolaños|for Johan Venegas', '66&amp;rsquor;|0:1|Joel Campbell|for Marco Ureña', '73&amp;rsquor;|0:1|Daniel Colindres|for David Guzmán']"/>
    <s v="['70&amp;rsquor;|0:1|Filip Kostić|for Adem Ljajić', '82&amp;rsquor;|0:1|Antonio Rukavina|for Dušan Tadić', '89&amp;rsquor;|0:1|Aleksandar Prijović|for Aleksandar Mitrović']"/>
  </r>
  <r>
    <s v="Germany"/>
    <s v="Mexico"/>
    <n v="0"/>
    <n v="1.4"/>
    <m/>
    <n v="1"/>
    <n v="1.3"/>
    <m/>
    <s v="Joachim Löw"/>
    <s v="Manuel Neuer"/>
    <s v="Juan Carlos Osorio"/>
    <s v="Andrés Guardado"/>
    <n v="78011"/>
    <s v="Olimpiyskiy stadion Luzhniki, Moskva"/>
    <s v="Alireza Faghani (Referee) · Reza Sokhandan (AR1) · Mohammadreza Mansouri (AR2) · Mohammed Abdulla Hassan (4th) · Massimiliano Irrati (VAR)"/>
    <x v="5"/>
    <x v="44"/>
    <s v="0–1"/>
    <s v="Alireza Faghani"/>
    <s v=""/>
    <x v="1"/>
    <x v="1"/>
    <s v=""/>
    <s v="Hirving Lozano · 35"/>
    <s v=""/>
    <s v="['35&amp;rsquor;|0:1|Hirving Lozano|Assist:|Javier Hernández']"/>
    <s v=""/>
    <s v=""/>
    <s v=""/>
    <s v=""/>
    <s v=""/>
    <s v=""/>
    <s v=""/>
    <s v=""/>
    <s v=""/>
    <s v=""/>
    <s v=""/>
    <s v=""/>
    <s v=""/>
    <s v=""/>
    <s v="['83&amp;rsquor;|0:1|Thomas Müller', '84&amp;rsquor;|0:1|Mats Hummels']"/>
    <s v="['40&amp;rsquor;|0:1|Héctor Moreno', '90&amp;rsquor;|0:1|Héctor Herrera']"/>
    <s v="['60&amp;rsquor;|0:1|Marco Reus|for Sami Khedira', '79&amp;rsquor;|0:1|Mario Gómez|for Marvin Plattenhardt', '86&amp;rsquor;|0:1|Julian Brandt|for Timo Werner']"/>
    <s v="['58&amp;rsquor;|0:1|Edson Álvarez|for Carlos Vela', '66&amp;rsquor;|0:1|Raúl Jiménez|for Hirving Lozano', '73&amp;rsquor;|0:1|Rafael Márquez|for Andrés Guardado']"/>
  </r>
  <r>
    <s v="Brazil"/>
    <s v="Switzerland"/>
    <n v="1"/>
    <n v="2.2000000000000002"/>
    <m/>
    <n v="1"/>
    <n v="0.9"/>
    <m/>
    <s v="Tite"/>
    <s v="Marcelo"/>
    <s v="Vladimir Petković"/>
    <s v="Stephan Lichtsteiner"/>
    <n v="43109"/>
    <s v="Rostov Arena, Rostov-na-Donu"/>
    <s v="César Ramos (Referee) · Marvin Torrentera (AR1) · Miguel Ángel Hernández (AR2) · John Pitti (4th) · Paolo Valeri (VAR)"/>
    <x v="5"/>
    <x v="44"/>
    <s v="1–1"/>
    <s v="César Ramos"/>
    <s v=""/>
    <x v="1"/>
    <x v="1"/>
    <s v="Philippe Coutinho · 20"/>
    <s v="Steven Zuber · 50"/>
    <s v="['20&amp;rsquor;|1:0|Philippe Coutinho']"/>
    <s v="['50&amp;rsquor;|1:1|Steven Zuber|Assist:|Xherdan Shaqiri']"/>
    <s v=""/>
    <s v=""/>
    <s v=""/>
    <s v=""/>
    <s v=""/>
    <s v=""/>
    <s v=""/>
    <s v=""/>
    <s v=""/>
    <s v=""/>
    <s v=""/>
    <s v=""/>
    <s v=""/>
    <s v=""/>
    <s v="['47&amp;rsquor;|1:0|Casemiro']"/>
    <s v="['31&amp;rsquor;|1:0|Stephan Lichtsteiner', '65&amp;rsquor;|1:1|Fabian Schär', '68&amp;rsquor;|1:1|Valon Behrami']"/>
    <s v="['60&amp;rsquor;|1:1|Fernandinho|for Casemiro', '67&amp;rsquor;|1:1|Renato Augusto|for Paulinho', '79&amp;rsquor;|1:1|Roberto Firmino|for Gabriel Jesus']"/>
    <s v="['70&amp;rsquor;|1:1|Denis Zakaria|for Valon Behrami', '80&amp;rsquor;|1:1|Breel Embolo|for Haris Seferović', '87&amp;rsquor;|1:1|Michael Lang|for Stephan Lichtsteiner']"/>
  </r>
  <r>
    <s v="France"/>
    <s v="Australia"/>
    <n v="2"/>
    <n v="1.3"/>
    <m/>
    <n v="1"/>
    <n v="1"/>
    <m/>
    <s v="Didier Deschamps"/>
    <s v="Hugo Lloris"/>
    <s v="Bert van Marwijk"/>
    <s v="Mile Jedinak"/>
    <n v="41279"/>
    <s v="Kazan Arena, Kazan"/>
    <s v="Andrés Cunha (Referee) · Nicolás Tarán (AR1) · Mauricio Espinosa (AR2) · Julio Bascuñán (4th) · Mauro Vigliano (VAR)"/>
    <x v="5"/>
    <x v="45"/>
    <s v="2–1"/>
    <s v="Andrés Cunha"/>
    <s v=""/>
    <x v="1"/>
    <x v="1"/>
    <s v=""/>
    <s v=""/>
    <s v=""/>
    <s v=""/>
    <s v="Aziz Behich (OG) · 80"/>
    <s v=""/>
    <s v="Antoine Griezmann (P) · 58"/>
    <s v="Mile Jedinak (P) · 62"/>
    <s v=""/>
    <s v=""/>
    <s v=""/>
    <s v=""/>
    <s v=""/>
    <s v=""/>
    <s v=""/>
    <s v=""/>
    <s v=""/>
    <s v=""/>
    <s v="['76&amp;rsquor;|1:1|Corentin Tolisso']"/>
    <s v="['13&amp;rsquor;|0:0|Mathew Leckie', '57&amp;rsquor;|0:0|Josh Risdon', '87&amp;rsquor;|2:1|Aziz Behich']"/>
    <s v="['70&amp;rsquor;|1:1|Nabil Fekir|for Ousmane Dembélé', '70&amp;rsquor;|1:1|Olivier Giroud|for Antoine Griezmann', '78&amp;rsquor;|1:1|Blaise Matuidi|for Corentin Tolisso']"/>
    <s v="['64&amp;rsquor;|1:1|Tomi Juric|for Andrew Nabbout', '72&amp;rsquor;|1:1|Jackson Irvine|for Tom Rogić', '84&amp;rsquor;|2:1|Daniel Arzani|for Robbie Kruse']"/>
  </r>
  <r>
    <s v="Argentina"/>
    <s v="Iceland"/>
    <n v="1"/>
    <n v="1.9"/>
    <m/>
    <n v="1"/>
    <n v="1"/>
    <m/>
    <s v="Jorge Sampaoli"/>
    <s v="Lionel Messi"/>
    <s v="Heimir Hallgrímsson"/>
    <s v="Aron Gunnarsson"/>
    <n v="44190"/>
    <s v="Otkrytie Arena, Moskva"/>
    <s v="Szymon Marciniak (Referee) · Paweł Sokolnicki (AR1) · Tomasz Listkiewicz (AR2) · Wilmar Roldán (4th) · Mark Geiger (VAR)"/>
    <x v="5"/>
    <x v="45"/>
    <s v="1–1"/>
    <s v="Szymon Marciniak"/>
    <s v=""/>
    <x v="1"/>
    <x v="1"/>
    <s v="Sergio Agüero · 19"/>
    <s v="Alfreð Finnbogason · 23"/>
    <s v="['19&amp;rsquor;|1:0|Sergio Agüero|Assist:|Marcos Rojo']"/>
    <s v="['23&amp;rsquor;|1:1|Alfreð Finnbogason']"/>
    <s v=""/>
    <s v=""/>
    <s v=""/>
    <s v=""/>
    <s v="['64&amp;rsquor;|1:1|Lionel Messi|Penalty saved by Hannes Þór Halldórsson']"/>
    <s v=""/>
    <s v=""/>
    <s v=""/>
    <s v=""/>
    <s v=""/>
    <s v=""/>
    <s v=""/>
    <s v=""/>
    <s v=""/>
    <s v=""/>
    <s v=""/>
    <s v="['54&amp;rsquor;|1:1|Éver Banega|for Lucas Biglia', '75&amp;rsquor;|1:1|Cristian Pavón|for Ángel Di María', '84&amp;rsquor;|1:1|Gonzalo Higuaín|for Maximiliano Meza']"/>
    <s v="['63&amp;rsquor;|1:1|Rúrik Gíslason|for Jóhann Berg Guðmundsson', '76&amp;rsquor;|1:1|Ari Freyr Skúlason|for Aron Gunnarsson', '89&amp;rsquor;|1:1|Björn Sigurðarson|for Alfreð Finnbogason']"/>
  </r>
  <r>
    <s v="Peru"/>
    <s v="Denmark"/>
    <n v="0"/>
    <n v="1.7"/>
    <m/>
    <n v="1"/>
    <n v="1"/>
    <m/>
    <s v="Ricardo Gareca"/>
    <s v="Alberto Rodríguez"/>
    <s v="Åge Hareide"/>
    <s v="Simon Kjær"/>
    <n v="40502"/>
    <s v="Mordovia Arena, Saransk"/>
    <s v="Bakary Papa Gassama (Referee) · Jean-Claude Birumushahu (AR1) · Abdelhak Etchiali (AR2) · Mehdi Abid Charef (4th) · Felix Zwayer (VAR)"/>
    <x v="5"/>
    <x v="45"/>
    <s v="0–1"/>
    <s v="Bakary Papa Gassama"/>
    <s v=""/>
    <x v="1"/>
    <x v="1"/>
    <s v=""/>
    <s v="Yussuf Poulsen · 59"/>
    <s v=""/>
    <s v="['59&amp;rsquor;|0:1|Yussuf Poulsen|Assist:|Christian Eriksen']"/>
    <s v=""/>
    <s v=""/>
    <s v=""/>
    <s v=""/>
    <s v="['45+1&amp;rsquor;|0:0|Christian Cueva|Penalty Miss']"/>
    <s v=""/>
    <s v=""/>
    <s v=""/>
    <s v=""/>
    <s v=""/>
    <s v=""/>
    <s v=""/>
    <s v=""/>
    <s v=""/>
    <s v="['38&amp;rsquor;|0:0|Renato Tapia']"/>
    <s v="['86&amp;rsquor;|0:1|Thomas Delaney', '90+3&amp;rsquor;|0:1|Yussuf Poulsen']"/>
    <s v="['62&amp;rsquor;|0:1|Paolo Guerrero|for Edison Flores', '85&amp;rsquor;|0:1|Raúl Ruidíaz|for Jefferson Farfán', '87&amp;rsquor;|0:1|Pedro Aquino|for Renato Tapia']"/>
    <s v="['35&amp;rsquor;|0:0|Lasse Schöne|for William Kvist', '67&amp;rsquor;|0:1|Martin Braithwaite|for Pione Sisto', '81&amp;rsquor;|0:1|Mathias Jørgensen|for Andreas Christensen']"/>
  </r>
  <r>
    <s v="Croatia"/>
    <s v="Nigeria"/>
    <n v="2"/>
    <n v="1.5"/>
    <m/>
    <n v="0"/>
    <n v="0.7"/>
    <m/>
    <s v="Zlatko Dalić"/>
    <s v="Luka Modrić"/>
    <s v="Gernot Rohr"/>
    <s v="John Obi Mikel"/>
    <n v="31136"/>
    <s v="Kaliningrad Stadium, Kaliningrad"/>
    <s v="Sandro Ricci (Referee) · Emerson de Carvalho (AR1) · Marcelo Van Gasse (AR2) · Antonio Matéu Lahoz (4th) · Daniele Orsato (VAR)"/>
    <x v="5"/>
    <x v="45"/>
    <s v="2–0"/>
    <s v="Sandro Ricci"/>
    <s v=""/>
    <x v="1"/>
    <x v="1"/>
    <s v=""/>
    <s v=""/>
    <s v=""/>
    <s v=""/>
    <s v="Oghenekaro Etebo (OG) · 32"/>
    <s v=""/>
    <s v="Luka Modrić (P) · 71"/>
    <s v=""/>
    <s v=""/>
    <s v=""/>
    <s v=""/>
    <s v=""/>
    <s v=""/>
    <s v=""/>
    <s v=""/>
    <s v=""/>
    <s v=""/>
    <s v=""/>
    <s v="['30&amp;rsquor;|0:0|Ivan Rakitić', '89&amp;rsquor;|2:0|Marcelo Brozović']"/>
    <s v="['70&amp;rsquor;|1:0|William Troost-Ekong']"/>
    <s v="['60&amp;rsquor;|1:0|Marcelo Brozović|for Andrej Kramarić', '78&amp;rsquor;|2:0|Mateo Kovačić|for Ante Rebić', '86&amp;rsquor;|2:0|Marko Pjaca|for Mario Mandžukić']"/>
    <s v="['62&amp;rsquor;|1:0|Ahmed Musa|for Alex Iwobi', '72&amp;rsquor;|2:0|Kelechi Iheanacho|for Odion Ighalo', '88&amp;rsquor;|2:0|Simeon Nwankwo|for John Obi Mikel']"/>
  </r>
  <r>
    <s v="Egypt"/>
    <s v="Uruguay"/>
    <n v="0"/>
    <n v="0.3"/>
    <m/>
    <n v="1"/>
    <n v="1.6"/>
    <m/>
    <s v="Héctor Cúper"/>
    <s v="Ahmed Fathy"/>
    <s v="Óscar Tabárez"/>
    <s v="Diego Godín"/>
    <n v="27015"/>
    <s v="Stadion Central'nyj, Yekaterinburg"/>
    <s v="Björn Kuipers (Referee) · Sander van Roekel (AR1) · Erwin Zeinstra (AR2) · Milorad Mažić (4th) · Danny Makkelie (VAR)"/>
    <x v="5"/>
    <x v="46"/>
    <s v="0–1"/>
    <s v="Björn Kuipers"/>
    <s v=""/>
    <x v="1"/>
    <x v="1"/>
    <s v=""/>
    <s v="José María Giménez · 89"/>
    <s v=""/>
    <s v="['89&amp;rsquor;|0:1|José María Giménez|Assist:|Carlos Sánchez']"/>
    <s v=""/>
    <s v=""/>
    <s v=""/>
    <s v=""/>
    <s v=""/>
    <s v=""/>
    <s v=""/>
    <s v=""/>
    <s v=""/>
    <s v=""/>
    <s v=""/>
    <s v=""/>
    <s v=""/>
    <s v=""/>
    <s v="['90+3&amp;rsquor;|0:1|Sam Morsy', '90+6&amp;rsquor;|0:1|Ahmed Hegazi']"/>
    <s v=""/>
    <s v="['50&amp;rsquor;|0:0|Sam Morsy|for Tarek Hamed', '63&amp;rsquor;|0:0|Kahraba|for Marwan Mohsen', '82&amp;rsquor;|0:0|Ramadan Sobhi|for Amr Warda']"/>
    <s v="['58&amp;rsquor;|0:0|Carlos Sánchez|for Nahitan Nández', '59&amp;rsquor;|0:0|Cristian Rodríguez|for Giorgian De Arrascaeta', '87&amp;rsquor;|0:0|Lucas Torreira|for Matías Vecino']"/>
  </r>
  <r>
    <s v="Morocco"/>
    <s v="IR Iran"/>
    <n v="0"/>
    <n v="0.7"/>
    <m/>
    <n v="1"/>
    <n v="1"/>
    <m/>
    <s v="Hervé Renard"/>
    <s v="Medhi Benatia"/>
    <s v="Carlos Queiroz"/>
    <s v="Masoud Shojaei"/>
    <n v="62548"/>
    <s v="Gazprom Arena, Sankt-Petersburg"/>
    <s v="Cüneyt Çakιr (Referee) · Bahattin Duran (AR1) · Tarık Ongun (AR2) · Sergey Karasev (4th) · Felix Zwayer (VAR)"/>
    <x v="5"/>
    <x v="46"/>
    <s v="0–1"/>
    <s v="Cüneyt Çakιr"/>
    <s v=""/>
    <x v="1"/>
    <x v="1"/>
    <s v=""/>
    <s v=""/>
    <s v=""/>
    <s v=""/>
    <s v=""/>
    <s v="Aziz Bouhaddouz (OG) · 90+5"/>
    <s v=""/>
    <s v=""/>
    <s v=""/>
    <s v=""/>
    <s v=""/>
    <s v=""/>
    <s v=""/>
    <s v=""/>
    <s v=""/>
    <s v=""/>
    <s v=""/>
    <s v=""/>
    <s v="['34&amp;rsquor;|0:0|Karim El Ahmadi']"/>
    <s v="['10&amp;rsquor;|0:0|Masoud Shojaei', '47&amp;rsquor;|0:0|Alireza Jahanbakhsh', '90+2&amp;rsquor;|0:0|Karim Ansarifard']"/>
    <s v="['76&amp;rsquor;|0:0|Sofyan Amrabat|for Nordin Amrabat', '77&amp;rsquor;|0:0|Aziz Bouhaddouz|for Ayoub El Kaabi', '82&amp;rsquor;|0:0|Manuel da Costa|for Amine Harit']"/>
    <s v="['68&amp;rsquor;|0:0|Mehdi Taremi|for Masoud Shojaei', '80&amp;rsquor;|0:0|Majid Hosseini|for Omid Ebrahimi', '85&amp;rsquor;|0:0|Saman Ghoddos|for Alireza Jahanbakhsh']"/>
  </r>
  <r>
    <s v="Portugal"/>
    <s v="Spain"/>
    <n v="3"/>
    <n v="1.2"/>
    <m/>
    <n v="3"/>
    <n v="1.6"/>
    <m/>
    <s v="Fernando Santos"/>
    <s v="Cristiano Ronaldo"/>
    <s v="Fernando Hierro"/>
    <s v="Sergio Ramos"/>
    <n v="43866"/>
    <s v="Olimpiyskiy Stadion Fisht, Sochi"/>
    <s v="Gianluca Rocchi (Referee) · Elenito Di Liberatore (AR1) · Mauro Tonolini (AR2) · Ryūji Satō (4th) · Massimiliano Irrati (VAR)"/>
    <x v="5"/>
    <x v="46"/>
    <s v="3–3"/>
    <s v="Gianluca Rocchi"/>
    <s v=""/>
    <x v="1"/>
    <x v="1"/>
    <s v="Cristiano Ronaldo · 44|Cristiano Ronaldo · 88"/>
    <s v="Diego Costa · 24|Diego Costa · 55|Nacho · 58"/>
    <s v="['44&amp;rsquor;|2:1|Cristiano Ronaldo|Assist:|Gonçalo Guedes', '88&amp;rsquor;|3:3|Cristiano Ronaldo']"/>
    <s v="['24&amp;rsquor;|1:1|Diego Costa', '55&amp;rsquor;|2:2|Diego Costa|Assist:|Sergio Busquets', '58&amp;rsquor;|2:3|Nacho']"/>
    <s v=""/>
    <s v=""/>
    <s v="Cristiano Ronaldo (P) · 4"/>
    <s v=""/>
    <s v=""/>
    <s v=""/>
    <s v=""/>
    <s v=""/>
    <s v=""/>
    <s v=""/>
    <s v=""/>
    <s v=""/>
    <s v=""/>
    <s v=""/>
    <s v="['28&amp;rsquor;|1:1|Bruno Fernandes']"/>
    <s v="['17&amp;rsquor;|1:0|Sergio Busquets']"/>
    <s v="['68&amp;rsquor;|2:3|João Mário|for Bruno Fernandes', '69&amp;rsquor;|2:3|Ricardo Quaresma|for Bernardo Silva', '80&amp;rsquor;|2:3|André Silva|for Gonçalo Guedes']"/>
    <s v="['70&amp;rsquor;|2:3|Thiago Alcántara|for Andrés Iniesta', '77&amp;rsquor;|2:3|Iago Aspas|for Diego Costa', '86&amp;rsquor;|2:3|Lucas Vázquez|for David Silva']"/>
  </r>
  <r>
    <s v="Russia"/>
    <s v="Saudi Arabia"/>
    <n v="5"/>
    <n v="1.7"/>
    <m/>
    <n v="0"/>
    <n v="0.2"/>
    <m/>
    <s v="Stanislav Cherchesov"/>
    <s v="Igor Akinfeev"/>
    <s v="Juan Antonio Pizzi"/>
    <s v="Osama Hawsawi"/>
    <n v="78011"/>
    <s v="Olimpiyskiy stadion Luzhniki, Moskva"/>
    <s v="Néstor Pitana (Referee) · Juan Pablo Belatti (AR1) · Hernán Maidana (AR2) · Sandro Ricci (4th) · Massimiliano Irrati (VAR)"/>
    <x v="5"/>
    <x v="47"/>
    <s v="5–0"/>
    <s v="Néstor Pitana"/>
    <s v=""/>
    <x v="1"/>
    <x v="1"/>
    <s v="Yuri Gazinskiy · 12|Denis Cheryshev · 43|Artem Dzyuba · 71|Denis Cheryshev · 90+1|Aleksandr Golovin · 90+5"/>
    <s v=""/>
    <s v="['12&amp;rsquor;|1:0|Yuri Gazinskiy|Assist:|Aleksandr Golovin', '43&amp;rsquor;|2:0|Denis Cheryshev|Assist:|Roman Zobnin', '71&amp;rsquor;|3:0|Artem Dzyuba|Assist:|Aleksandr Golovin', '90+1&amp;rsquor;|4:0|Denis Cheryshev|Assist:|Artem Dzyuba', '90+5&amp;rsquor;|5:0|Aleksandr Golovin']"/>
    <s v=""/>
    <s v=""/>
    <s v=""/>
    <s v=""/>
    <s v=""/>
    <s v=""/>
    <s v=""/>
    <s v=""/>
    <s v=""/>
    <s v=""/>
    <s v=""/>
    <s v=""/>
    <s v=""/>
    <s v=""/>
    <s v=""/>
    <s v="['88&amp;rsquor;|3:0|Aleksandr Golovin']"/>
    <s v="['90+3&amp;rsquor;|4:0|Taisir Al-Jassim']"/>
    <s v="['24&amp;rsquor;|1:0|Denis Cheryshev|for Alan Dzagoev', '64&amp;rsquor;|2:0|Daler Kuzyaev|for Aleksandr Samedov', '70&amp;rsquor;|2:0|Artem Dzyuba|for Fyodor Smolov']"/>
    <s v="['64&amp;rsquor;|2:0|Fahad Al Muwallad|for Abdullah Otayf', '74&amp;rsquor;|3:0|Hattan Bahebri|for Yahya Al-Shehri', '84&amp;rsquor;|3:0|Muhannad Assiri|for Mohammed Al Sahlawi']"/>
  </r>
  <r>
    <s v="Germany"/>
    <s v="Argentina"/>
    <n v="1"/>
    <m/>
    <m/>
    <n v="0"/>
    <m/>
    <m/>
    <s v="Joachim Löw"/>
    <s v=""/>
    <s v="Alejandro Sabella"/>
    <s v=""/>
    <n v="74738"/>
    <s v="Estadio Jornalista Mário Filho, Rio de Janeiro"/>
    <s v="Nicola Rizzoli (Referee) · Renato Faverani (AR1) · Andrea Stefani (AR2) · Carlos Vera (4th)"/>
    <x v="0"/>
    <x v="48"/>
    <s v="1–0"/>
    <s v="Nicola Rizzoli"/>
    <s v="Required Extra Time"/>
    <x v="2"/>
    <x v="2"/>
    <s v="Mario Götze · 113"/>
    <s v=""/>
    <s v="['113&amp;rsquor;|1:0|Mario Götze|Assist:|André Schürrle']"/>
    <s v=""/>
    <s v=""/>
    <s v=""/>
    <s v=""/>
    <s v=""/>
    <s v=""/>
    <s v=""/>
    <s v=""/>
    <s v=""/>
    <s v=""/>
    <s v=""/>
    <s v=""/>
    <s v=""/>
    <s v=""/>
    <s v=""/>
    <s v="['29&amp;rsquor;|0:0|Bastian Schweinsteiger', '34&amp;rsquor;|0:0|Benedikt Höwedes']"/>
    <s v="['64&amp;rsquor;|0:0|Javier Mascherano', '65&amp;rsquor;|0:0|Sergio Agüero']"/>
    <s v="['32&amp;rsquor;|0:0|André Schürrle|for Christoph Kramer', '88&amp;rsquor;|0:0|Mario Götze|for Miroslav Klose', '120&amp;rsquor;|1:0|Per Mertesacker|for Mesut Özil']"/>
    <s v="['46&amp;rsquor;|0:0|Sergio Agüero|for Ezequiel Lavezzi', '78&amp;rsquor;|0:0|Rodrigo Palacio|for Gonzalo Higuaín', '86&amp;rsquor;|0:0|Fernando Gago|for Enzo Pérez']"/>
  </r>
  <r>
    <s v="Brazil"/>
    <s v="Netherlands"/>
    <n v="0"/>
    <m/>
    <m/>
    <n v="3"/>
    <m/>
    <m/>
    <s v="Luiz Felipe Scolari"/>
    <s v=""/>
    <s v="Louis van Gaal"/>
    <s v=""/>
    <n v="68034"/>
    <s v="Estádio Nacional de Brasília, Brasília"/>
    <s v="Djamel Haïmoudi (Referee) · Redouane Achik (AR1) · Abdelhak Etchiali (AR2) · Yuichi Nishimura (4th)"/>
    <x v="1"/>
    <x v="49"/>
    <s v="0–3"/>
    <s v="Djamel Haïmoudi"/>
    <s v=""/>
    <x v="2"/>
    <x v="2"/>
    <s v=""/>
    <s v="Daley Blind · 17|Georginio Wijnaldum · 90+1"/>
    <s v=""/>
    <s v="['17&amp;rsquor;|0:2|Daley Blind', '90+1&amp;rsquor;|0:3|Georginio Wijnaldum|Assist:|Daryl Janmaat']"/>
    <s v=""/>
    <s v=""/>
    <s v=""/>
    <s v="Robin van Persie (P) · 3"/>
    <s v=""/>
    <s v=""/>
    <s v=""/>
    <s v=""/>
    <s v=""/>
    <s v=""/>
    <s v=""/>
    <s v=""/>
    <s v=""/>
    <s v=""/>
    <s v="['2&amp;rsquor;|0:0|Thiago Silva', '54&amp;rsquor;|0:2|Fernandinho', '68&amp;rsquor;|0:2|Oscar']"/>
    <s v="['9&amp;rsquor;|0:1|Arjen Robben', '36&amp;rsquor;|0:2|Jonathan de Guzmán']"/>
    <s v="['46&amp;rsquor;|0:2|Fernandinho|for Luiz Gustavo', '57&amp;rsquor;|0:2|Hernanes|for Paulinho', '73&amp;rsquor;|0:2|Hulk|for Ramires']"/>
    <s v="['70&amp;rsquor;|0:2|Daryl Janmaat|for Daley Blind', '90&amp;rsquor;|0:2|Joël Veltman|for Jordy Clasie', '90+3&amp;rsquor;|0:3|Michel Vorm|for Jasper Cillessen']"/>
  </r>
  <r>
    <s v="Netherlands"/>
    <s v="Argentina"/>
    <n v="0"/>
    <m/>
    <n v="2"/>
    <n v="0"/>
    <m/>
    <n v="4"/>
    <s v="Louis van Gaal"/>
    <s v=""/>
    <s v="Alejandro Sabella"/>
    <s v=""/>
    <n v="63267"/>
    <s v="Arena Corinthians, São Paulo"/>
    <s v="Cüneyt Çakιr (Referee) · Bahattin Duran (AR1) · Tarık Ongun (AR2) · Jonas Eriksson (4th)"/>
    <x v="2"/>
    <x v="50"/>
    <s v="(2) 0–0 (4)"/>
    <s v="Cüneyt Çakιr"/>
    <s v="Argentina won on penalty kicks following extra time"/>
    <x v="2"/>
    <x v="2"/>
    <s v=""/>
    <s v=""/>
    <s v=""/>
    <s v=""/>
    <s v=""/>
    <s v=""/>
    <s v=""/>
    <s v=""/>
    <s v=""/>
    <s v=""/>
    <s v="['3|1:1|Arjen Robben', '7|2:3|Dirk Kuyt']"/>
    <s v="['2|0:1|Lionel Messi', '4|1:2|Ezequiel Garay', '6|1:3|Sergio Agüero', '8|2:4|Maxi Rodríguez']"/>
    <s v="['1|0:0|Ron Vlaar', '5|1:2|Wesley Sneijder']"/>
    <s v=""/>
    <s v=""/>
    <s v=""/>
    <s v=""/>
    <s v=""/>
    <s v="['45&amp;rsquor;|0:0|Bruno Martins Indi', '105&amp;rsquor;|0:0|Klaas-Jan Huntelaar']"/>
    <s v="['49&amp;rsquor;|0:0|Martín Demichelis']"/>
    <s v="['46&amp;rsquor;|0:0|Daryl Janmaat|for Bruno Martins Indi', '62&amp;rsquor;|0:0|Jordy Clasie|for Nigel de Jong', '96&amp;rsquor;|0:0|Klaas-Jan Huntelaar|for Robin van Persie']"/>
    <s v="['81&amp;rsquor;|0:0|Rodrigo Palacio|for Enzo Pérez', '82&amp;rsquor;|0:0|Sergio Agüero|for Gonzalo Higuaín', '100&amp;rsquor;|0:0|Maxi Rodríguez|for Ezequiel Lavezzi']"/>
  </r>
  <r>
    <s v="Brazil"/>
    <s v="Germany"/>
    <n v="1"/>
    <m/>
    <m/>
    <n v="7"/>
    <m/>
    <m/>
    <s v="Luiz Felipe Scolari"/>
    <s v=""/>
    <s v="Joachim Löw"/>
    <s v=""/>
    <n v="58141"/>
    <s v="Estádio Governador Magalhães Pinto, Belo Horizonte"/>
    <s v="Marco Antonio Rodríguez (Referee) · Marvin Torrentera (AR1) · Marcos Quintero (AR2) · Mark Geiger (4th)"/>
    <x v="2"/>
    <x v="51"/>
    <s v="1–7"/>
    <s v="Marco Antonio Rodríguez"/>
    <s v=""/>
    <x v="2"/>
    <x v="2"/>
    <s v="Oscar · 90"/>
    <s v="Thomas Müller · 11|Miroslav Klose · 23|Toni Kroos · 24|Toni Kroos · 26|Sami Khedira · 29|André Schürrle · 69|André Schürrle · 79"/>
    <s v="['90&amp;rsquor;|1:7|Oscar|Assist:|Marcelo']"/>
    <s v="['11&amp;rsquor;|0:1|Thomas Müller|Assist:|Toni Kroos', '23&amp;rsquor;|0:2|Miroslav Klose', '24&amp;rsquor;|0:3|Toni Kroos|Assist:|Philipp Lahm', '26&amp;rsquor;|0:4|Toni Kroos|Assist:|Sami Khedira', '29&amp;rsquor;|0:5|Sami Khedira|Assist:|Mesut Özil', '69&amp;rsquor;|0:6|André Schürrle|Assist:|Philipp Lahm', '79&amp;rsquor;|0:7|André Schürrle|Assist:|Thomas Müller']"/>
    <s v=""/>
    <s v=""/>
    <s v=""/>
    <s v=""/>
    <s v=""/>
    <s v=""/>
    <s v=""/>
    <s v=""/>
    <s v=""/>
    <s v=""/>
    <s v=""/>
    <s v=""/>
    <s v=""/>
    <s v=""/>
    <s v="['68&amp;rsquor;|0:5|Dante']"/>
    <s v=""/>
    <s v="['46&amp;rsquor;|0:5|Paulinho|for Hulk', '46&amp;rsquor;|0:5|Ramires|for Fernandinho', '70&amp;rsquor;|0:6|Willian|for Fred']"/>
    <s v="['46&amp;rsquor;|0:5|Per Mertesacker|for Mats Hummels', '58&amp;rsquor;|0:5|André Schürrle|for Miroslav Klose', '76&amp;rsquor;|0:6|Julian Draxler|for Sami Khedira']"/>
  </r>
  <r>
    <s v="Argentina"/>
    <s v="Belgium"/>
    <n v="1"/>
    <m/>
    <m/>
    <n v="0"/>
    <m/>
    <m/>
    <s v="Alejandro Sabella"/>
    <s v=""/>
    <s v="Marc Wilmots"/>
    <s v=""/>
    <n v="68551"/>
    <s v="Estádio Nacional de Brasília, Brasília"/>
    <s v="Nicola Rizzoli (Referee) · Renato Faverani (AR1) · Andrea Stefani (AR2) · Benjamin Williams (4th)"/>
    <x v="3"/>
    <x v="52"/>
    <s v="1–0"/>
    <s v="Nicola Rizzoli"/>
    <s v=""/>
    <x v="2"/>
    <x v="2"/>
    <s v="Gonzalo Higuaín · 8"/>
    <s v=""/>
    <s v="['8&amp;rsquor;|1:0|Gonzalo Higuaín']"/>
    <s v=""/>
    <s v=""/>
    <s v=""/>
    <s v=""/>
    <s v=""/>
    <s v=""/>
    <s v=""/>
    <s v=""/>
    <s v=""/>
    <s v=""/>
    <s v=""/>
    <s v=""/>
    <s v=""/>
    <s v=""/>
    <s v=""/>
    <s v="['75&amp;rsquor;|1:0|Lucas Biglia']"/>
    <s v="['53&amp;rsquor;|1:0|Eden Hazard', '69&amp;rsquor;|1:0|Toby Alderweireld']"/>
    <s v="['38&amp;rsquor;|1:0|Enzo Pérez|for Ángel Di María', '71&amp;rsquor;|1:0|Rodrigo Palacio|for Ezequiel Lavezzi', '81&amp;rsquor;|1:0|Fernando Gago|for Gonzalo Higuaín']"/>
    <s v="['59&amp;rsquor;|1:0|Romelu Lukaku|for Divock Origi', '59&amp;rsquor;|1:0|Dries Mertens|for Kevin Mirallas', '75&amp;rsquor;|1:0|Nacer Chadli|for Eden Hazard']"/>
  </r>
  <r>
    <s v="Netherlands"/>
    <s v="Costa Rica"/>
    <n v="0"/>
    <m/>
    <n v="4"/>
    <n v="0"/>
    <m/>
    <n v="3"/>
    <s v="Louis van Gaal"/>
    <s v=""/>
    <s v="Jorge Luis Pinto"/>
    <s v=""/>
    <n v="51179"/>
    <s v="Itaipava Arena Fonte Nova, Salvador"/>
    <s v="Ravshan Irmatov (Referee) · Abdukhamidullo Rasulov (AR1) · Bahadır Koçkarov (AR2) · Noumandiez Doué (4th)"/>
    <x v="3"/>
    <x v="52"/>
    <s v="(4) 0–0 (3)"/>
    <s v="Ravshan Irmatov"/>
    <s v="Netherlands won on penalty kicks following extra time"/>
    <x v="2"/>
    <x v="2"/>
    <s v=""/>
    <s v=""/>
    <s v=""/>
    <s v=""/>
    <s v=""/>
    <s v=""/>
    <s v=""/>
    <s v=""/>
    <s v=""/>
    <s v=""/>
    <s v="['2|1:1|Robin van Persie', '4|2:1|Arjen Robben', '6|3:2|Wesley Sneijder', '8|4:3|Dirk Kuyt']"/>
    <s v="['1|0:1|Celso Borges', '5|2:2|Giancarlo González', '7|3:3|Christian Bolaños']"/>
    <s v=""/>
    <s v="['3|1:1|Bryan Ruiz', '9|4:3|Michael Umaña']"/>
    <s v=""/>
    <s v=""/>
    <s v=""/>
    <s v=""/>
    <s v="['64&amp;rsquor;|0:0|Bruno Martins Indi', '111&amp;rsquor;|0:0|Klaas-Jan Huntelaar']"/>
    <s v="['37&amp;rsquor;|0:0|Júnior Díaz', '52&amp;rsquor;|0:0|Michael Umaña', '81&amp;rsquor;|0:0|Giancarlo González', '107&amp;rsquor;|0:0|Johnny Acosta']"/>
    <s v="['76&amp;rsquor;|0:0|Jeremain Lens|for Memphis', '106&amp;rsquor;|0:0|Klaas-Jan Huntelaar|for Bruno Martins Indi', '120+1&amp;rsquor;|0:0|Tim Krul|for Jasper Cillessen']"/>
    <s v="['66&amp;rsquor;|0:0|Marco Ureña|for Joel Campbell', '79&amp;rsquor;|0:0|David Myrie|for Cristian Gamboa', '97&amp;rsquor;|0:0|José Miguel Cubero|for Yeltsin Tejeda']"/>
  </r>
  <r>
    <s v="France"/>
    <s v="Germany"/>
    <n v="0"/>
    <m/>
    <m/>
    <n v="1"/>
    <m/>
    <m/>
    <s v="Didier Deschamps"/>
    <s v=""/>
    <s v="Joachim Löw"/>
    <s v=""/>
    <n v="74240"/>
    <s v="Estadio Jornalista Mário Filho, Rio de Janeiro"/>
    <s v="Néstor Pitana (Referee) · Hernán Maidana (AR1) · Juan Pablo Belatti (AR2) · Jonas Eriksson (4th)"/>
    <x v="3"/>
    <x v="53"/>
    <s v="0–1"/>
    <s v="Néstor Pitana"/>
    <s v=""/>
    <x v="2"/>
    <x v="2"/>
    <s v=""/>
    <s v="Mats Hummels · 13"/>
    <s v=""/>
    <s v="['13&amp;rsquor;|0:1|Mats Hummels|Assist:|Toni Kroos']"/>
    <s v=""/>
    <s v=""/>
    <s v=""/>
    <s v=""/>
    <s v=""/>
    <s v=""/>
    <s v=""/>
    <s v=""/>
    <s v=""/>
    <s v=""/>
    <s v=""/>
    <s v=""/>
    <s v=""/>
    <s v=""/>
    <s v=""/>
    <s v="['54&amp;rsquor;|0:1|Sami Khedira', '80&amp;rsquor;|0:1|Bastian Schweinsteiger']"/>
    <s v="['72&amp;rsquor;|0:1|Laurent Koscielny|for Mamadou Sakho', '73&amp;rsquor;|0:1|Loïc Rémy|for Yohan Cabaye', '85&amp;rsquor;|0:1|Olivier Giroud|for Mathieu Valbuena']"/>
    <s v="['69&amp;rsquor;|0:1|André Schürrle|for Miroslav Klose', '83&amp;rsquor;|0:1|Mario Götze|for Mesut Özil', '90+2&amp;rsquor;|0:1|Christoph Kramer|for Toni Kroos']"/>
  </r>
  <r>
    <s v="Brazil"/>
    <s v="Colombia"/>
    <n v="2"/>
    <m/>
    <m/>
    <n v="1"/>
    <m/>
    <m/>
    <s v="Luiz Felipe Scolari"/>
    <s v=""/>
    <s v="José Pekerman"/>
    <s v=""/>
    <n v="60342"/>
    <s v="Estádio Castelão, Fortaleza"/>
    <s v="Carlos Velasco (Referee) · Roberto Alonso (AR1) · Juan Carlos Yuste (AR2) · Svein Oddvar Moen (4th)"/>
    <x v="3"/>
    <x v="53"/>
    <s v="2–1"/>
    <s v="Carlos Velasco"/>
    <s v=""/>
    <x v="2"/>
    <x v="2"/>
    <s v="Thiago Silva · 7|David Luiz · 69"/>
    <s v=""/>
    <s v="['7&amp;rsquor;|1:0|Thiago Silva|Assist:|Neymar', '69&amp;rsquor;|2:0|David Luiz']"/>
    <s v=""/>
    <s v=""/>
    <s v=""/>
    <s v=""/>
    <s v="James Rodríguez (P) · 80"/>
    <s v=""/>
    <s v=""/>
    <s v=""/>
    <s v=""/>
    <s v=""/>
    <s v=""/>
    <s v=""/>
    <s v=""/>
    <s v=""/>
    <s v=""/>
    <s v="['64&amp;rsquor;|1:0|Thiago Silva', '78&amp;rsquor;|2:0|Júlio César']"/>
    <s v="['67&amp;rsquor;|1:0|James Rodríguez', '70&amp;rsquor;|2:0|Mario Yepes']"/>
    <s v="['83&amp;rsquor;|2:1|Ramires|for Hulk', '86&amp;rsquor;|2:1|Hernanes|for Paulinho', '88&amp;rsquor;|2:1|Henrique|for Neymar']"/>
    <s v="['46&amp;rsquor;|1:0|Adrián Ramos|for Víctor Ibarbo', '70&amp;rsquor;|2:0|Carlos Bacca|for Teófilo Gutiérrez', '80&amp;rsquor;|2:1|Juan Quintero|for Juan Cuadrado']"/>
  </r>
  <r>
    <s v="Argentina"/>
    <s v="Switzerland"/>
    <n v="1"/>
    <m/>
    <m/>
    <n v="0"/>
    <m/>
    <m/>
    <s v="Alejandro Sabella"/>
    <s v=""/>
    <s v="Ottmar Hitzfeld"/>
    <s v=""/>
    <n v="63255"/>
    <s v="Arena Corinthians, São Paulo"/>
    <s v="Jonas Eriksson (Referee) · Mathias Klasenius (AR1) · Daniel Wärnmark (AR2) · Svein Oddvar Moen (4th)"/>
    <x v="4"/>
    <x v="54"/>
    <s v="1–0"/>
    <s v="Jonas Eriksson"/>
    <s v="Required Extra Time"/>
    <x v="2"/>
    <x v="2"/>
    <s v="Ángel Di María · 118"/>
    <s v=""/>
    <s v="['118&amp;rsquor;|1:0|Ángel Di María|Assist:|Lionel Messi']"/>
    <s v=""/>
    <s v=""/>
    <s v=""/>
    <s v=""/>
    <s v=""/>
    <s v=""/>
    <s v=""/>
    <s v=""/>
    <s v=""/>
    <s v=""/>
    <s v=""/>
    <s v=""/>
    <s v=""/>
    <s v=""/>
    <s v=""/>
    <s v="['90&amp;rsquor;|0:0|Marcos Rojo', '120&amp;rsquor;|1:0|Ángel Di María', '120+4&amp;rsquor;|1:0|Ezequiel Garay']"/>
    <s v="['36&amp;rsquor;|0:0|Granit Xhaka', '73&amp;rsquor;|0:0|Gelson Fernandes']"/>
    <s v="['74&amp;rsquor;|0:0|Rodrigo Palacio|for Ezequiel Lavezzi', '105+1&amp;rsquor;|0:0|José María Basanta|for Marcos Rojo', '106&amp;rsquor;|0:0|Lucas Biglia|for Fernando Gago']"/>
    <s v="['66&amp;rsquor;|0:0|Gelson Fernandes|for Granit Xhaka', '82&amp;rsquor;|0:0|Haris Seferović|for Josip Drmić', '113&amp;rsquor;|0:0|Blerim Džemaili|for Admir Mehmedi']"/>
  </r>
  <r>
    <s v="Belgium"/>
    <s v="United States"/>
    <n v="2"/>
    <m/>
    <m/>
    <n v="1"/>
    <m/>
    <m/>
    <s v="Marc Wilmots"/>
    <s v=""/>
    <s v="Jürgen Klinsmann"/>
    <s v=""/>
    <n v="51227"/>
    <s v="Itaipava Arena Fonte Nova, Salvador"/>
    <s v="Djamel Haïmoudi (Referee) · Redouane Achik (AR1) · Abdelhak Etchiali (AR2) · Norbert Hauata (4th)"/>
    <x v="4"/>
    <x v="54"/>
    <s v="2–1"/>
    <s v="Djamel Haïmoudi"/>
    <s v="Required Extra Time"/>
    <x v="2"/>
    <x v="2"/>
    <s v="Kevin De Bruyne · 93|Romelu Lukaku · 105"/>
    <s v="Julian Green · 107"/>
    <s v="['93&amp;rsquor;|1:0|Kevin De Bruyne', '105&amp;rsquor;|2:0|Romelu Lukaku|Assist:|Kevin De Bruyne']"/>
    <s v="['107&amp;rsquor;|2:1|Julian Green|Assist:|Michael Bradley']"/>
    <s v=""/>
    <s v=""/>
    <s v=""/>
    <s v=""/>
    <s v=""/>
    <s v=""/>
    <s v=""/>
    <s v=""/>
    <s v=""/>
    <s v=""/>
    <s v=""/>
    <s v=""/>
    <s v=""/>
    <s v=""/>
    <s v="['42&amp;rsquor;|0:0|Vincent Kompany']"/>
    <s v="['18&amp;rsquor;|0:0|Geoff Cameron']"/>
    <s v="['60&amp;rsquor;|0:0|Kevin Mirallas|for Dries Mertens', '91&amp;rsquor;|0:0|Romelu Lukaku|for Divock Origi', '111&amp;rsquor;|2:1|Nacer Chadli|for Eden Hazard']"/>
    <s v="['32&amp;rsquor;|0:0|DeAndre Yedlin|for Fabian Johnson', '72&amp;rsquor;|0:0|Chris Wondolowski|for Graham Zusi', '105+2&amp;rsquor;|2:0|Julian Green|for Alejandro Bedoya']"/>
  </r>
  <r>
    <s v="France"/>
    <s v="Nigeria"/>
    <n v="2"/>
    <m/>
    <m/>
    <n v="0"/>
    <m/>
    <m/>
    <s v="Didier Deschamps"/>
    <s v=""/>
    <s v="Stephen Keshi"/>
    <s v=""/>
    <n v="67882"/>
    <s v="Estádio Nacional de Brasília, Brasília"/>
    <s v="Mark Geiger (Referee) · Sean Hurd (AR1) · Joe Fletcher (AR2) · Alireza Faghani (4th)"/>
    <x v="4"/>
    <x v="55"/>
    <s v="2–0"/>
    <s v="Mark Geiger"/>
    <s v=""/>
    <x v="2"/>
    <x v="2"/>
    <s v="Paul Pogba · 79"/>
    <s v=""/>
    <s v="['79&amp;rsquor;|1:0|Paul Pogba']"/>
    <s v=""/>
    <s v="Joseph Yobo (OG) · 90+2"/>
    <s v=""/>
    <s v=""/>
    <s v=""/>
    <s v=""/>
    <s v=""/>
    <s v=""/>
    <s v=""/>
    <s v=""/>
    <s v=""/>
    <s v=""/>
    <s v=""/>
    <s v=""/>
    <s v=""/>
    <s v="['54&amp;rsquor;|0:0|Blaise Matuidi']"/>
    <s v=""/>
    <s v="['62&amp;rsquor;|0:0|Antoine Griezmann|for Olivier Giroud', '90+4&amp;rsquor;|2:0|Moussa Sissoko|for Mathieu Valbuena']"/>
    <s v="['59&amp;rsquor;|0:0|Reuben Gabriel|for Ogenyi Onazi', '89&amp;rsquor;|1:0|Uche Nwofor|for Victor Moses']"/>
  </r>
  <r>
    <s v="Germany"/>
    <s v="Algeria"/>
    <n v="2"/>
    <m/>
    <m/>
    <n v="1"/>
    <m/>
    <m/>
    <s v="Joachim Löw"/>
    <s v=""/>
    <s v="Vahid Halilhodžić"/>
    <s v=""/>
    <n v="43063"/>
    <s v="Estádio José Pinheiro Borba, Porto Alegre"/>
    <s v="Sandro Ricci (Referee) · Emerson de Carvalho (AR1) · Marcelo Van Gasse (AR2) · Walter López (4th)"/>
    <x v="4"/>
    <x v="55"/>
    <s v="2–1"/>
    <s v="Sandro Ricci"/>
    <s v="Required Extra Time"/>
    <x v="2"/>
    <x v="2"/>
    <s v="André Schürrle · 92|Mesut Özil · 119"/>
    <s v="Abdelmoumene Djabou · 120+1"/>
    <s v="['92&amp;rsquor;|1:0|André Schürrle|Assist:|Thomas Müller', '119&amp;rsquor;|2:0|Mesut Özil']"/>
    <s v="['120+1&amp;rsquor;|2:1|Abdelmoumene Djabou|Assist:|Sofiane Feghouli']"/>
    <s v=""/>
    <s v=""/>
    <s v=""/>
    <s v=""/>
    <s v=""/>
    <s v=""/>
    <s v=""/>
    <s v=""/>
    <s v=""/>
    <s v=""/>
    <s v=""/>
    <s v=""/>
    <s v=""/>
    <s v=""/>
    <s v="['107&amp;rsquor;|1:0|Philipp Lahm']"/>
    <s v="['42&amp;rsquor;|0:0|Rafik Halliche']"/>
    <s v="['46&amp;rsquor;|0:0|André Schürrle|for Mario Götze', '70&amp;rsquor;|0:0|Sami Khedira|for Shkodran Mustafi', '109&amp;rsquor;|1:0|Christoph Kramer|for Bastian Schweinsteiger']"/>
    <s v="['78&amp;rsquor;|0:0|Yacine Brahimi|for Saphir Taïder', '97&amp;rsquor;|1:0|Madjid Bougherra|for Rafik Halliche', '100&amp;rsquor;|1:0|Abdelmoumene Djabou|for Hillel Soudani']"/>
  </r>
  <r>
    <s v="Netherlands"/>
    <s v="Mexico"/>
    <n v="2"/>
    <m/>
    <m/>
    <n v="1"/>
    <m/>
    <m/>
    <s v="Louis van Gaal"/>
    <s v=""/>
    <s v="Miguel Herrera"/>
    <s v=""/>
    <n v="58817"/>
    <s v="Estádio Castelão, Fortaleza"/>
    <s v="Pedro Proença (Referee) · Bertino Miranda (AR1) · José Trigo (AR2) · Carlos Vera (4th)"/>
    <x v="4"/>
    <x v="56"/>
    <s v="2–1"/>
    <s v="Pedro Proença"/>
    <s v=""/>
    <x v="2"/>
    <x v="2"/>
    <s v="Wesley Sneijder · 88"/>
    <s v="Giovani dos Santos · 48"/>
    <s v="['88&amp;rsquor;|1:1|Wesley Sneijder|Assist:|Klaas-Jan Huntelaar']"/>
    <s v="['48&amp;rsquor;|0:1|Giovani dos Santos']"/>
    <s v=""/>
    <s v=""/>
    <s v="Klaas-Jan Huntelaar (P) · 90+4"/>
    <s v=""/>
    <s v=""/>
    <s v=""/>
    <s v=""/>
    <s v=""/>
    <s v=""/>
    <s v=""/>
    <s v=""/>
    <s v=""/>
    <s v=""/>
    <s v=""/>
    <s v=""/>
    <s v="['69&amp;rsquor;|0:1|Paul Aguilar', '90+2&amp;rsquor;|1:1|Rafael Márquez', '90+3&amp;rsquor;|1:1|Andrés Guardado']"/>
    <s v="['9&amp;rsquor;|0:0|Bruno Martins Indi|for Nigel de Jong', '56&amp;rsquor;|0:1|Memphis|for Paul Verhaegh', '76&amp;rsquor;|0:1|Klaas-Jan Huntelaar|for Robin van Persie']"/>
    <s v="['46&amp;rsquor;|0:0|Diego Reyes|for Héctor Moreno', '61&amp;rsquor;|0:1|Javier Aquino|for Giovani dos Santos', '75&amp;rsquor;|0:1|Javier Hernández|for Oribe Peralta']"/>
  </r>
  <r>
    <s v="Costa Rica"/>
    <s v="Greece"/>
    <n v="1"/>
    <m/>
    <n v="5"/>
    <n v="1"/>
    <m/>
    <n v="3"/>
    <s v="Jorge Luis Pinto"/>
    <s v=""/>
    <s v="Fernando Santos"/>
    <s v=""/>
    <n v="41242"/>
    <s v="Itaipava Arena Pernambuco, Recife"/>
    <s v="Benjamin Williams (Referee) · Matthew Cream (AR1) · Hakan Anaz (AR2) · Nawaf Shukralla (4th)"/>
    <x v="4"/>
    <x v="56"/>
    <s v="(5) 1–1 (3)"/>
    <s v="Benjamin Williams"/>
    <s v="Costa Rica won on penalty kicks following extra time"/>
    <x v="2"/>
    <x v="2"/>
    <s v="Bryan Ruiz · 52"/>
    <s v="Sokratis Papastathopoulos · 90+1"/>
    <s v="['52&amp;rsquor;|1:0|Bryan Ruiz|Assist:|Christian Bolaños']"/>
    <s v="['90+1&amp;rsquor;|1:1|Sokratis Papastathopoulos']"/>
    <s v=""/>
    <s v=""/>
    <s v=""/>
    <s v=""/>
    <s v=""/>
    <s v=""/>
    <s v="['1|1:0|Celso Borges', '3|2:1|Bryan Ruiz', '5|3:2|Giancarlo González', '7|4:3|Joel Campbell', '9|5:3|Michael Umaña']"/>
    <s v="['2|1:1|Kostas Mitroglou', '4|2:2|Lazaros Christodoulopoulos', '6|3:3|José Holebas']"/>
    <s v=""/>
    <s v="['8|4:3|Theofanis Gekas']"/>
    <s v=""/>
    <s v=""/>
    <s v="Óscar Duarte · 66"/>
    <s v=""/>
    <s v="['42&amp;rsquor;|0:0|Óscar Duarte', '48&amp;rsquor;|0:0|Yeltsin Tejeda', '57&amp;rsquor;|1:0|Óscar Granados', '70&amp;rsquor;|1:0|Bryan Ruiz', '90&amp;rsquor;|1:0|Keylor Navas']"/>
    <s v="['36&amp;rsquor;|0:0|Andreas Samaris', '72&amp;rsquor;|1:0|Kostas Manolas']"/>
    <s v="['66&amp;rsquor;|1:0|José Miguel Cubero|for Yeltsin Tejeda', '77&amp;rsquor;|1:0|Johnny Acosta|for Cristian Gamboa', '83&amp;rsquor;|1:0|Randall Brenes|for Christian Bolaños']"/>
    <s v="['58&amp;rsquor;|1:0|Kostas Mitroglou|for Andreas Samaris', '69&amp;rsquor;|1:0|Theofanis Gekas|for Dimitris Salpingidis', '78&amp;rsquor;|1:0|Kostas Katsouranis|for Giannis Maniatis']"/>
  </r>
  <r>
    <s v="Brazil"/>
    <s v="Chile"/>
    <n v="1"/>
    <m/>
    <n v="3"/>
    <n v="1"/>
    <m/>
    <n v="2"/>
    <s v="Luiz Felipe Scolari"/>
    <s v=""/>
    <s v="Jorge Sampaoli"/>
    <s v=""/>
    <n v="57714"/>
    <s v="Estádio Governador Magalhães Pinto, Belo Horizonte"/>
    <s v="Howard Webb (Referee) · Michael Mullarkey (AR1) · Darren Cann (AR2) · Felix Brych (4th)"/>
    <x v="4"/>
    <x v="57"/>
    <s v="(3) 1–1 (2)"/>
    <s v="Howard Webb"/>
    <s v="Brazil won on penalty kicks following extra time"/>
    <x v="2"/>
    <x v="2"/>
    <s v="David Luiz · 18"/>
    <s v="Alexis Sánchez · 32"/>
    <s v="['18&amp;rsquor;|1:0|David Luiz|Assist:|Thiago Silva']"/>
    <s v="['32&amp;rsquor;|1:1|Alexis Sánchez|Assist:|Eduardo Vargas']"/>
    <s v=""/>
    <s v=""/>
    <s v=""/>
    <s v=""/>
    <s v=""/>
    <s v=""/>
    <s v="['1|1:0|David Luiz', '5|2:0|Marcelo', '9|3:2|Neymar']"/>
    <s v="['6|2:1|Charles Aránguiz', '8|2:2|Marcelo Díaz']"/>
    <s v="['3|1:0|Willian', '7|2:1|Hulk']"/>
    <s v="['2|1:0|Mauricio Pinilla', '4|1:0|Alexis Sánchez', '10|3:2|Gonzalo Jara']"/>
    <s v=""/>
    <s v=""/>
    <s v=""/>
    <s v=""/>
    <s v="['55&amp;rsquor;|1:1|Hulk', '60&amp;rsquor;|1:1|Luiz Gustavo', '94&amp;rsquor;|1:1|Jô', '105+1&amp;rsquor;|1:1|Dani Alves']"/>
    <s v="['17&amp;rsquor;|0:0|Eugenio Mena', '40&amp;rsquor;|1:1|Francisco Silva', '102&amp;rsquor;|1:1|Mauricio Pinilla']"/>
    <s v="['66&amp;rsquor;|1:1|Jô|for Fred', '72&amp;rsquor;|1:1|Ramires|for Fernandinho', '106&amp;rsquor;|1:1|Willian|for Oscar']"/>
    <s v="['57&amp;rsquor;|1:1|Felipe Gutiérrez|for Eduardo Vargas', '87&amp;rsquor;|1:1|Mauricio Pinilla|for Arturo Vidal', '108&amp;rsquor;|1:1|José Rojas|for Gary Medel']"/>
  </r>
  <r>
    <s v="Colombia"/>
    <s v="Uruguay"/>
    <n v="2"/>
    <m/>
    <m/>
    <n v="0"/>
    <m/>
    <m/>
    <s v="José Pekerman"/>
    <s v=""/>
    <s v="Óscar Tabárez"/>
    <s v=""/>
    <n v="73804"/>
    <s v="Estadio Jornalista Mário Filho, Rio de Janeiro"/>
    <s v="Björn Kuipers (Referee) · Sander van Roekel (AR1) · Erwin Zeinstra (AR2) · Svein Oddvar Moen (4th)"/>
    <x v="4"/>
    <x v="57"/>
    <s v="2–0"/>
    <s v="Björn Kuipers"/>
    <s v=""/>
    <x v="2"/>
    <x v="2"/>
    <s v="James Rodríguez · 29|James Rodríguez · 50"/>
    <s v=""/>
    <s v="['29&amp;rsquor;|1:0|James Rodríguez|Assist:|Abel Aguilar', '50&amp;rsquor;|2:0|James Rodríguez|Assist:|Juan Cuadrado']"/>
    <s v=""/>
    <s v=""/>
    <s v=""/>
    <s v=""/>
    <s v=""/>
    <s v=""/>
    <s v=""/>
    <s v=""/>
    <s v=""/>
    <s v=""/>
    <s v=""/>
    <s v=""/>
    <s v=""/>
    <s v=""/>
    <s v=""/>
    <s v="['78&amp;rsquor;|2:0|Pablo Armero']"/>
    <s v="['55&amp;rsquor;|2:0|José María Giménez', '77&amp;rsquor;|2:0|Diego Lugano', '90+2&amp;rsquor;|2:0|Diego Godín']"/>
    <s v="['68&amp;rsquor;|2:0|Alexander Mejía|for Teófilo Gutiérrez', '81&amp;rsquor;|2:0|Fredy Guarín|for Juan Cuadrado', '85&amp;rsquor;|2:0|Adrián Ramos|for James Rodríguez']"/>
    <s v="['53&amp;rsquor;|2:0|Cristhian Stuani|for Diego Forlán', '53&amp;rsquor;|2:0|Gastón Ramírez|for Álvaro Pereira', '67&amp;rsquor;|2:0|Abel Hernández|for Álvaro González']"/>
  </r>
  <r>
    <s v="United States"/>
    <s v="Germany"/>
    <n v="0"/>
    <m/>
    <m/>
    <n v="1"/>
    <m/>
    <m/>
    <s v="Jürgen Klinsmann"/>
    <s v=""/>
    <s v="Joachim Löw"/>
    <s v=""/>
    <n v="41876"/>
    <s v="Itaipava Arena Pernambuco, Recife"/>
    <s v="Ravshan Irmatov (Referee) · Abdukhamidullo Rasulov (AR1) · Bahadır Koçkarov (AR2) · Alioum Alioum (4th)"/>
    <x v="5"/>
    <x v="58"/>
    <s v="0–1"/>
    <s v="Ravshan Irmatov"/>
    <s v=""/>
    <x v="2"/>
    <x v="2"/>
    <s v=""/>
    <s v="Thomas Müller · 55"/>
    <s v=""/>
    <s v="['55&amp;rsquor;|0:1|Thomas Müller']"/>
    <s v=""/>
    <s v=""/>
    <s v=""/>
    <s v=""/>
    <s v=""/>
    <s v=""/>
    <s v=""/>
    <s v=""/>
    <s v=""/>
    <s v=""/>
    <s v=""/>
    <s v=""/>
    <s v=""/>
    <s v=""/>
    <s v="['37&amp;rsquor;|0:0|Omar Gonzalez', '62&amp;rsquor;|0:1|Kyle Beckerman']"/>
    <s v="['11&amp;rsquor;|0:0|Benedikt Höwedes']"/>
    <s v="['59&amp;rsquor;|0:1|Alejandro Bedoya|for Brad Davis', '84&amp;rsquor;|0:1|DeAndre Yedlin|for Graham Zusi']"/>
    <s v="['46&amp;rsquor;|0:0|Miroslav Klose|for Lukas Podolski', '76&amp;rsquor;|0:1|Mario Götze|for Bastian Schweinsteiger', '89&amp;rsquor;|0:1|André Schürrle|for Mesut Özil']"/>
  </r>
  <r>
    <s v="Portugal"/>
    <s v="Ghana"/>
    <n v="2"/>
    <m/>
    <m/>
    <n v="1"/>
    <m/>
    <m/>
    <s v="Paulo Bento"/>
    <s v=""/>
    <s v="Kwesi Appiah"/>
    <s v=""/>
    <n v="67540"/>
    <s v="Estádio Nacional de Brasília, Brasília"/>
    <s v="Nawaf Shukralla (Referee) · Yaser Tulefat (AR1) · Ebrahim Saleh (AR2) · Wilmar Roldán (4th)"/>
    <x v="5"/>
    <x v="58"/>
    <s v="2–1"/>
    <s v="Nawaf Shukralla"/>
    <s v=""/>
    <x v="2"/>
    <x v="2"/>
    <s v="Cristiano Ronaldo · 80"/>
    <s v="Asamoah Gyan · 57"/>
    <s v="['80&amp;rsquor;|2:1|Cristiano Ronaldo']"/>
    <s v="['57&amp;rsquor;|1:1|Asamoah Gyan|Assist:|Kwadwo Asamoah']"/>
    <s v="John Boye (OG) · 31"/>
    <s v=""/>
    <s v=""/>
    <s v=""/>
    <s v=""/>
    <s v=""/>
    <s v=""/>
    <s v=""/>
    <s v=""/>
    <s v=""/>
    <s v=""/>
    <s v=""/>
    <s v=""/>
    <s v=""/>
    <s v="['90+4&amp;rsquor;|2:1|João Moutinho']"/>
    <s v="['39&amp;rsquor;|1:0|Harrison Afful', '55&amp;rsquor;|1:0|Abdul Majeed Waris', '78&amp;rsquor;|1:1|Jordan Ayew']"/>
    <s v="['61&amp;rsquor;|1:1|Silvestre Varela|for João Pereira', '69&amp;rsquor;|1:1|Vieirinha|for Éder', '89&amp;rsquor;|2:1|Eduardo Carvalho|for Beto']"/>
    <s v="['71&amp;rsquor;|1:1|Jordan Ayew|for Abdul Majeed Waris', '76&amp;rsquor;|1:1|Afriyie Acquah|for Mohammed Rabiu', '82&amp;rsquor;|2:1|Wakaso|for André Ayew']"/>
  </r>
  <r>
    <s v="Korea Republic"/>
    <s v="Belgium"/>
    <n v="0"/>
    <m/>
    <m/>
    <n v="1"/>
    <m/>
    <m/>
    <s v="Hong Myung-bo"/>
    <s v=""/>
    <s v="Marc Wilmots"/>
    <s v=""/>
    <n v="61397"/>
    <s v="Arena Corinthians, São Paulo"/>
    <s v="Benjamin Williams (Referee) · Matthew Cream (AR1) · Hakan Anaz (AR2) · Víctor Carrillo (4th)"/>
    <x v="5"/>
    <x v="58"/>
    <s v="0–1"/>
    <s v="Benjamin Williams"/>
    <s v=""/>
    <x v="2"/>
    <x v="2"/>
    <s v=""/>
    <s v="Jan Vertonghen · 77"/>
    <s v=""/>
    <s v="['77&amp;rsquor;|0:1|Jan Vertonghen']"/>
    <s v=""/>
    <s v=""/>
    <s v=""/>
    <s v=""/>
    <s v=""/>
    <s v=""/>
    <s v=""/>
    <s v=""/>
    <s v=""/>
    <s v=""/>
    <s v=""/>
    <s v="Steven Defour · 44"/>
    <s v=""/>
    <s v=""/>
    <s v="['35&amp;rsquor;|0:0|Hong Jeong-ho']"/>
    <s v="['50&amp;rsquor;|0:0|Mousa Dembélé']"/>
    <s v="['46&amp;rsquor;|0:0|Lee Keun-ho|for Han Kook-young', '66&amp;rsquor;|0:0|Kim Bo-kyung|for Kim Shin-wook', '73&amp;rsquor;|0:0|Ji Dong-won|for Son Heung-min']"/>
    <s v="['60&amp;rsquor;|0:0|Divock Origi|for Dries Mertens', '60&amp;rsquor;|0:0|Nacer Chadli|for Adnan Januzaj', '88&amp;rsquor;|0:1|Eden Hazard|for Kevin Mirallas']"/>
  </r>
  <r>
    <s v="Algeria"/>
    <s v="Russia"/>
    <n v="1"/>
    <m/>
    <m/>
    <n v="1"/>
    <m/>
    <m/>
    <s v="Vahid Halilhodžić"/>
    <s v=""/>
    <s v="Fabio Capello"/>
    <s v=""/>
    <n v="39311"/>
    <s v="Estádio Joaquim Américo Guimarães, Curitiba"/>
    <s v="Cüneyt Çakιr (Referee) · Bahattin Duran (AR1) · Tarık Ongun (AR2) · Joel Aguilar (4th)"/>
    <x v="5"/>
    <x v="58"/>
    <s v="1–1"/>
    <s v="Cüneyt Çakιr"/>
    <s v=""/>
    <x v="2"/>
    <x v="2"/>
    <s v="Islam Slimani · 60"/>
    <s v="Aleksandr Kokorin · 6"/>
    <s v="['60&amp;rsquor;|1:1|Islam Slimani|Assist:|Yacine Brahimi']"/>
    <s v="['6&amp;rsquor;|0:1|Aleksandr Kokorin|Assist:|Dmitri Kombarov']"/>
    <s v=""/>
    <s v=""/>
    <s v=""/>
    <s v=""/>
    <s v=""/>
    <s v=""/>
    <s v=""/>
    <s v=""/>
    <s v=""/>
    <s v=""/>
    <s v=""/>
    <s v=""/>
    <s v=""/>
    <s v=""/>
    <s v="['39&amp;rsquor;|0:1|Djamel Mesbah', '87&amp;rsquor;|1:1|Nabil Ghilas', '90+2&amp;rsquor;|1:1|Liassine Cadamuro']"/>
    <s v="['57&amp;rsquor;|0:1|Dmitri Kombarov', '59&amp;rsquor;|0:1|Aleksei Anatolyevich Kozlov']"/>
    <s v="['71&amp;rsquor;|1:1|Hassan Yebda|for Yacine Brahimi', '77&amp;rsquor;|1:1|Nabil Ghilas|for Abdelmoumene Djabou', '90&amp;rsquor;|1:1|Hillel Soudani|for Islam Slimani']"/>
    <s v="['46&amp;rsquor;|0:1|Igor Denisov|for Denis Glushakov', '67&amp;rsquor;|1:1|Alan Dzagoev|for Oleg Shatov', '81&amp;rsquor;|1:1|Maksim Kanunnikov|for Aleksandr Kerzhakov']"/>
  </r>
  <r>
    <s v="Bosnia and Herzegovina"/>
    <s v="IR Iran"/>
    <n v="3"/>
    <m/>
    <m/>
    <n v="1"/>
    <m/>
    <m/>
    <s v="Safet Sušić"/>
    <s v=""/>
    <s v="Carlos Queiroz"/>
    <s v=""/>
    <n v="48011"/>
    <s v="Itaipava Arena Fonte Nova, Salvador"/>
    <s v="Carlos Velasco (Referee) · Roberto Alonso (AR1) · Juan Carlos Yuste (AR2) · Enrique Osses (4th)"/>
    <x v="5"/>
    <x v="59"/>
    <s v="3–1"/>
    <s v="Carlos Velasco"/>
    <s v=""/>
    <x v="2"/>
    <x v="2"/>
    <s v="Edin Džeko · 23|Miralem Pjanić · 59|Avdija Vršajević · 83"/>
    <s v="Reza Ghoochannejad · 82"/>
    <s v="['23&amp;rsquor;|1:0|Edin Džeko', '59&amp;rsquor;|2:0|Miralem Pjanić|Assist:|Toni Šunjić', '83&amp;rsquor;|3:1|Avdija Vršajević']"/>
    <s v="['82&amp;rsquor;|2:1|Reza Ghoochannejad|Assist:|Javad Nekounam']"/>
    <s v=""/>
    <s v=""/>
    <s v=""/>
    <s v=""/>
    <s v=""/>
    <s v=""/>
    <s v=""/>
    <s v=""/>
    <s v=""/>
    <s v=""/>
    <s v=""/>
    <s v=""/>
    <s v=""/>
    <s v=""/>
    <s v="['77&amp;rsquor;|2:0|Muhamed Bešić']"/>
    <s v="['88&amp;rsquor;|3:1|Karim Ansarifard']"/>
    <s v="['61&amp;rsquor;|2:0|Ognjen Vranješ|for Anel Hadžić', '79&amp;rsquor;|2:0|Sejad Salihović|for Tino-Sven Sušić', '84&amp;rsquor;|3:1|Edin Višća|for Edin Džeko']"/>
    <s v="['46&amp;rsquor;|1:0|Khosro Heydari|for Masoud Shojaei', '63&amp;rsquor;|2:0|Alireza Jahanbakhsh|for Ehsan Hajsafi', '68&amp;rsquor;|2:0|Karim Ansarifard|for Ashkan Dejagah']"/>
  </r>
  <r>
    <s v="Nigeria"/>
    <s v="Argentina"/>
    <n v="2"/>
    <m/>
    <m/>
    <n v="3"/>
    <m/>
    <m/>
    <s v="Stephen Keshi"/>
    <s v=""/>
    <s v="Alejandro Sabella"/>
    <s v=""/>
    <n v="43285"/>
    <s v="Estádio José Pinheiro Borba, Porto Alegre"/>
    <s v="Nicola Rizzoli (Referee) · Renato Faverani (AR1) · Andrea Stefani (AR2) · Svein Oddvar Moen (4th)"/>
    <x v="5"/>
    <x v="59"/>
    <s v="2–3"/>
    <s v="Nicola Rizzoli"/>
    <s v=""/>
    <x v="2"/>
    <x v="2"/>
    <s v="Ahmed Musa · 4|Ahmed Musa · 47"/>
    <s v="Lionel Messi · 3|Lionel Messi · 45+1|Marcos Rojo · 50"/>
    <s v="['4&amp;rsquor;|1:1|Ahmed Musa|Assist:|Michael Babatunde', '47&amp;rsquor;|2:2|Ahmed Musa|Assist:|Emmanuel Emenike']"/>
    <s v="['3&amp;rsquor;|0:1|Lionel Messi', '45+1&amp;rsquor;|1:2|Lionel Messi', '50&amp;rsquor;|2:3|Marcos Rojo|Assist:|Ezequiel Lavezzi']"/>
    <s v=""/>
    <s v=""/>
    <s v=""/>
    <s v=""/>
    <s v=""/>
    <s v=""/>
    <s v=""/>
    <s v=""/>
    <s v=""/>
    <s v=""/>
    <s v=""/>
    <s v=""/>
    <s v=""/>
    <s v=""/>
    <s v="['49&amp;rsquor;|2:2|Kenneth Omeruo', '51&amp;rsquor;|2:3|Juwon Oshaniwa']"/>
    <s v=""/>
    <s v="['66&amp;rsquor;|2:3|Michael Uchebo|for Michael Babatunde', '80&amp;rsquor;|2:3|Uche Nwofor|for Peter Odemwingie']"/>
    <s v="['38&amp;rsquor;|1:1|Ezequiel Lavezzi|for Sergio Agüero', '63&amp;rsquor;|2:3|Ricky Álvarez|for Lionel Messi', '90&amp;rsquor;|2:3|Lucas Biglia|for Gonzalo Higuaín']"/>
  </r>
  <r>
    <s v="Honduras"/>
    <s v="Switzerland"/>
    <n v="0"/>
    <m/>
    <m/>
    <n v="3"/>
    <m/>
    <m/>
    <s v="Luis Suárez"/>
    <s v=""/>
    <s v="Ottmar Hitzfeld"/>
    <s v=""/>
    <n v="40322"/>
    <s v="Arena da Amazônia, Manaus"/>
    <s v="Néstor Pitana (Referee) · Hernán Maidana (AR1) · Juan Pablo Belatti (AR2) · Milorad Mažić (4th)"/>
    <x v="5"/>
    <x v="59"/>
    <s v="0–3"/>
    <s v="Néstor Pitana"/>
    <s v=""/>
    <x v="2"/>
    <x v="2"/>
    <s v=""/>
    <s v="Xherdan Shaqiri · 6|Xherdan Shaqiri · 31|Xherdan Shaqiri · 71"/>
    <s v=""/>
    <s v="['6&amp;rsquor;|0:1|Xherdan Shaqiri|Assist:|Stephan Lichtsteiner', '31&amp;rsquor;|0:2|Xherdan Shaqiri|Assist:|Josip Drmić', '71&amp;rsquor;|0:3|Xherdan Shaqiri|Assist:|Josip Drmić']"/>
    <s v=""/>
    <s v=""/>
    <s v=""/>
    <s v=""/>
    <s v=""/>
    <s v=""/>
    <s v=""/>
    <s v=""/>
    <s v=""/>
    <s v=""/>
    <s v=""/>
    <s v=""/>
    <s v=""/>
    <s v=""/>
    <s v="['66&amp;rsquor;|0:2|Jerry Palacios']"/>
    <s v=""/>
    <s v="['40&amp;rsquor;|0:2|Jerry Palacios|for Carlo Costly', '46&amp;rsquor;|0:2|Marvin Chávez|for Roger Espinoza', '77&amp;rsquor;|0:3|Andy Najar|for Boniek García']"/>
    <s v="['73&amp;rsquor;|0:3|Haris Seferović|for Josip Drmić', '77&amp;rsquor;|0:3|Michael Lang|for Granit Xhaka', '87&amp;rsquor;|0:3|Blerim Džemaili|for Xherdan Shaqiri']"/>
  </r>
  <r>
    <s v="Ecuador"/>
    <s v="France"/>
    <n v="0"/>
    <m/>
    <m/>
    <n v="0"/>
    <m/>
    <m/>
    <s v="Reinaldo Rueda"/>
    <s v=""/>
    <s v="Didier Deschamps"/>
    <s v=""/>
    <n v="73749"/>
    <s v="Estadio Jornalista Mário Filho, Rio de Janeiro"/>
    <s v="Noumandiez Doué (Referee) · Songuifolo Yéo (AR1) · Jean-Claude Birumushahu (AR2) · Björn Kuipers (4th)"/>
    <x v="5"/>
    <x v="59"/>
    <s v="0–0"/>
    <s v="Noumandiez Doué"/>
    <s v=""/>
    <x v="2"/>
    <x v="2"/>
    <s v=""/>
    <s v=""/>
    <s v=""/>
    <s v=""/>
    <s v=""/>
    <s v=""/>
    <s v=""/>
    <s v=""/>
    <s v=""/>
    <s v=""/>
    <s v=""/>
    <s v=""/>
    <s v=""/>
    <s v=""/>
    <s v="Antonio Valencia · 50"/>
    <s v=""/>
    <s v=""/>
    <s v=""/>
    <s v="['83&amp;rsquor;|0:0|Frickson Erazo']"/>
    <s v=""/>
    <s v="['63&amp;rsquor;|0:0|Renato Ibarra|for Jefferson Montero', '82&amp;rsquor;|0:0|Gabriel Achilier|for Michael Arroyo', '90&amp;rsquor;|0:0|Felipe Caicedo|for Christian Noboa']"/>
    <s v="['61&amp;rsquor;|0:0|Raphaël Varane|for Mamadou Sakho', '67&amp;rsquor;|0:0|Olivier Giroud|for Blaise Matuidi', '79&amp;rsquor;|0:0|Loïc Rémy|for Antoine Griezmann']"/>
  </r>
  <r>
    <s v="Costa Rica"/>
    <s v="England"/>
    <n v="0"/>
    <m/>
    <m/>
    <n v="0"/>
    <m/>
    <m/>
    <s v="Jorge Luis Pinto"/>
    <s v=""/>
    <s v="Roy Hodgson"/>
    <s v=""/>
    <n v="57823"/>
    <s v="Estádio Governador Magalhães Pinto, Belo Horizonte"/>
    <s v="Djamel Haïmoudi (Referee) · Redouane Achik (AR1) · Abdelhak Etchiali (AR2) · Alireza Faghani (4th)"/>
    <x v="5"/>
    <x v="60"/>
    <s v="0–0"/>
    <s v="Djamel Haïmoudi"/>
    <s v=""/>
    <x v="2"/>
    <x v="2"/>
    <s v=""/>
    <s v=""/>
    <s v=""/>
    <s v=""/>
    <s v=""/>
    <s v=""/>
    <s v=""/>
    <s v=""/>
    <s v=""/>
    <s v=""/>
    <s v=""/>
    <s v=""/>
    <s v=""/>
    <s v=""/>
    <s v=""/>
    <s v=""/>
    <s v=""/>
    <s v=""/>
    <s v="['60&amp;rsquor;|0:0|Giancarlo González']"/>
    <s v="['53&amp;rsquor;|0:0|Ross Barkley', '57&amp;rsquor;|0:0|Adam Lallana']"/>
    <s v="['59&amp;rsquor;|0:0|Christian Bolaños|for Randall Brenes', '65&amp;rsquor;|0:0|Marco Ureña|for Joel Campbell', '78&amp;rsquor;|0:0|Michael Barrantes|for Celso Borges']"/>
    <s v="['62&amp;rsquor;|0:0|Raheem Sterling|for Adam Lallana', '73&amp;rsquor;|0:0|Steven Gerrard|for Jack Wilshere', '76&amp;rsquor;|0:0|Wayne Rooney|for James Milner']"/>
  </r>
  <r>
    <s v="Italy"/>
    <s v="Uruguay"/>
    <n v="0"/>
    <m/>
    <m/>
    <n v="1"/>
    <m/>
    <m/>
    <s v="Cesare Prandelli"/>
    <s v=""/>
    <s v="Óscar Tabárez"/>
    <s v=""/>
    <n v="39706"/>
    <s v="Arena das Dunas, Natal"/>
    <s v="Marco Antonio Rodríguez (Referee) · Marvin Torrentera (AR1) · Marcos Quintero (AR2) · Mark Geiger (4th)"/>
    <x v="5"/>
    <x v="60"/>
    <s v="0–1"/>
    <s v="Marco Antonio Rodríguez"/>
    <s v=""/>
    <x v="2"/>
    <x v="2"/>
    <s v=""/>
    <s v="Diego Godín · 81"/>
    <s v=""/>
    <s v="['81&amp;rsquor;|0:1|Diego Godín|Assist:|Gastón Ramírez']"/>
    <s v=""/>
    <s v=""/>
    <s v=""/>
    <s v=""/>
    <s v=""/>
    <s v=""/>
    <s v=""/>
    <s v=""/>
    <s v=""/>
    <s v=""/>
    <s v="Claudio Marchisio · 59"/>
    <s v=""/>
    <s v=""/>
    <s v=""/>
    <s v="['22&amp;rsquor;|0:0|Mario Balotelli', '77&amp;rsquor;|0:0|Mattia De Sciglio']"/>
    <s v="['46&amp;rsquor;|0:0|Egidio Arévalo', '90+1&amp;rsquor;|0:1|Fernando Muslera']"/>
    <s v="['46&amp;rsquor;|0:0|Marco Parolo|for Mario Balotelli', '71&amp;rsquor;|0:0|Antonio Cassano|for Ciro Immobile', '75&amp;rsquor;|0:0|Thiago Motta|for Marco Verratti']"/>
    <s v="['46&amp;rsquor;|0:0|Maxi Pereira|for Nicolás Lodeiro', '63&amp;rsquor;|0:0|Cristhian Stuani|for Álvaro Pereira', '78&amp;rsquor;|0:0|Gastón Ramírez|for Cristian Rodríguez']"/>
  </r>
  <r>
    <s v="Japan"/>
    <s v="Colombia"/>
    <n v="1"/>
    <m/>
    <m/>
    <n v="4"/>
    <m/>
    <m/>
    <s v="Alberto Zaccheroni"/>
    <s v=""/>
    <s v="José Pekerman"/>
    <s v=""/>
    <n v="40340"/>
    <s v="Arena Pantanal, Cuiabá"/>
    <s v="Pedro Proença (Referee) · Bertino Miranda (AR1) · José Trigo (AR2) · Roberto Moreno (4th)"/>
    <x v="5"/>
    <x v="60"/>
    <s v="1–4"/>
    <s v="Pedro Proença"/>
    <s v=""/>
    <x v="2"/>
    <x v="2"/>
    <s v="Shinji Okazaki · 45+1"/>
    <s v="Jackson Martínez · 55|Jackson Martínez · 82|James Rodríguez · 90"/>
    <s v="['45+1&amp;rsquor;|1:1|Shinji Okazaki|Assist:|Keisuke Honda']"/>
    <s v="['55&amp;rsquor;|1:2|Jackson Martínez|Assist:|James Rodríguez', '82&amp;rsquor;|1:3|Jackson Martínez|Assist:|James Rodríguez', '90&amp;rsquor;|1:4|James Rodríguez|Assist:|Adrián Ramos']"/>
    <s v=""/>
    <s v=""/>
    <s v=""/>
    <s v="Juan Cuadrado (P) · 17"/>
    <s v=""/>
    <s v=""/>
    <s v=""/>
    <s v=""/>
    <s v=""/>
    <s v=""/>
    <s v=""/>
    <s v=""/>
    <s v=""/>
    <s v=""/>
    <s v="['16&amp;rsquor;|0:0|Yasuyuki Konno']"/>
    <s v="['63&amp;rsquor;|1:2|Fredy Guarín']"/>
    <s v="['62&amp;rsquor;|1:2|Hotaru Yamaguchi|for Toshihiro Aoyama', '69&amp;rsquor;|1:2|Yoichiro Kakitani|for Shinji Okazaki', '85&amp;rsquor;|1:3|Hiroshi Kiyotake|for Shinji Kagawa']"/>
    <s v="['46&amp;rsquor;|1:1|Carlos Carbonero|for Juan Cuadrado', '46&amp;rsquor;|1:1|James Rodríguez|for Juan Quintero', '85&amp;rsquor;|1:3|Faryd Mondragón|for David Ospina']"/>
  </r>
  <r>
    <s v="Greece"/>
    <s v="Côte d'Ivoire"/>
    <n v="2"/>
    <m/>
    <m/>
    <n v="1"/>
    <m/>
    <m/>
    <s v="Fernando Santos"/>
    <s v=""/>
    <s v="Sabri Lamouchi"/>
    <s v=""/>
    <n v="59095"/>
    <s v="Estádio Castelão, Fortaleza"/>
    <s v="Carlos Vera (Referee) · Christian Lescano (AR1) · Byron Romero (AR2) · Sandro Ricci (4th)"/>
    <x v="5"/>
    <x v="60"/>
    <s v="2–1"/>
    <s v="Carlos Vera"/>
    <s v=""/>
    <x v="2"/>
    <x v="2"/>
    <s v="Andreas Samaris · 42"/>
    <s v="Wilfried Bony · 74"/>
    <s v="['42&amp;rsquor;|1:0|Andreas Samaris|Assist:|Georgios Samaras']"/>
    <s v="['74&amp;rsquor;|1:1|Wilfried Bony|Assist:|Gervinho']"/>
    <s v=""/>
    <s v=""/>
    <s v="Georgios Samaras (P) · 90+3"/>
    <s v=""/>
    <s v=""/>
    <s v=""/>
    <s v=""/>
    <s v=""/>
    <s v=""/>
    <s v=""/>
    <s v=""/>
    <s v=""/>
    <s v=""/>
    <s v=""/>
    <s v=""/>
    <s v="['37&amp;rsquor;|0:0|Didier Drogba', '62&amp;rsquor;|1:0|Salomon Kalou', '70&amp;rsquor;|1:0|Serey Die']"/>
    <s v="['12&amp;rsquor;|0:0|Andreas Samaris|for Panagiotis Kone', '24&amp;rsquor;|0:0|Panagiotis Glykos|for Orestis Karnezis', '78&amp;rsquor;|1:1|Theofanis Gekas|for Giorgos Karagounis']"/>
    <s v="['61&amp;rsquor;|1:0|Wilfried Bony|for Cheick Tioté', '78&amp;rsquor;|1:1|Ismaël Diomandé|for Didier Drogba', '83&amp;rsquor;|1:1|Giovanni Sio|for Gervinho']"/>
  </r>
  <r>
    <s v="Australia"/>
    <s v="Spain"/>
    <n v="0"/>
    <m/>
    <m/>
    <n v="3"/>
    <m/>
    <m/>
    <s v="Ange Postecoglou"/>
    <s v=""/>
    <s v="Del Bosque"/>
    <s v=""/>
    <n v="39375"/>
    <s v="Estádio Joaquim Américo Guimarães, Curitiba"/>
    <s v="Nawaf Shukralla (Referee) · Yaser Tulefat (AR1) · Ebrahim Saleh (AR2) · Norbert Hauata (4th)"/>
    <x v="5"/>
    <x v="61"/>
    <s v="0–3"/>
    <s v="Nawaf Shukralla"/>
    <s v=""/>
    <x v="2"/>
    <x v="2"/>
    <s v=""/>
    <s v="David Villa · 36|Fernando Torres · 69|Juan Mata · 82"/>
    <s v=""/>
    <s v="['36&amp;rsquor;|0:1|David Villa|Assist:|Juanfran', '69&amp;rsquor;|0:2|Fernando Torres|Assist:|Andrés Iniesta', '82&amp;rsquor;|0:3|Juan Mata|Assist:|Cesc Fàbregas']"/>
    <s v=""/>
    <s v=""/>
    <s v=""/>
    <s v=""/>
    <s v=""/>
    <s v=""/>
    <s v=""/>
    <s v=""/>
    <s v=""/>
    <s v=""/>
    <s v=""/>
    <s v=""/>
    <s v=""/>
    <s v=""/>
    <s v="['88&amp;rsquor;|0:3|Matthew Spiranovic', '90+2&amp;rsquor;|0:3|Mile Jedinak']"/>
    <s v="['62&amp;rsquor;|0:1|Sergio Ramos']"/>
    <s v="['46&amp;rsquor;|0:1|Ben Halloran|for Adam Taggart', '61&amp;rsquor;|0:1|James Troisi|for Tommy Oar', '72&amp;rsquor;|0:2|Mark Bresciano|for Oliver Bozanic']"/>
    <s v="['56&amp;rsquor;|0:1|Juan Mata|for David Villa', '68&amp;rsquor;|0:1|Cesc Fàbregas|for Santi Cazorla', '83&amp;rsquor;|0:3|David Silva|for Xabi Alonso']"/>
  </r>
  <r>
    <s v="Netherlands"/>
    <s v="Chile"/>
    <n v="2"/>
    <m/>
    <m/>
    <n v="0"/>
    <m/>
    <m/>
    <s v="Louis van Gaal"/>
    <s v=""/>
    <s v="Jorge Sampaoli"/>
    <s v=""/>
    <n v="62996"/>
    <s v="Arena Corinthians, São Paulo"/>
    <s v="Bakary Papa Gassama (Referee) · Evarist Menkouande (AR1) · Félicien Kabanda (AR2) · Joel Aguilar (4th)"/>
    <x v="5"/>
    <x v="61"/>
    <s v="2–0"/>
    <s v="Bakary Papa Gassama"/>
    <s v=""/>
    <x v="2"/>
    <x v="2"/>
    <s v="Leroy Fer · 77|Memphis · 90+2"/>
    <s v=""/>
    <s v="['77&amp;rsquor;|1:0|Leroy Fer|Assist:|Daryl Janmaat', '90+2&amp;rsquor;|2:0|Memphis|Assist:|Arjen Robben']"/>
    <s v=""/>
    <s v=""/>
    <s v=""/>
    <s v=""/>
    <s v=""/>
    <s v=""/>
    <s v=""/>
    <s v=""/>
    <s v=""/>
    <s v=""/>
    <s v=""/>
    <s v=""/>
    <s v=""/>
    <s v=""/>
    <s v=""/>
    <s v="['64&amp;rsquor;|0:0|Daley Blind']"/>
    <s v="['25&amp;rsquor;|0:0|Francisco Silva']"/>
    <s v="['69&amp;rsquor;|0:0|Memphis|for Jeremain Lens', '75&amp;rsquor;|0:0|Leroy Fer|for Wesley Sneijder', '89&amp;rsquor;|1:0|Terence Kongolo|for Dirk Kuyt']"/>
    <s v="['46&amp;rsquor;|0:0|Jean Beausejour|for Felipe Gutiérrez', '70&amp;rsquor;|0:0|Jorge Valdivia|for Francisco Silva', '81&amp;rsquor;|1:0|Mauricio Pinilla|for Eduardo Vargas']"/>
  </r>
  <r>
    <s v="Croatia"/>
    <s v="Mexico"/>
    <n v="1"/>
    <m/>
    <m/>
    <n v="3"/>
    <m/>
    <m/>
    <s v="Niko Kovač"/>
    <s v=""/>
    <s v="Miguel Herrera"/>
    <s v=""/>
    <n v="41212"/>
    <s v="Itaipava Arena Pernambuco, Recife"/>
    <s v="Ravshan Irmatov (Referee) · Abdukhamidullo Rasulov (AR1) · Bahadır Koçkarov (AR2) · Alioum Alioum (4th)"/>
    <x v="5"/>
    <x v="61"/>
    <s v="1–3"/>
    <s v="Ravshan Irmatov"/>
    <s v=""/>
    <x v="2"/>
    <x v="2"/>
    <s v="Ivan Perišić · 87"/>
    <s v="Rafael Márquez · 72|Andrés Guardado · 75|Javier Hernández · 82"/>
    <s v="['87&amp;rsquor;|1:3|Ivan Perišić|Assist:|Ivan Rakitić']"/>
    <s v="['72&amp;rsquor;|0:1|Rafael Márquez|Assist:|Héctor Herrera', '75&amp;rsquor;|0:2|Andrés Guardado|Assist:|Oribe Peralta', '82&amp;rsquor;|0:3|Javier Hernández|Assist:|Rafael Márquez']"/>
    <s v=""/>
    <s v=""/>
    <s v=""/>
    <s v=""/>
    <s v=""/>
    <s v=""/>
    <s v=""/>
    <s v=""/>
    <s v=""/>
    <s v=""/>
    <s v="Ante Rebić · 89"/>
    <s v=""/>
    <s v=""/>
    <s v=""/>
    <s v="['9&amp;rsquor;|0:0|Ivan Rakitić']"/>
    <s v="['39&amp;rsquor;|0:0|Rafael Márquez', '66&amp;rsquor;|0:0|José Juan Vázquez']"/>
    <s v="['58&amp;rsquor;|0:0|Mateo Kovačić|for Šime Vrsaljko', '69&amp;rsquor;|0:0|Ante Rebić|for Ivica Olić', '74&amp;rsquor;|0:1|Nikica Jelavić|for Danijel Pranjić']"/>
    <s v="['62&amp;rsquor;|0:0|Javier Hernández|for Giovani dos Santos', '79&amp;rsquor;|0:2|Carlos Peña|for Oribe Peralta', '84&amp;rsquor;|0:3|Marco Fabián|for Andrés Guardado']"/>
  </r>
  <r>
    <s v="Cameroon"/>
    <s v="Brazil"/>
    <n v="1"/>
    <m/>
    <m/>
    <n v="4"/>
    <m/>
    <m/>
    <s v="Volker Finke"/>
    <s v=""/>
    <s v="Luiz Felipe Scolari"/>
    <s v=""/>
    <n v="69112"/>
    <s v="Estádio Nacional de Brasília, Brasília"/>
    <s v="Jonas Eriksson (Referee) · Mathias Klasenius (AR1) · Daniel Wärnmark (AR2) · Svein Oddvar Moen (4th)"/>
    <x v="5"/>
    <x v="61"/>
    <s v="1–4"/>
    <s v="Jonas Eriksson"/>
    <s v=""/>
    <x v="2"/>
    <x v="2"/>
    <s v="Joël Matip · 26"/>
    <s v="Neymar · 17|Neymar · 35|Fred · 49|Fernandinho · 84"/>
    <s v="['26&amp;rsquor;|1:1|Joël Matip|Assist:|Allan Nyom']"/>
    <s v="['17&amp;rsquor;|0:1|Neymar|Assist:|Luiz Gustavo', '35&amp;rsquor;|1:2|Neymar|Assist:|Marcelo', '49&amp;rsquor;|1:3|Fred|Assist:|David Luiz', '84&amp;rsquor;|1:4|Fernandinho|Assist:|Oscar']"/>
    <s v=""/>
    <s v=""/>
    <s v=""/>
    <s v=""/>
    <s v=""/>
    <s v=""/>
    <s v=""/>
    <s v=""/>
    <s v=""/>
    <s v=""/>
    <s v=""/>
    <s v=""/>
    <s v=""/>
    <s v=""/>
    <s v="['11&amp;rsquor;|0:0|Eyong Enoh', '75&amp;rsquor;|1:3|Edgar Salli', '80&amp;rsquor;|1:3|Stéphane Mbia']"/>
    <s v=""/>
    <s v="['58&amp;rsquor;|1:3|Edgar Salli|for Benjamin Moukandjo', '72&amp;rsquor;|1:3|Pierre Webó|for Vincent Aboubakar', '81&amp;rsquor;|1:3|Jean Makoun|for Eric Maxim Choupo-Moting']"/>
    <s v="['46&amp;rsquor;|1:2|Fernandinho|for Paulinho', '63&amp;rsquor;|1:3|Ramires|for Hulk', '71&amp;rsquor;|1:3|Willian|for Neymar']"/>
  </r>
  <r>
    <s v="Belgium"/>
    <s v="Russia"/>
    <n v="1"/>
    <m/>
    <m/>
    <n v="0"/>
    <m/>
    <m/>
    <s v="Marc Wilmots"/>
    <s v=""/>
    <s v="Fabio Capello"/>
    <s v=""/>
    <n v="73819"/>
    <s v="Estadio Jornalista Mário Filho, Rio de Janeiro"/>
    <s v="Felix Brych (Referee) · Mark Borsch (AR1) · Stefan Lupp (AR2) · Carlos Vera (4th)"/>
    <x v="5"/>
    <x v="62"/>
    <s v="1–0"/>
    <s v="Felix Brych"/>
    <s v=""/>
    <x v="2"/>
    <x v="2"/>
    <s v="Divock Origi · 88"/>
    <s v=""/>
    <s v="['88&amp;rsquor;|1:0|Divock Origi|Assist:|Eden Hazard']"/>
    <s v=""/>
    <s v=""/>
    <s v=""/>
    <s v=""/>
    <s v=""/>
    <s v=""/>
    <s v=""/>
    <s v=""/>
    <s v=""/>
    <s v=""/>
    <s v=""/>
    <s v=""/>
    <s v=""/>
    <s v=""/>
    <s v=""/>
    <s v="['54&amp;rsquor;|0:0|Axel Witsel', '73&amp;rsquor;|0:0|Toby Alderweireld']"/>
    <s v="['38&amp;rsquor;|0:0|Denis Glushakov']"/>
    <s v="['31&amp;rsquor;|0:0|Jan Vertonghen|for Thomas Vermaelen', '57&amp;rsquor;|0:0|Divock Origi|for Romelu Lukaku', '75&amp;rsquor;|0:0|Kevin Mirallas|for Dries Mertens']"/>
    <s v="['62&amp;rsquor;|0:0|Andrey Yeshchenko|for Aleksei Anatolyevich Kozlov', '83&amp;rsquor;|0:0|Alan Dzagoev|for Oleg Shatov', '90&amp;rsquor;|1:0|Aleksandr Kerzhakov|for Aleksandr Samedov']"/>
  </r>
  <r>
    <s v="Korea Republic"/>
    <s v="Algeria"/>
    <n v="2"/>
    <m/>
    <m/>
    <n v="4"/>
    <m/>
    <m/>
    <s v="Hong Myung-bo"/>
    <s v=""/>
    <s v="Vahid Halilhodžić"/>
    <s v=""/>
    <n v="42732"/>
    <s v="Estádio José Pinheiro Borba, Porto Alegre"/>
    <s v="Wilmar Roldán (Referee) · Eduardo Díaz (AR1) · Christian Lescano (AR2) · Alireza Faghani (4th)"/>
    <x v="5"/>
    <x v="62"/>
    <s v="2–4"/>
    <s v="Wilmar Roldán"/>
    <s v=""/>
    <x v="2"/>
    <x v="2"/>
    <s v="Son Heung-min · 50|Koo Ja-cheol · 72"/>
    <s v="Islam Slimani · 26|Rafik Halliche · 28|Abdelmoumene Djabou · 38|Yacine Brahimi · 62"/>
    <s v="['50&amp;rsquor;|1:3|Son Heung-min|Assist:|Ki Sung-yueng', '72&amp;rsquor;|2:4|Koo Ja-cheol|Assist:|Lee Keun-ho']"/>
    <s v="['26&amp;rsquor;|0:1|Islam Slimani|Assist:|Carl Medjani', '28&amp;rsquor;|0:2|Rafik Halliche|Assist:|Abdelmoumene Djabou', '38&amp;rsquor;|0:3|Abdelmoumene Djabou|Assist:|Islam Slimani', '62&amp;rsquor;|1:4|Yacine Brahimi|Assist:|Sofiane Feghouli']"/>
    <s v=""/>
    <s v=""/>
    <s v=""/>
    <s v=""/>
    <s v=""/>
    <s v=""/>
    <s v=""/>
    <s v=""/>
    <s v=""/>
    <s v=""/>
    <s v=""/>
    <s v=""/>
    <s v=""/>
    <s v=""/>
    <s v="['54&amp;rsquor;|1:3|Lee Yong', '69&amp;rsquor;|1:4|Han Kook-young']"/>
    <s v="['67&amp;rsquor;|1:4|Madjid Bougherra']"/>
    <s v="['57&amp;rsquor;|1:3|Kim Shin-wook|for Park Chu-young', '64&amp;rsquor;|1:4|Lee Keun-ho|for Lee Chung-yong', '78&amp;rsquor;|2:4|Ji Dong-won|for Han Kook-young']"/>
    <s v="['73&amp;rsquor;|2:4|Nabil Ghilas|for Abdelmoumene Djabou', '77&amp;rsquor;|2:4|Mehdi Lacen|for Yacine Brahimi', '89&amp;rsquor;|2:4|Essaïd Belkalem|for Madjid Bougherra']"/>
  </r>
  <r>
    <s v="United States"/>
    <s v="Portugal"/>
    <n v="2"/>
    <m/>
    <m/>
    <n v="2"/>
    <m/>
    <m/>
    <s v="Jürgen Klinsmann"/>
    <s v=""/>
    <s v="Paulo Bento"/>
    <s v=""/>
    <n v="40123"/>
    <s v="Arena da Amazônia, Manaus"/>
    <s v="Néstor Pitana (Referee) · Hernán Maidana (AR1) · Juan Pablo Belatti (AR2) · Walter López (4th)"/>
    <x v="5"/>
    <x v="62"/>
    <s v="2–2"/>
    <s v="Néstor Pitana"/>
    <s v=""/>
    <x v="2"/>
    <x v="2"/>
    <s v="Jermaine Jones · 64|Clint Dempsey · 81"/>
    <s v="Nani · 5|Silvestre Varela · 90+5"/>
    <s v="['64&amp;rsquor;|1:1|Jermaine Jones', '81&amp;rsquor;|2:1|Clint Dempsey|Assist:|Graham Zusi']"/>
    <s v="['5&amp;rsquor;|0:1|Nani', '90+5&amp;rsquor;|2:2|Silvestre Varela|Assist:|Cristiano Ronaldo']"/>
    <s v=""/>
    <s v=""/>
    <s v=""/>
    <s v=""/>
    <s v=""/>
    <s v=""/>
    <s v=""/>
    <s v=""/>
    <s v=""/>
    <s v=""/>
    <s v=""/>
    <s v=""/>
    <s v=""/>
    <s v=""/>
    <s v="['75&amp;rsquor;|1:1|Jermaine Jones']"/>
    <s v=""/>
    <s v="['72&amp;rsquor;|1:1|DeAndre Yedlin|for Alejandro Bedoya', '87&amp;rsquor;|2:1|Chris Wondolowski|for Clint Dempsey', '90+1&amp;rsquor;|2:1|Omar Gonzalez|for Graham Zusi']"/>
    <s v="['16&amp;rsquor;|0:1|Éder|for Hélder Postiga', '46&amp;rsquor;|0:1|William Carvalho|for André Almeida', '70&amp;rsquor;|1:1|Silvestre Varela|for Raul Meireles']"/>
  </r>
  <r>
    <s v="Argentina"/>
    <s v="IR Iran"/>
    <n v="1"/>
    <m/>
    <m/>
    <n v="0"/>
    <m/>
    <m/>
    <s v="Alejandro Sabella"/>
    <s v=""/>
    <s v="Carlos Queiroz"/>
    <s v=""/>
    <n v="57698"/>
    <s v="Estádio Governador Magalhães Pinto, Belo Horizonte"/>
    <s v="Milorad Mažić (Referee) · Milovan Ristić (AR1) · Dalibor Đurđević (AR2) · Norbert Hauata (4th)"/>
    <x v="5"/>
    <x v="63"/>
    <s v="1–0"/>
    <s v="Milorad Mažić"/>
    <s v=""/>
    <x v="2"/>
    <x v="2"/>
    <s v="Lionel Messi · 90+1"/>
    <s v=""/>
    <s v="['90+1&amp;rsquor;|1:0|Lionel Messi']"/>
    <s v=""/>
    <s v=""/>
    <s v=""/>
    <s v=""/>
    <s v=""/>
    <s v=""/>
    <s v=""/>
    <s v=""/>
    <s v=""/>
    <s v=""/>
    <s v=""/>
    <s v=""/>
    <s v=""/>
    <s v=""/>
    <s v=""/>
    <s v=""/>
    <s v="['53&amp;rsquor;|0:0|Javad Nekounam', '73&amp;rsquor;|0:0|Masoud Shojaei']"/>
    <s v="['77&amp;rsquor;|0:0|Ezequiel Lavezzi|for Sergio Agüero', '77&amp;rsquor;|0:0|Rodrigo Palacio|for Gonzalo Higuaín', '90&amp;rsquor;|0:0|Lucas Biglia|for Ángel Di María']"/>
    <s v="['76&amp;rsquor;|0:0|Khosro Heydari|for Masoud Shojaei', '85&amp;rsquor;|0:0|Alireza Jahanbakhsh|for Ashkan Dejagah', '88&amp;rsquor;|0:0|Reza Haghighi|for Ehsan Hajsafi']"/>
  </r>
  <r>
    <s v="Germany"/>
    <s v="Ghana"/>
    <n v="2"/>
    <m/>
    <m/>
    <n v="2"/>
    <m/>
    <m/>
    <s v="Joachim Löw"/>
    <s v=""/>
    <s v="Kwesi Appiah"/>
    <s v=""/>
    <n v="59621"/>
    <s v="Estádio Castelão, Fortaleza"/>
    <s v="Sandro Ricci (Referee) · Emerson de Carvalho (AR1) · Marcelo Van Gasse (AR2) · Víctor Carrillo (4th)"/>
    <x v="5"/>
    <x v="63"/>
    <s v="2–2"/>
    <s v="Sandro Ricci"/>
    <s v=""/>
    <x v="2"/>
    <x v="2"/>
    <s v="Mario Götze · 51|Miroslav Klose · 71"/>
    <s v="André Ayew · 54|Asamoah Gyan · 63"/>
    <s v="['51&amp;rsquor;|1:0|Mario Götze|Assist:|Thomas Müller', '71&amp;rsquor;|2:2|Miroslav Klose|Assist:|Benedikt Höwedes']"/>
    <s v="['54&amp;rsquor;|1:1|André Ayew|Assist:|Harrison Afful', '63&amp;rsquor;|1:2|Asamoah Gyan|Assist:|Sulley Muntari']"/>
    <s v=""/>
    <s v=""/>
    <s v=""/>
    <s v=""/>
    <s v=""/>
    <s v=""/>
    <s v=""/>
    <s v=""/>
    <s v=""/>
    <s v=""/>
    <s v=""/>
    <s v=""/>
    <s v=""/>
    <s v=""/>
    <s v=""/>
    <s v="['90+4&amp;rsquor;|2:2|Sulley Muntari']"/>
    <s v="['46&amp;rsquor;|0:0|Shkodran Mustafi|for Jérôme Boateng', '69&amp;rsquor;|1:2|Bastian Schweinsteiger|for Sami Khedira', '69&amp;rsquor;|1:2|Miroslav Klose|for Mario Götze']"/>
    <s v="['52&amp;rsquor;|1:0|Jordan Ayew|for Kevin-Prince Boateng', '72&amp;rsquor;|2:2|Wakaso|for Christian Atsu', '78&amp;rsquor;|2:2|Emmanuel Agyemang-Badu|for Mohammed Rabiu']"/>
  </r>
  <r>
    <s v="Nigeria"/>
    <s v="Bosnia and Herzegovina"/>
    <n v="1"/>
    <m/>
    <m/>
    <n v="0"/>
    <m/>
    <m/>
    <s v="Stephen Keshi"/>
    <s v=""/>
    <s v="Safet Sušić"/>
    <s v=""/>
    <n v="40499"/>
    <s v="Arena Pantanal, Cuiabá"/>
    <s v="Peter O'Leary (Referee) · Jan-Hendrik Hintz (AR1) · Mark Rule (AR2) · Roberto Moreno (4th)"/>
    <x v="5"/>
    <x v="63"/>
    <s v="1–0"/>
    <s v="Peter O'Leary"/>
    <s v=""/>
    <x v="2"/>
    <x v="2"/>
    <s v="Peter Odemwingie · 29"/>
    <s v=""/>
    <s v="['29&amp;rsquor;|1:0|Peter Odemwingie|Assist:|Emmanuel Emenike']"/>
    <s v=""/>
    <s v=""/>
    <s v=""/>
    <s v=""/>
    <s v=""/>
    <s v=""/>
    <s v=""/>
    <s v=""/>
    <s v=""/>
    <s v=""/>
    <s v=""/>
    <s v=""/>
    <s v=""/>
    <s v=""/>
    <s v=""/>
    <s v="['81&amp;rsquor;|1:0|John Obi Mikel']"/>
    <s v="['6&amp;rsquor;|0:0|Haris Medunjanin']"/>
    <s v="['65&amp;rsquor;|1:0|Shola Ameobi|for Ahmed Musa', '75&amp;rsquor;|1:0|Ejike Uzoenyi|for Michael Babatunde']"/>
    <s v="['57&amp;rsquor;|1:0|Vedad Ibišević|for Izet Hajrović', '58&amp;rsquor;|1:0|Sejad Salihović|for Senad Lulić', '64&amp;rsquor;|1:0|Tino-Sven Sušić|for Haris Medunjanin']"/>
  </r>
  <r>
    <s v="Italy"/>
    <s v="Costa Rica"/>
    <n v="0"/>
    <m/>
    <m/>
    <n v="1"/>
    <m/>
    <m/>
    <s v="Cesare Prandelli"/>
    <s v=""/>
    <s v="Jorge Luis Pinto"/>
    <s v=""/>
    <n v="40285"/>
    <s v="Itaipava Arena Pernambuco, Recife"/>
    <s v="Enrique Osses (Referee) · Carlos Astroza (AR1) · Sergio Román (AR2) · Alioum Alioum (4th)"/>
    <x v="5"/>
    <x v="64"/>
    <s v="0–1"/>
    <s v="Enrique Osses"/>
    <s v=""/>
    <x v="2"/>
    <x v="2"/>
    <s v=""/>
    <s v="Bryan Ruiz · 44"/>
    <s v=""/>
    <s v="['44&amp;rsquor;|0:1|Bryan Ruiz|Assist:|Júnior Díaz']"/>
    <s v=""/>
    <s v=""/>
    <s v=""/>
    <s v=""/>
    <s v=""/>
    <s v=""/>
    <s v=""/>
    <s v=""/>
    <s v=""/>
    <s v=""/>
    <s v=""/>
    <s v=""/>
    <s v=""/>
    <s v=""/>
    <s v="['69&amp;rsquor;|0:1|Mario Balotelli']"/>
    <s v="['71&amp;rsquor;|0:1|José Miguel Cubero']"/>
    <s v="['46&amp;rsquor;|0:1|Antonio Cassano|for Thiago Motta', '57&amp;rsquor;|0:1|Lorenzo Insigne|for Antonio Candreva', '69&amp;rsquor;|0:1|Alessio Cerci|for Claudio Marchisio']"/>
    <s v="['68&amp;rsquor;|0:1|José Miguel Cubero|for Yeltsin Tejeda', '74&amp;rsquor;|0:1|Marco Ureña|for Joel Campbell', '81&amp;rsquor;|0:1|Randall Brenes|for Bryan Ruiz']"/>
  </r>
  <r>
    <s v="Switzerland"/>
    <s v="France"/>
    <n v="2"/>
    <m/>
    <m/>
    <n v="5"/>
    <m/>
    <m/>
    <s v="Ottmar Hitzfeld"/>
    <s v=""/>
    <s v="Didier Deschamps"/>
    <s v=""/>
    <n v="51003"/>
    <s v="Itaipava Arena Fonte Nova, Salvador"/>
    <s v="Björn Kuipers (Referee) · Sander van Roekel (AR1) · Erwin Zeinstra (AR2) · Svein Oddvar Moen (4th)"/>
    <x v="5"/>
    <x v="64"/>
    <s v="2–5"/>
    <s v="Björn Kuipers"/>
    <s v=""/>
    <x v="2"/>
    <x v="2"/>
    <s v="Blerim Džemaili · 81|Granit Xhaka · 87"/>
    <s v="Olivier Giroud · 17|Blaise Matuidi · 18|Mathieu Valbuena · 40|Karim Benzema · 67|Moussa Sissoko · 73"/>
    <s v="['81&amp;rsquor;|1:5|Blerim Džemaili', '87&amp;rsquor;|2:5|Granit Xhaka|Assist:|Gökhan Inler']"/>
    <s v="['17&amp;rsquor;|0:1|Olivier Giroud|Assist:|Mathieu Valbuena', '18&amp;rsquor;|0:2|Blaise Matuidi|Assist:|Karim Benzema', '40&amp;rsquor;|0:3|Mathieu Valbuena|Assist:|Olivier Giroud', '67&amp;rsquor;|0:4|Karim Benzema|Assist:|Paul Pogba', '73&amp;rsquor;|0:5|Moussa Sissoko|Assist:|Karim Benzema']"/>
    <s v=""/>
    <s v=""/>
    <s v=""/>
    <s v=""/>
    <s v=""/>
    <s v="['32&amp;rsquor;|0:2|Karim Benzema|Penalty saved by Diego Benaglio']"/>
    <s v=""/>
    <s v=""/>
    <s v=""/>
    <s v=""/>
    <s v=""/>
    <s v=""/>
    <s v=""/>
    <s v=""/>
    <s v=""/>
    <s v="['88&amp;rsquor;|2:5|Yohan Cabaye']"/>
    <s v="['9&amp;rsquor;|0:0|Philippe Senderos|for Steve von Bergen', '46&amp;rsquor;|0:3|Blerim Džemaili|for Valon Behrami', '69&amp;rsquor;|0:4|Josip Drmić|for Haris Seferović']"/>
    <s v="['63&amp;rsquor;|0:3|Paul Pogba|for Olivier Giroud', '66&amp;rsquor;|0:3|Laurent Koscielny|for Mamadou Sakho', '82&amp;rsquor;|1:5|Antoine Griezmann|for Mathieu Valbuena']"/>
  </r>
  <r>
    <s v="Honduras"/>
    <s v="Ecuador"/>
    <n v="1"/>
    <m/>
    <m/>
    <n v="2"/>
    <m/>
    <m/>
    <s v="Luis Suárez"/>
    <s v=""/>
    <s v="Reinaldo Rueda"/>
    <s v=""/>
    <n v="39224"/>
    <s v="Estádio Joaquim Américo Guimarães, Curitiba"/>
    <s v="Benjamin Williams (Referee) · Matthew Cream (AR1) · Hakan Anaz (AR2) · Yuichi Nishimura (4th)"/>
    <x v="5"/>
    <x v="64"/>
    <s v="1–2"/>
    <s v="Benjamin Williams"/>
    <s v=""/>
    <x v="2"/>
    <x v="2"/>
    <s v="Carlo Costly · 31"/>
    <s v="Enner Valencia · 34|Enner Valencia · 65"/>
    <s v="['31&amp;rsquor;|1:0|Carlo Costly']"/>
    <s v="['34&amp;rsquor;|1:1|Enner Valencia', '65&amp;rsquor;|1:2|Enner Valencia|Assist:|Walter Ayoví']"/>
    <s v=""/>
    <s v=""/>
    <s v=""/>
    <s v=""/>
    <s v=""/>
    <s v=""/>
    <s v=""/>
    <s v=""/>
    <s v=""/>
    <s v=""/>
    <s v=""/>
    <s v=""/>
    <s v=""/>
    <s v=""/>
    <s v="['7&amp;rsquor;|0:0|Víctor Bernárdez', '45+3&amp;rsquor;|1:1|Jerry Bengtson']"/>
    <s v="['57&amp;rsquor;|1:1|Antonio Valencia', '72&amp;rsquor;|1:2|Enner Valencia', '80&amp;rsquor;|1:2|Jefferson Montero']"/>
    <s v="['46&amp;rsquor;|1:1|Juan Carlos García|for Emilio Izaguirre', '71&amp;rsquor;|1:2|Mario Martínez|for Luis Garrido', '82&amp;rsquor;|1:2|Marvin Chávez|for Boniek García']"/>
    <s v="['82&amp;rsquor;|1:2|Édison Méndez|for Felipe Caicedo', '83&amp;rsquor;|1:2|Carlos Gruezo|for Oswaldo Minda', '90&amp;rsquor;|1:2|Gabriel Achilier|for Jefferson Montero']"/>
  </r>
  <r>
    <s v="Colombia"/>
    <s v="Côte d'Ivoire"/>
    <n v="2"/>
    <m/>
    <m/>
    <n v="1"/>
    <m/>
    <m/>
    <s v="José Pekerman"/>
    <s v=""/>
    <s v="Sabri Lamouchi"/>
    <s v=""/>
    <n v="68748"/>
    <s v="Estádio Nacional de Brasília, Brasília"/>
    <s v="Howard Webb (Referee) · Michael Mullarkey (AR1) · Darren Cann (AR2) · Víctor Carrillo (4th)"/>
    <x v="5"/>
    <x v="65"/>
    <s v="2–1"/>
    <s v="Howard Webb"/>
    <s v=""/>
    <x v="2"/>
    <x v="2"/>
    <s v="James Rodríguez · 64|Juan Quintero · 70"/>
    <s v="Gervinho · 73"/>
    <s v="['64&amp;rsquor;|1:0|James Rodríguez|Assist:|Juan Cuadrado', '70&amp;rsquor;|2:0|Juan Quintero|Assist:|Teófilo Gutiérrez']"/>
    <s v="['73&amp;rsquor;|2:1|Gervinho']"/>
    <s v=""/>
    <s v=""/>
    <s v=""/>
    <s v=""/>
    <s v=""/>
    <s v=""/>
    <s v=""/>
    <s v=""/>
    <s v=""/>
    <s v=""/>
    <s v=""/>
    <s v=""/>
    <s v=""/>
    <s v=""/>
    <s v=""/>
    <s v="['55&amp;rsquor;|0:0|Didier Zokora', '90&amp;rsquor;|2:1|Cheick Tioté']"/>
    <s v="['53&amp;rsquor;|0:0|Juan Quintero|for Víctor Ibarbo', '72&amp;rsquor;|2:0|Santiago Arias|for Pablo Armero', '79&amp;rsquor;|2:1|Alexander Mejía|for Abel Aguilar']"/>
    <s v="['60&amp;rsquor;|0:0|Didier Drogba|for Wilfried Bony', '67&amp;rsquor;|1:0|Salomon Kalou|for Max Gradel', '73&amp;rsquor;|2:0|Mathis Bolly|for Serey Die']"/>
  </r>
  <r>
    <s v="Uruguay"/>
    <s v="England"/>
    <n v="2"/>
    <m/>
    <m/>
    <n v="1"/>
    <m/>
    <m/>
    <s v="Óscar Tabárez"/>
    <s v=""/>
    <s v="Roy Hodgson"/>
    <s v=""/>
    <n v="62575"/>
    <s v="Arena Corinthians, São Paulo"/>
    <s v="Carlos Velasco (Referee) · Roberto Alonso (AR1) · Juan Carlos Yuste (AR2) · Alireza Faghani (4th)"/>
    <x v="5"/>
    <x v="65"/>
    <s v="2–1"/>
    <s v="Carlos Velasco"/>
    <s v=""/>
    <x v="2"/>
    <x v="2"/>
    <s v="Luis Suárez · 39|Luis Suárez · 85"/>
    <s v="Wayne Rooney · 75"/>
    <s v="['39&amp;rsquor;|1:0|Luis Suárez|Assist:|Edinson Cavani', '85&amp;rsquor;|2:1|Luis Suárez']"/>
    <s v="['75&amp;rsquor;|1:1|Wayne Rooney|Assist:|Glen Johnson']"/>
    <s v=""/>
    <s v=""/>
    <s v=""/>
    <s v=""/>
    <s v=""/>
    <s v=""/>
    <s v=""/>
    <s v=""/>
    <s v=""/>
    <s v=""/>
    <s v=""/>
    <s v=""/>
    <s v=""/>
    <s v=""/>
    <s v="['9&amp;rsquor;|0:0|Diego Godín']"/>
    <s v="['68&amp;rsquor;|1:0|Steven Gerrard']"/>
    <s v="['67&amp;rsquor;|1:0|Cristhian Stuani|for Nicolás Lodeiro', '78&amp;rsquor;|1:1|Jorge Fucile|for Álvaro González', '88&amp;rsquor;|2:1|Sebastián Coates|for Luis Suárez']"/>
    <s v="['64&amp;rsquor;|1:0|Ross Barkley|for Raheem Sterling', '71&amp;rsquor;|1:0|Adam Lallana|for Danny Welbeck', '89&amp;rsquor;|2:1|Rickie Lambert|for Jordan Henderson']"/>
  </r>
  <r>
    <s v="Japan"/>
    <s v="Greece"/>
    <n v="0"/>
    <m/>
    <m/>
    <n v="0"/>
    <m/>
    <m/>
    <s v="Alberto Zaccheroni"/>
    <s v=""/>
    <s v="Fernando Santos"/>
    <s v=""/>
    <n v="39485"/>
    <s v="Arena das Dunas, Natal"/>
    <s v="Joel Aguilar (Referee) · William Torres (AR1) · Juan Zumba (AR2) · Norbert Hauata (4th)"/>
    <x v="5"/>
    <x v="65"/>
    <s v="0–0"/>
    <s v="Joel Aguilar"/>
    <s v=""/>
    <x v="2"/>
    <x v="2"/>
    <s v=""/>
    <s v=""/>
    <s v=""/>
    <s v=""/>
    <s v=""/>
    <s v=""/>
    <s v=""/>
    <s v=""/>
    <s v=""/>
    <s v=""/>
    <s v=""/>
    <s v=""/>
    <s v=""/>
    <s v=""/>
    <s v=""/>
    <s v=""/>
    <s v=""/>
    <s v="Kostas Katsouranis · 38"/>
    <s v="['12&amp;rsquor;|0:0|Makoto Hasebe']"/>
    <s v="['27&amp;rsquor;|0:0|Kostas Katsouranis', '55&amp;rsquor;|0:0|Georgios Samaras', '89&amp;rsquor;|0:0|Vasilis Torosidis']"/>
    <s v="['46&amp;rsquor;|0:0|Yasuhito Endō|for Makoto Hasebe', '57&amp;rsquor;|0:0|Shinji Kagawa|for Yuya Osako']"/>
    <s v="['35&amp;rsquor;|0:0|Theofanis Gekas|for Kostas Mitroglou', '41&amp;rsquor;|0:0|Giorgos Karagounis|for Giannis Fetfatzidis', '81&amp;rsquor;|0:0|Dimitris Salpingidis|for Panagiotis Kone']"/>
  </r>
  <r>
    <s v="Australia"/>
    <s v="Netherlands"/>
    <n v="2"/>
    <m/>
    <m/>
    <n v="3"/>
    <m/>
    <m/>
    <s v="Ange Postecoglou"/>
    <s v=""/>
    <s v="Louis van Gaal"/>
    <s v=""/>
    <n v="42877"/>
    <s v="Estádio José Pinheiro Borba, Porto Alegre"/>
    <s v="Djamel Haïmoudi (Referee) · Redouane Achik (AR1) · Abdelhak Etchiali (AR2) · Bakary Papa Gassama (4th)"/>
    <x v="5"/>
    <x v="66"/>
    <s v="2–3"/>
    <s v="Djamel Haïmoudi"/>
    <s v=""/>
    <x v="2"/>
    <x v="2"/>
    <s v="Tim Cahill · 21"/>
    <s v="Arjen Robben · 20|Robin van Persie · 58|Memphis · 68"/>
    <s v="['21&amp;rsquor;|1:1|Tim Cahill|Assist:|Ryan McGowan']"/>
    <s v="['20&amp;rsquor;|0:1|Arjen Robben|Assist:|Daley Blind', '58&amp;rsquor;|2:2|Robin van Persie|Assist:|Memphis', '68&amp;rsquor;|2:3|Memphis|Assist:|Jonathan de Guzmán']"/>
    <s v=""/>
    <s v=""/>
    <s v="Mile Jedinak (P) · 54"/>
    <s v=""/>
    <s v=""/>
    <s v=""/>
    <s v=""/>
    <s v=""/>
    <s v=""/>
    <s v=""/>
    <s v=""/>
    <s v=""/>
    <s v=""/>
    <s v=""/>
    <s v="['43&amp;rsquor;|1:1|Tim Cahill']"/>
    <s v="['47&amp;rsquor;|1:1|Robin van Persie']"/>
    <s v="['51&amp;rsquor;|1:1|Oliver Bozanic|for Mark Bresciano', '69&amp;rsquor;|2:3|Ben Halloran|for Tim Cahill', '77&amp;rsquor;|2:3|Adam Taggart|for Tommy Oar']"/>
    <s v="['45+3&amp;rsquor;|1:1|Memphis|for Bruno Martins Indi', '78&amp;rsquor;|2:3|Georginio Wijnaldum|for Jonathan de Guzmán', '87&amp;rsquor;|2:3|Jeremain Lens|for Robin van Persie']"/>
  </r>
  <r>
    <s v="Spain"/>
    <s v="Chile"/>
    <n v="0"/>
    <m/>
    <m/>
    <n v="2"/>
    <m/>
    <m/>
    <s v="Del Bosque"/>
    <s v=""/>
    <s v="Jorge Sampaoli"/>
    <s v=""/>
    <n v="74101"/>
    <s v="Estadio Jornalista Mário Filho, Rio de Janeiro"/>
    <s v="Mark Geiger (Referee) · Sean Hurd (AR1) · Joe Fletcher (AR2) · Nawaf Shukralla (4th)"/>
    <x v="5"/>
    <x v="66"/>
    <s v="0–2"/>
    <s v="Mark Geiger"/>
    <s v=""/>
    <x v="2"/>
    <x v="2"/>
    <s v=""/>
    <s v="Eduardo Vargas · 20|Charles Aránguiz · 43"/>
    <s v=""/>
    <s v="['20&amp;rsquor;|0:1|Eduardo Vargas|Assist:|Charles Aránguiz', '43&amp;rsquor;|0:2|Charles Aránguiz']"/>
    <s v=""/>
    <s v=""/>
    <s v=""/>
    <s v=""/>
    <s v=""/>
    <s v=""/>
    <s v=""/>
    <s v=""/>
    <s v=""/>
    <s v=""/>
    <s v=""/>
    <s v=""/>
    <s v=""/>
    <s v=""/>
    <s v="['41&amp;rsquor;|0:1|Xabi Alonso']"/>
    <s v="['26&amp;rsquor;|0:1|Arturo Vidal', '61&amp;rsquor;|0:2|Eugenio Mena']"/>
    <s v="['46&amp;rsquor;|0:2|Koke|for Xabi Alonso', '64&amp;rsquor;|0:2|Fernando Torres|for Diego Costa', '76&amp;rsquor;|0:2|Santi Cazorla|for Pedro']"/>
    <s v="['64&amp;rsquor;|0:2|Felipe Gutiérrez|for Charles Aránguiz', '85&amp;rsquor;|0:2|Jorge Valdivia|for Eduardo Vargas', '88&amp;rsquor;|0:2|Carlos Carmona|for Arturo Vidal']"/>
  </r>
  <r>
    <s v="Cameroon"/>
    <s v="Croatia"/>
    <n v="0"/>
    <m/>
    <m/>
    <n v="4"/>
    <m/>
    <m/>
    <s v="Volker Finke"/>
    <s v=""/>
    <s v="Niko Kovač"/>
    <s v=""/>
    <n v="39982"/>
    <s v="Arena da Amazônia, Manaus"/>
    <s v="Pedro Proença (Referee) · Bertino Miranda (AR1) · José Trigo (AR2) · Walter López (4th)"/>
    <x v="5"/>
    <x v="66"/>
    <s v="0–4"/>
    <s v="Pedro Proença"/>
    <s v=""/>
    <x v="2"/>
    <x v="2"/>
    <s v=""/>
    <s v="Ivica Olić · 11|Ivan Perišić · 48|Mario Mandžukić · 61|Mario Mandžukić · 73"/>
    <s v=""/>
    <s v="['11&amp;rsquor;|0:1|Ivica Olić|Assist:|Ivan Perišić', '48&amp;rsquor;|0:2|Ivan Perišić', '61&amp;rsquor;|0:3|Mario Mandžukić|Assist:|Danijel Pranjić', '73&amp;rsquor;|0:4|Mario Mandžukić']"/>
    <s v=""/>
    <s v=""/>
    <s v=""/>
    <s v=""/>
    <s v=""/>
    <s v=""/>
    <s v=""/>
    <s v=""/>
    <s v=""/>
    <s v=""/>
    <s v="Alex Song · 40"/>
    <s v=""/>
    <s v=""/>
    <s v=""/>
    <s v=""/>
    <s v="['80&amp;rsquor;|0:4|Eduardo da Silva']"/>
    <s v="['46&amp;rsquor;|0:1|Dany Nounkeu|for Aurélien Chedjou', '70&amp;rsquor;|0:3|Pierre Webó|for Vincent Aboubakar', '75&amp;rsquor;|0:4|Edgar Salli|for Eric Maxim Choupo-Moting']"/>
    <s v="['69&amp;rsquor;|0:3|Eduardo da Silva|for Ivica Olić', '72&amp;rsquor;|0:3|Mateo Kovačić|for Sammir', '78&amp;rsquor;|0:4|Ante Rebić|for Ivan Perišić']"/>
  </r>
  <r>
    <s v="Belgium"/>
    <s v="Algeria"/>
    <n v="2"/>
    <m/>
    <m/>
    <n v="1"/>
    <m/>
    <m/>
    <s v="Marc Wilmots"/>
    <s v=""/>
    <s v="Vahid Halilhodžić"/>
    <s v=""/>
    <n v="56800"/>
    <s v="Estádio Governador Magalhães Pinto, Belo Horizonte"/>
    <s v="Marcos Rodriguez (Referee) · Marvin Torrentera (AR1) · Marcos Quintero (AR2) · Alireza Faghani (4th)"/>
    <x v="5"/>
    <x v="67"/>
    <s v="2–1"/>
    <s v="Marcos Rodriguez"/>
    <s v=""/>
    <x v="2"/>
    <x v="2"/>
    <s v="Marouane Fellaini · 70|Dries Mertens · 80"/>
    <s v=""/>
    <s v="['70&amp;rsquor;|1:1|Marouane Fellaini|Assist:|Kevin De Bruyne', '80&amp;rsquor;|2:1|Dries Mertens|Assist:|Eden Hazard']"/>
    <s v=""/>
    <s v=""/>
    <s v=""/>
    <s v=""/>
    <s v="Sofiane Feghouli (P) · 25"/>
    <s v=""/>
    <s v=""/>
    <s v=""/>
    <s v=""/>
    <s v=""/>
    <s v=""/>
    <s v=""/>
    <s v=""/>
    <s v=""/>
    <s v=""/>
    <s v="['24&amp;rsquor;|0:0|Jan Vertonghen']"/>
    <s v="['34&amp;rsquor;|0:1|Nabil Bentaleb']"/>
    <s v="['46&amp;rsquor;|0:1|Dries Mertens|for Nacer Chadli', '58&amp;rsquor;|0:1|Divock Origi|for Romelu Lukaku', '65&amp;rsquor;|0:1|Marouane Fellaini|for Mousa Dembélé']"/>
    <s v="['66&amp;rsquor;|0:1|Islam Slimani|for Hillel Soudani', '71&amp;rsquor;|1:1|Mehdi Lacen|for Riyad Mahrez', '84&amp;rsquor;|2:1|Nabil Ghilas|for Carl Medjani']"/>
  </r>
  <r>
    <s v="Brazil"/>
    <s v="Mexico"/>
    <n v="0"/>
    <m/>
    <m/>
    <n v="0"/>
    <m/>
    <m/>
    <s v="Luiz Felipe Scolari"/>
    <s v=""/>
    <s v="Miguel Herrera"/>
    <s v=""/>
    <n v="60342"/>
    <s v="Estádio Castelão, Fortaleza"/>
    <s v="Cüneyt Çakιr (Referee) · Bahattin Duran (AR1) · Tarık Ongun (AR2) · Svein Oddvar Moen (4th)"/>
    <x v="5"/>
    <x v="67"/>
    <s v="0–0"/>
    <s v="Cüneyt Çakιr"/>
    <s v=""/>
    <x v="2"/>
    <x v="2"/>
    <s v=""/>
    <s v=""/>
    <s v=""/>
    <s v=""/>
    <s v=""/>
    <s v=""/>
    <s v=""/>
    <s v=""/>
    <s v=""/>
    <s v=""/>
    <s v=""/>
    <s v=""/>
    <s v=""/>
    <s v=""/>
    <s v=""/>
    <s v=""/>
    <s v=""/>
    <s v=""/>
    <s v="['45&amp;rsquor;|0:0|Ramires', '79&amp;rsquor;|0:0|Thiago Silva']"/>
    <s v="['59&amp;rsquor;|0:0|Paul Aguilar', '62&amp;rsquor;|0:0|José Juan Vázquez']"/>
    <s v="['46&amp;rsquor;|0:0|Bernard|for Ramires', '68&amp;rsquor;|0:0|Jô|for Fred', '84&amp;rsquor;|0:0|Willian|for Oscar']"/>
    <s v="['74&amp;rsquor;|0:0|Javier Hernández|for Oribe Peralta', '76&amp;rsquor;|0:0|Marco Fabián|for Héctor Herrera', '84&amp;rsquor;|0:0|Raúl Jiménez|for Giovani dos Santos']"/>
  </r>
  <r>
    <s v="Russia"/>
    <s v="Korea Republic"/>
    <n v="1"/>
    <m/>
    <m/>
    <n v="1"/>
    <m/>
    <m/>
    <s v="Fabio Capello"/>
    <s v=""/>
    <s v="Hong Myung-bo"/>
    <s v=""/>
    <n v="37603"/>
    <s v="Arena Pantanal, Cuiabá"/>
    <s v="Néstor Pitana (Referee) · Hernán Maidana (AR1) · Juan Pablo Belatti (AR2) · Roberto Moreno (4th)"/>
    <x v="5"/>
    <x v="67"/>
    <s v="1–1"/>
    <s v="Néstor Pitana"/>
    <s v=""/>
    <x v="2"/>
    <x v="2"/>
    <s v="Aleksandr Kerzhakov · 74"/>
    <s v="Lee Keun-ho · 68"/>
    <s v="['74&amp;rsquor;|1:1|Aleksandr Kerzhakov|Assist:|Andrey Yeshchenko']"/>
    <s v="['68&amp;rsquor;|0:1|Lee Keun-ho|Assist:|Han Kook-young']"/>
    <s v=""/>
    <s v=""/>
    <s v=""/>
    <s v=""/>
    <s v=""/>
    <s v=""/>
    <s v=""/>
    <s v=""/>
    <s v=""/>
    <s v=""/>
    <s v=""/>
    <s v=""/>
    <s v=""/>
    <s v=""/>
    <s v="['49&amp;rsquor;|0:0|Oleg Shatov']"/>
    <s v="['13&amp;rsquor;|0:0|Son Heung-min', '30&amp;rsquor;|0:0|Ki Sung-yueng', '90&amp;rsquor;|1:1|Koo Ja-cheol']"/>
    <s v="['59&amp;rsquor;|0:0|Alan Dzagoev|for Oleg Shatov', '71&amp;rsquor;|0:1|Aleksandr Kerzhakov|for Yuri Zhirkov', '72&amp;rsquor;|0:1|Igor Denisov|for Denis Glushakov']"/>
    <s v="['56&amp;rsquor;|0:0|Lee Keun-ho|for Park Chu-young', '72&amp;rsquor;|0:1|Hwang Seok-ho|for Hong Jeong-ho', '84&amp;rsquor;|1:1|Kim Bo-kyung|for Son Heung-min']"/>
  </r>
  <r>
    <s v="Germany"/>
    <s v="Portugal"/>
    <n v="4"/>
    <m/>
    <m/>
    <n v="0"/>
    <m/>
    <m/>
    <s v="Joachim Löw"/>
    <s v=""/>
    <s v="Paulo Bento"/>
    <s v=""/>
    <n v="51081"/>
    <s v="Itaipava Arena Fonte Nova, Salvador"/>
    <s v="Milorad Mažić (Referee) · Milovan Ristić (AR1) · Dalibor Đurđević (AR2) · Alioum Alioum (4th)"/>
    <x v="5"/>
    <x v="68"/>
    <s v="4–0"/>
    <s v="Milorad Mažić"/>
    <s v=""/>
    <x v="2"/>
    <x v="2"/>
    <s v="Mats Hummels · 32|Thomas Müller · 45+1|Thomas Müller · 78"/>
    <s v=""/>
    <s v="['32&amp;rsquor;|2:0|Mats Hummels|Assist:|Toni Kroos', '45+1&amp;rsquor;|3:0|Thomas Müller', '78&amp;rsquor;|4:0|Thomas Müller']"/>
    <s v=""/>
    <s v=""/>
    <s v=""/>
    <s v="Thomas Müller (P) · 12"/>
    <s v=""/>
    <s v=""/>
    <s v=""/>
    <s v=""/>
    <s v=""/>
    <s v=""/>
    <s v=""/>
    <s v=""/>
    <s v="Pepe · 37"/>
    <s v=""/>
    <s v=""/>
    <s v=""/>
    <s v="['11&amp;rsquor;|0:0|João Pereira']"/>
    <s v="['63&amp;rsquor;|3:0|André Schürrle|for Mesut Özil', '73&amp;rsquor;|3:0|Shkodran Mustafi|for Mats Hummels', '82&amp;rsquor;|4:0|Lukas Podolski|for Thomas Müller']"/>
    <s v="['28&amp;rsquor;|1:0|Éder|for Hugo Almeida', '46&amp;rsquor;|3:0|Ricardo Costa|for Miguel Veloso', '65&amp;rsquor;|3:0|André Almeida|for Fábio Coentrão']"/>
  </r>
  <r>
    <s v="IR Iran"/>
    <s v="Nigeria"/>
    <n v="0"/>
    <m/>
    <m/>
    <n v="0"/>
    <m/>
    <m/>
    <s v="Carlos Queiroz"/>
    <s v=""/>
    <s v="Stephen Keshi"/>
    <s v=""/>
    <n v="39081"/>
    <s v="Estádio Joaquim Américo Guimarães, Curitiba"/>
    <s v="Carlos Vera (Referee) · Christian Lescano (AR1) · Byron Romero (AR2) · Wilmar Roldán (4th)"/>
    <x v="5"/>
    <x v="68"/>
    <s v="0–0"/>
    <s v="Carlos Vera"/>
    <s v=""/>
    <x v="2"/>
    <x v="2"/>
    <s v=""/>
    <s v=""/>
    <s v=""/>
    <s v=""/>
    <s v=""/>
    <s v=""/>
    <s v=""/>
    <s v=""/>
    <s v=""/>
    <s v=""/>
    <s v=""/>
    <s v=""/>
    <s v=""/>
    <s v=""/>
    <s v=""/>
    <s v=""/>
    <s v=""/>
    <s v=""/>
    <s v="['75&amp;rsquor;|0:0|Andranik Teymourian']"/>
    <s v=""/>
    <s v="['78&amp;rsquor;|0:0|Alireza Jahanbakhsh|for Ashkan Dejagah', '89&amp;rsquor;|0:0|Masoud Shojaei|for Khosro Heydari']"/>
    <s v="['29&amp;rsquor;|0:0|Joseph Yobo|for Godfrey Oboabona', '52&amp;rsquor;|0:0|Shola Ameobi|for Victor Moses', '69&amp;rsquor;|0:0|Peter Odemwingie|for Ramon Azeez']"/>
  </r>
  <r>
    <s v="Ghana"/>
    <s v="United States"/>
    <n v="1"/>
    <m/>
    <m/>
    <n v="2"/>
    <m/>
    <m/>
    <s v="Kwesi Appiah"/>
    <s v=""/>
    <s v="Jürgen Klinsmann"/>
    <s v=""/>
    <n v="39760"/>
    <s v="Arena das Dunas, Natal"/>
    <s v="Jonas Eriksson (Referee) · Mathias Klasenius (AR1) · Daniel Wärnmark (AR2) · Norbert Hauata (4th)"/>
    <x v="5"/>
    <x v="68"/>
    <s v="1–2"/>
    <s v="Jonas Eriksson"/>
    <s v=""/>
    <x v="2"/>
    <x v="2"/>
    <s v="André Ayew · 82"/>
    <s v="Clint Dempsey · 1|John Brooks · 86"/>
    <s v="['82&amp;rsquor;|1:1|André Ayew|Assist:|Asamoah Gyan']"/>
    <s v="['1&amp;rsquor;|0:1|Clint Dempsey|Assist:|Jermaine Jones', '86&amp;rsquor;|1:2|John Brooks|Assist:|Graham Zusi']"/>
    <s v=""/>
    <s v=""/>
    <s v=""/>
    <s v=""/>
    <s v=""/>
    <s v=""/>
    <s v=""/>
    <s v=""/>
    <s v=""/>
    <s v=""/>
    <s v=""/>
    <s v=""/>
    <s v=""/>
    <s v=""/>
    <s v="['30&amp;rsquor;|0:1|Mohammed Rabiu', '90+2&amp;rsquor;|1:2|Sulley Muntari']"/>
    <s v=""/>
    <s v="['59&amp;rsquor;|0:1|Kevin-Prince Boateng|for Jordan Ayew', '71&amp;rsquor;|0:1|Michael Essien|for Mohammed Rabiu', '78&amp;rsquor;|0:1|Albert Adomah|for Christian Atsu']"/>
    <s v="['23&amp;rsquor;|0:1|Aron Jóhannsson|for Jozy Altidore', '46&amp;rsquor;|0:1|John Brooks|for Matt Besler', '77&amp;rsquor;|0:1|Graham Zusi|for Alejandro Bedoya']"/>
  </r>
  <r>
    <s v="Switzerland"/>
    <s v="Ecuador"/>
    <n v="2"/>
    <m/>
    <m/>
    <n v="1"/>
    <m/>
    <m/>
    <s v="Ottmar Hitzfeld"/>
    <s v=""/>
    <s v="Reinaldo Rueda"/>
    <s v=""/>
    <n v="68351"/>
    <s v="Estádio Nacional de Brasília, Brasília"/>
    <s v="Ravshan Irmatov (Referee) · Abdukhamidullo Rasulov (AR1) · Bahadır Koçkarov (AR2) · Svein Oddvar Moen (4th)"/>
    <x v="5"/>
    <x v="69"/>
    <s v="2–1"/>
    <s v="Ravshan Irmatov"/>
    <s v=""/>
    <x v="2"/>
    <x v="2"/>
    <s v="Admir Mehmedi · 48|Haris Seferović · 90+3"/>
    <s v="Enner Valencia · 22"/>
    <s v="['48&amp;rsquor;|1:1|Admir Mehmedi|Assist:|Ricardo Rodríguez', '90+3&amp;rsquor;|2:1|Haris Seferović|Assist:|Ricardo Rodríguez']"/>
    <s v="['22&amp;rsquor;|0:1|Enner Valencia|Assist:|Walter Ayoví']"/>
    <s v=""/>
    <s v=""/>
    <s v=""/>
    <s v=""/>
    <s v=""/>
    <s v=""/>
    <s v=""/>
    <s v=""/>
    <s v=""/>
    <s v=""/>
    <s v=""/>
    <s v=""/>
    <s v=""/>
    <s v=""/>
    <s v="['84&amp;rsquor;|1:1|Johan Djourou']"/>
    <s v="['53&amp;rsquor;|1:1|Juan Carlos Paredes']"/>
    <s v="['46&amp;rsquor;|0:1|Admir Mehmedi|for Valentin Stocker', '75&amp;rsquor;|1:1|Haris Seferović|for Josip Drmić']"/>
    <s v="['70&amp;rsquor;|1:1|Michael Arroyo|for Felipe Caicedo', '76&amp;rsquor;|1:1|Joao Rojas|for Jefferson Montero']"/>
  </r>
  <r>
    <s v="France"/>
    <s v="Honduras"/>
    <n v="3"/>
    <m/>
    <m/>
    <n v="0"/>
    <m/>
    <m/>
    <s v="Didier Deschamps"/>
    <s v=""/>
    <s v="Luis Suárez"/>
    <s v=""/>
    <n v="43012"/>
    <s v="Estádio José Pinheiro Borba, Porto Alegre"/>
    <s v="Sandro Ricci (Referee) · Emerson de Carvalho (AR1) · Marcelo Van Gasse (AR2) · Peter O'Leary (4th)"/>
    <x v="5"/>
    <x v="69"/>
    <s v="3–0"/>
    <s v="Sandro Ricci"/>
    <s v=""/>
    <x v="2"/>
    <x v="2"/>
    <s v="Karim Benzema · 72"/>
    <s v=""/>
    <s v="['72&amp;rsquor;|3:0|Karim Benzema|Assist:|Patrice Evra']"/>
    <s v=""/>
    <s v="Noel Valladares (OG) · 48"/>
    <s v=""/>
    <s v="Karim Benzema (P) · 45"/>
    <s v=""/>
    <s v=""/>
    <s v=""/>
    <s v=""/>
    <s v=""/>
    <s v=""/>
    <s v=""/>
    <s v=""/>
    <s v=""/>
    <s v=""/>
    <s v="Wilson Palacios · 43"/>
    <s v="['7&amp;rsquor;|0:0|Patrice Evra', '28&amp;rsquor;|0:0|Paul Pogba', '45+2&amp;rsquor;|1:0|Yohan Cabaye']"/>
    <s v="['28&amp;rsquor;|0:0|Wilson Palacios', '53&amp;rsquor;|2:0|Boniek García', '83&amp;rsquor;|3:0|Luis Garrido']"/>
    <s v="['57&amp;rsquor;|2:0|Moussa Sissoko|for Paul Pogba', '65&amp;rsquor;|2:0|Rio Mavuba|for Yohan Cabaye', '78&amp;rsquor;|3:0|Olivier Giroud|for Mathieu Valbuena']"/>
    <s v="['46&amp;rsquor;|1:0|Osman Chávez|for Víctor Bernárdez', '46&amp;rsquor;|1:0|Boniek García|for Jerry Bengtson', '58&amp;rsquor;|2:0|Jorge Claros|for Andy Najar']"/>
  </r>
  <r>
    <s v="Argentina"/>
    <s v="Bosnia and Herzegovina"/>
    <n v="2"/>
    <m/>
    <m/>
    <n v="1"/>
    <m/>
    <m/>
    <s v="Alejandro Sabella"/>
    <s v=""/>
    <s v="Safet Sušić"/>
    <s v=""/>
    <n v="74738"/>
    <s v="Estadio Jornalista Mário Filho, Rio de Janeiro"/>
    <s v="Joel Aguilar (Referee) · William Torres (AR1) · Juan Zumba (AR2) · Djamel Haïmoudi (4th)"/>
    <x v="5"/>
    <x v="69"/>
    <s v="2–1"/>
    <s v="Joel Aguilar"/>
    <s v=""/>
    <x v="2"/>
    <x v="2"/>
    <s v="Lionel Messi · 65"/>
    <s v="Vedad Ibišević · 85"/>
    <s v="['65&amp;rsquor;|2:0|Lionel Messi|Assist:|Gonzalo Higuaín']"/>
    <s v="['85&amp;rsquor;|2:1|Vedad Ibišević|Assist:|Senad Lulić']"/>
    <s v="Sead Kolašinac (OG) · 3"/>
    <s v=""/>
    <s v=""/>
    <s v=""/>
    <s v=""/>
    <s v=""/>
    <s v=""/>
    <s v=""/>
    <s v=""/>
    <s v=""/>
    <s v=""/>
    <s v=""/>
    <s v=""/>
    <s v=""/>
    <s v="['25&amp;rsquor;|1:0|Marcos Rojo']"/>
    <s v="['63&amp;rsquor;|1:0|Emir Spahić']"/>
    <s v="['46&amp;rsquor;|1:0|Gonzalo Higuaín|for Maxi Rodríguez', '46&amp;rsquor;|1:0|Fernando Gago|for Hugo Campagnaro', '87&amp;rsquor;|2:1|Lucas Biglia|for Sergio Agüero']"/>
    <s v="['69&amp;rsquor;|2:0|Vedad Ibišević|for Mensur Mujdža', '71&amp;rsquor;|2:0|Edin Višća|for Izet Hajrović', '74&amp;rsquor;|2:0|Haris Medunjanin|for Zvjezdan Misimović']"/>
  </r>
  <r>
    <s v="Colombia"/>
    <s v="Greece"/>
    <n v="3"/>
    <m/>
    <m/>
    <n v="0"/>
    <m/>
    <m/>
    <s v="José Pekerman"/>
    <s v=""/>
    <s v="Fernando Santos"/>
    <s v=""/>
    <n v="57174"/>
    <s v="Estádio Governador Magalhães Pinto, Belo Horizonte"/>
    <s v="Mark Geiger (Referee) · Sean Hurd (AR1) · Joe Fletcher (AR2) · Alireza Faghani (4th)"/>
    <x v="5"/>
    <x v="70"/>
    <s v="3–0"/>
    <s v="Mark Geiger"/>
    <s v=""/>
    <x v="2"/>
    <x v="2"/>
    <s v="Pablo Armero · 6|Teófilo Gutiérrez · 58|James Rodríguez · 90+3"/>
    <s v=""/>
    <s v="['6&amp;rsquor;|1:0|Pablo Armero|Assist:|Juan Cuadrado', '58&amp;rsquor;|2:0|Teófilo Gutiérrez|Assist:|Abel Aguilar', '90+3&amp;rsquor;|3:0|James Rodríguez|Assist:|Juan Cuadrado']"/>
    <s v=""/>
    <s v=""/>
    <s v=""/>
    <s v=""/>
    <s v=""/>
    <s v=""/>
    <s v=""/>
    <s v=""/>
    <s v=""/>
    <s v=""/>
    <s v=""/>
    <s v=""/>
    <s v=""/>
    <s v=""/>
    <s v=""/>
    <s v="['26&amp;rsquor;|1:0|Carlos Sánchez']"/>
    <s v="['52&amp;rsquor;|1:0|Sokratis Papastathopoulos', '55&amp;rsquor;|1:0|Dimitris Salpingidis']"/>
    <s v="['69&amp;rsquor;|2:0|Alexander Mejía|for Abel Aguilar', '74&amp;rsquor;|2:0|Santiago Arias|for Pablo Armero', '76&amp;rsquor;|2:0|Jackson Martínez|for Teófilo Gutiérrez']"/>
    <s v="['57&amp;rsquor;|1:0|Giannis Fetfatzidis|for Dimitris Salpingidis', '64&amp;rsquor;|2:0|Kostas Mitroglou|for Theofanis Gekas', '78&amp;rsquor;|2:0|Giorgos Karagounis|for Panagiotis Kone']"/>
  </r>
  <r>
    <s v="Uruguay"/>
    <s v="Costa Rica"/>
    <n v="1"/>
    <m/>
    <m/>
    <n v="3"/>
    <m/>
    <m/>
    <s v="Óscar Tabárez"/>
    <s v=""/>
    <s v="Jorge Luis Pinto"/>
    <s v=""/>
    <n v="58679"/>
    <s v="Estádio Castelão, Fortaleza"/>
    <s v="Felix Brych (Referee) · Mark Borsch (AR1) · Stefan Lupp (AR2) · Víctor Carrillo (4th)"/>
    <x v="5"/>
    <x v="70"/>
    <s v="1–3"/>
    <s v="Felix Brych"/>
    <s v=""/>
    <x v="2"/>
    <x v="2"/>
    <s v=""/>
    <s v="Joel Campbell · 54|Óscar Duarte · 57|Marco Ureña · 84"/>
    <s v=""/>
    <s v="['54&amp;rsquor;|1:1|Joel Campbell', '57&amp;rsquor;|1:2|Óscar Duarte|Assist:|Christian Bolaños', '84&amp;rsquor;|1:3|Marco Ureña|Assist:|Joel Campbell']"/>
    <s v=""/>
    <s v=""/>
    <s v="Edinson Cavani (P) · 24"/>
    <s v=""/>
    <s v=""/>
    <s v=""/>
    <s v=""/>
    <s v=""/>
    <s v=""/>
    <s v=""/>
    <s v="Maxi Pereira · 90+4"/>
    <s v=""/>
    <s v=""/>
    <s v=""/>
    <s v="['50&amp;rsquor;|1:0|Diego Lugano', '56&amp;rsquor;|1:1|Walter Gargano', '81&amp;rsquor;|1:2|Martín Cáceres']"/>
    <s v=""/>
    <s v="['60&amp;rsquor;|1:2|Nicolás Lodeiro|for Diego Forlán', '60&amp;rsquor;|1:2|Álvaro González|for Walter Gargano', '76&amp;rsquor;|1:2|Abel Hernández|for Cristian Rodríguez']"/>
    <s v="['74&amp;rsquor;|1:2|José Miguel Cubero|for Yeltsin Tejeda', '83&amp;rsquor;|1:2|Marco Ureña|for Bryan Ruiz', '89&amp;rsquor;|1:3|Michael Barrantes|for Christian Bolaños']"/>
  </r>
  <r>
    <s v="England"/>
    <s v="Italy"/>
    <n v="1"/>
    <m/>
    <m/>
    <n v="2"/>
    <m/>
    <m/>
    <s v="Roy Hodgson"/>
    <s v=""/>
    <s v="Cesare Prandelli"/>
    <s v=""/>
    <n v="39800"/>
    <s v="Arena da Amazônia, Manaus"/>
    <s v="Björn Kuipers (Referee) · Sander van Roekel (AR1) · Erwin Zeinstra (AR2) · Walter López (4th)"/>
    <x v="5"/>
    <x v="70"/>
    <s v="1–2"/>
    <s v="Björn Kuipers"/>
    <s v=""/>
    <x v="2"/>
    <x v="2"/>
    <s v="Daniel Sturridge · 37"/>
    <s v="Claudio Marchisio · 35|Mario Balotelli · 50"/>
    <s v="['37&amp;rsquor;|1:1|Daniel Sturridge|Assist:|Wayne Rooney']"/>
    <s v="['35&amp;rsquor;|0:1|Claudio Marchisio|Assist:|Marco Verratti', '50&amp;rsquor;|1:2|Mario Balotelli|Assist:|Antonio Candreva']"/>
    <s v=""/>
    <s v=""/>
    <s v=""/>
    <s v=""/>
    <s v=""/>
    <s v=""/>
    <s v=""/>
    <s v=""/>
    <s v=""/>
    <s v=""/>
    <s v=""/>
    <s v=""/>
    <s v=""/>
    <s v=""/>
    <s v="['90+2&amp;rsquor;|1:2|Raheem Sterling']"/>
    <s v=""/>
    <s v="['61&amp;rsquor;|1:2|Ross Barkley|for Danny Welbeck', '73&amp;rsquor;|1:2|Jack Wilshere|for Jordan Henderson', '80&amp;rsquor;|1:2|Adam Lallana|for Daniel Sturridge']"/>
    <s v="['57&amp;rsquor;|1:2|Thiago Motta|for Marco Verratti', '73&amp;rsquor;|1:2|Ciro Immobile|for Mario Balotelli', '79&amp;rsquor;|1:2|Marco Parolo|for Antonio Candreva']"/>
  </r>
  <r>
    <s v="Côte d'Ivoire"/>
    <s v="Japan"/>
    <n v="2"/>
    <m/>
    <m/>
    <n v="1"/>
    <m/>
    <m/>
    <s v="Sabri Lamouchi"/>
    <s v=""/>
    <s v="Alberto Zaccheroni"/>
    <s v=""/>
    <n v="40267"/>
    <s v="Itaipava Arena Pernambuco, Recife"/>
    <s v="Enrique Osses (Referee) · Carlos Astroza (AR1) · Sergio Román (AR2) · Alioum Alioum (4th)"/>
    <x v="5"/>
    <x v="70"/>
    <s v="2–1"/>
    <s v="Enrique Osses"/>
    <s v=""/>
    <x v="2"/>
    <x v="2"/>
    <s v="Wilfried Bony · 64|Gervinho · 66"/>
    <s v="Keisuke Honda · 16"/>
    <s v="['64&amp;rsquor;|1:1|Wilfried Bony|Assist:|Serge Aurier', '66&amp;rsquor;|2:1|Gervinho|Assist:|Serge Aurier']"/>
    <s v="['16&amp;rsquor;|0:1|Keisuke Honda|Assist:|Yuto Nagatomo']"/>
    <s v=""/>
    <s v=""/>
    <s v=""/>
    <s v=""/>
    <s v=""/>
    <s v=""/>
    <s v=""/>
    <s v=""/>
    <s v=""/>
    <s v=""/>
    <s v=""/>
    <s v=""/>
    <s v=""/>
    <s v=""/>
    <s v="['54&amp;rsquor;|0:1|Sol Bamba', '58&amp;rsquor;|0:1|Didier Zokora']"/>
    <s v="['23&amp;rsquor;|0:1|Maya Yoshida', '64&amp;rsquor;|1:1|Masato Morishige']"/>
    <s v="['62&amp;rsquor;|0:1|Didier Drogba|for Serey Die', '75&amp;rsquor;|2:1|Constant Djakpa|for Arthur Boka', '78&amp;rsquor;|2:1|Didier Ya Konan|for Wilfried Bony']"/>
    <s v="['54&amp;rsquor;|0:1|Yasuhito Endō|for Makoto Hasebe', '67&amp;rsquor;|2:1|Yoshito Ōkubo|for Yuya Osako', '86&amp;rsquor;|2:1|Yoichiro Kakitani|for Shinji Kagawa']"/>
  </r>
  <r>
    <s v="Mexico"/>
    <s v="Cameroon"/>
    <n v="1"/>
    <m/>
    <m/>
    <n v="0"/>
    <m/>
    <m/>
    <s v="Miguel Herrera"/>
    <s v=""/>
    <s v="Volker Finke"/>
    <s v=""/>
    <n v="39216"/>
    <s v="Arena das Dunas, Natal"/>
    <s v="Wilmar Roldán (Referee) · Humberto Clavijo (AR1) · Eduardo Díaz (AR2) · Norbert Hauata (4th)"/>
    <x v="5"/>
    <x v="71"/>
    <s v="1–0"/>
    <s v="Wilmar Roldán"/>
    <s v=""/>
    <x v="2"/>
    <x v="2"/>
    <s v="Oribe Peralta · 61"/>
    <s v=""/>
    <s v="['61&amp;rsquor;|1:0|Oribe Peralta']"/>
    <s v=""/>
    <s v=""/>
    <s v=""/>
    <s v=""/>
    <s v=""/>
    <s v=""/>
    <s v=""/>
    <s v=""/>
    <s v=""/>
    <s v=""/>
    <s v=""/>
    <s v=""/>
    <s v=""/>
    <s v=""/>
    <s v=""/>
    <s v="['57&amp;rsquor;|0:0|Héctor Moreno']"/>
    <s v="['77&amp;rsquor;|1:0|Dany Nounkeu']"/>
    <s v="['69&amp;rsquor;|1:0|Marco Fabián|for Andrés Guardado', '74&amp;rsquor;|1:0|Javier Hernández|for Oribe Peralta', '90+2&amp;rsquor;|1:0|Carlos Salcido|for Héctor Herrera']"/>
    <s v="['46&amp;rsquor;|0:0|Dany Nounkeu|for Cédric Djeugoué', '79&amp;rsquor;|1:0|Pierre Webó|for Alex Song']"/>
  </r>
  <r>
    <s v="Spain"/>
    <s v="Netherlands"/>
    <n v="1"/>
    <m/>
    <m/>
    <n v="5"/>
    <m/>
    <m/>
    <s v="Del Bosque"/>
    <s v=""/>
    <s v="Louis van Gaal"/>
    <s v=""/>
    <n v="48173"/>
    <s v="Itaipava Arena Fonte Nova, Salvador"/>
    <s v="Nicola Rizzoli (Referee) · Renato Faverani (AR1) · Andrea Stefani (AR2) · Svein Oddvar Moen (4th)"/>
    <x v="5"/>
    <x v="71"/>
    <s v="1–5"/>
    <s v="Nicola Rizzoli"/>
    <s v=""/>
    <x v="2"/>
    <x v="2"/>
    <s v=""/>
    <s v="Robin van Persie · 44|Arjen Robben · 53|Stefan de Vrij · 65|Robin van Persie · 72|Arjen Robben · 80"/>
    <s v=""/>
    <s v="['44&amp;rsquor;|1:1|Robin van Persie|Assist:|Daley Blind', '53&amp;rsquor;|1:2|Arjen Robben|Assist:|Daley Blind', '65&amp;rsquor;|1:3|Stefan de Vrij|Assist:|Wesley Sneijder', '72&amp;rsquor;|1:4|Robin van Persie', '80&amp;rsquor;|1:5|Arjen Robben']"/>
    <s v=""/>
    <s v=""/>
    <s v="Xabi Alonso (P) · 27"/>
    <s v=""/>
    <s v=""/>
    <s v=""/>
    <s v=""/>
    <s v=""/>
    <s v=""/>
    <s v=""/>
    <s v=""/>
    <s v=""/>
    <s v=""/>
    <s v=""/>
    <s v="['65&amp;rsquor;|1:2|Iker Casillas']"/>
    <s v="['25&amp;rsquor;|0:0|Jonathan de Guzmán', '41&amp;rsquor;|1:0|Stefan de Vrij', '66&amp;rsquor;|1:3|Robin van Persie']"/>
    <s v="['63&amp;rsquor;|1:2|Fernando Torres|for Diego Costa', '63&amp;rsquor;|1:2|Pedro|for Xabi Alonso', '78&amp;rsquor;|1:4|Cesc Fàbregas|for David Silva']"/>
    <s v="['62&amp;rsquor;|1:2|Georginio Wijnaldum|for Jonathan de Guzmán', '77&amp;rsquor;|1:4|Joël Veltman|for Stefan de Vrij', '79&amp;rsquor;|1:4|Jeremain Lens|for Robin van Persie']"/>
  </r>
  <r>
    <s v="Chile"/>
    <s v="Australia"/>
    <n v="3"/>
    <m/>
    <m/>
    <n v="1"/>
    <m/>
    <m/>
    <s v="Jorge Sampaoli"/>
    <s v=""/>
    <s v="Ange Postecoglou"/>
    <s v=""/>
    <n v="40275"/>
    <s v="Arena Pantanal, Cuiabá"/>
    <s v="Noumandiez Doué (Referee) · Songuifolo Yéo (AR1) · Jean-Claude Birumushahu (AR2) · Roberto Moreno (4th)"/>
    <x v="5"/>
    <x v="71"/>
    <s v="3–1"/>
    <s v="Noumandiez Doué"/>
    <s v=""/>
    <x v="2"/>
    <x v="2"/>
    <s v="Alexis Sánchez · 12|Jorge Valdivia · 14|Jean Beausejour · 90+2"/>
    <s v="Tim Cahill · 35"/>
    <s v="['12&amp;rsquor;|1:0|Alexis Sánchez', '14&amp;rsquor;|2:0|Jorge Valdivia|Assist:|Alexis Sánchez', '90+2&amp;rsquor;|3:1|Jean Beausejour']"/>
    <s v="['35&amp;rsquor;|2:1|Tim Cahill|Assist:|Ivan Franjic']"/>
    <s v=""/>
    <s v=""/>
    <s v=""/>
    <s v=""/>
    <s v=""/>
    <s v=""/>
    <s v=""/>
    <s v=""/>
    <s v=""/>
    <s v=""/>
    <s v=""/>
    <s v=""/>
    <s v=""/>
    <s v=""/>
    <s v="['86&amp;rsquor;|2:1|Charles Aránguiz']"/>
    <s v="['44&amp;rsquor;|2:1|Tim Cahill', '58&amp;rsquor;|2:1|Mile Jedinak', '67&amp;rsquor;|2:1|Mark Milligan']"/>
    <s v="['60&amp;rsquor;|2:1|Felipe Gutiérrez|for Arturo Vidal', '68&amp;rsquor;|2:1|Jean Beausejour|for Jorge Valdivia', '88&amp;rsquor;|2:1|Mauricio Pinilla|for Eduardo Vargas']"/>
    <s v="['49&amp;rsquor;|2:1|Ryan McGowan|for Ivan Franjic', '68&amp;rsquor;|2:1|Ben Halloran|for Tommy Oar', '78&amp;rsquor;|2:1|James Troisi|for Mark Bresciano']"/>
  </r>
  <r>
    <s v="Brazil"/>
    <s v="Croatia"/>
    <n v="3"/>
    <m/>
    <m/>
    <n v="1"/>
    <m/>
    <m/>
    <s v="Luiz Felipe Scolari"/>
    <s v=""/>
    <s v="Niko Kovač"/>
    <s v=""/>
    <n v="62103"/>
    <s v="Arena Corinthians, São Paulo"/>
    <s v="Yuichi Nishimura (Referee) · Toru Sagara (AR1) · Toshiyuki Nagi (AR2) · Alireza Faghani (4th)"/>
    <x v="5"/>
    <x v="72"/>
    <s v="3–1"/>
    <s v="Yuichi Nishimura"/>
    <s v=""/>
    <x v="2"/>
    <x v="2"/>
    <s v="Neymar · 29|Oscar · 90+1"/>
    <s v=""/>
    <s v="['29&amp;rsquor;|1:1|Neymar|Assist:|Oscar', '90+1&amp;rsquor;|3:1|Oscar|Assist:|Ramires']"/>
    <s v=""/>
    <s v=""/>
    <s v="Marcelo (OG) · 11"/>
    <s v="Neymar (P) · 71"/>
    <s v=""/>
    <s v=""/>
    <s v=""/>
    <s v=""/>
    <s v=""/>
    <s v=""/>
    <s v=""/>
    <s v=""/>
    <s v=""/>
    <s v=""/>
    <s v=""/>
    <s v="['27&amp;rsquor;|0:1|Neymar', '88&amp;rsquor;|2:1|Luiz Gustavo']"/>
    <s v="['65&amp;rsquor;|1:1|Vedran Ćorluka', '69&amp;rsquor;|1:1|Dejan Lovren']"/>
    <s v="['63&amp;rsquor;|1:1|Hernanes|for Paulinho', '68&amp;rsquor;|1:1|Bernard|for Hulk', '88&amp;rsquor;|2:1|Ramires|for Neymar']"/>
    <s v="['61&amp;rsquor;|1:1|Marcelo Brozović|for Mateo Kovačić', '78&amp;rsquor;|2:1|Ante Rebić|for Nikica Jelavić']"/>
  </r>
  <r>
    <s v="Netherlands"/>
    <s v="Spain"/>
    <n v="0"/>
    <m/>
    <m/>
    <n v="1"/>
    <m/>
    <m/>
    <s v="Bert van Marwijk"/>
    <s v=""/>
    <s v="Vicente del Bosque"/>
    <s v=""/>
    <n v="84490"/>
    <s v="Soccer City, Johannesburg"/>
    <s v="Howard Webb (Referee) · Darren Cann (AR1) · Michael Mullarkey (AR2) · Yuichi Nishimura (4th)"/>
    <x v="0"/>
    <x v="73"/>
    <s v="0–1"/>
    <s v="Howard Webb"/>
    <s v="Required Extra Time"/>
    <x v="3"/>
    <x v="3"/>
    <s v=""/>
    <s v="Andrés Iniesta · 116"/>
    <s v=""/>
    <s v="['116&amp;rsquor;|0:1|Andrés Iniesta']"/>
    <s v=""/>
    <s v=""/>
    <s v=""/>
    <s v=""/>
    <s v=""/>
    <s v=""/>
    <s v=""/>
    <s v=""/>
    <s v=""/>
    <s v=""/>
    <s v=""/>
    <s v=""/>
    <s v="John Heitinga · 109"/>
    <s v=""/>
    <s v="['15&amp;rsquor;|0:0|Robin van Persie', '22&amp;rsquor;|0:0|Mark van Bommel', '28&amp;rsquor;|0:0|Nigel de Jong', '54&amp;rsquor;|0:0|Giovanni van Bronckhorst', '57&amp;rsquor;|0:0|John Heitinga', '84&amp;rsquor;|0:0|Arjen Robben', '111&amp;rsquor;|0:0|Gregory van der Wiel', '117&amp;rsquor;|0:1|Joris Mathijsen']"/>
    <s v="['17&amp;rsquor;|0:0|Carles Puyol', '23&amp;rsquor;|0:0|Sergio Ramos', '67&amp;rsquor;|0:0|Joan Capdevila', '118&amp;rsquor;|0:1|Andrés Iniesta', '120+1&amp;rsquor;|0:1|Xavi']"/>
    <s v="['71&amp;rsquor;|0:0|Eljero Elia|for Dirk Kuyt', '99&amp;rsquor;|0:0|Rafael van der Vaart|for Nigel de Jong', '105&amp;rsquor;|0:0|Edson Braafheid|for Giovanni van Bronckhorst']"/>
    <s v="['60&amp;rsquor;|0:0|Jesús Navas|for Pedro', '87&amp;rsquor;|0:0|Cesc Fàbregas|for Xabi Alonso', '106&amp;rsquor;|0:0|Fernando Torres|for David Villa']"/>
  </r>
  <r>
    <s v="Uruguay"/>
    <s v="Germany"/>
    <n v="2"/>
    <m/>
    <m/>
    <n v="3"/>
    <m/>
    <m/>
    <s v="Óscar Tabárez"/>
    <s v=""/>
    <s v="Joachim Löw"/>
    <s v=""/>
    <n v="36254"/>
    <s v="Nelson Mandela Bay Stadium, Port Elizabeth"/>
    <s v=""/>
    <x v="1"/>
    <x v="74"/>
    <s v="2–3"/>
    <s v=""/>
    <s v=""/>
    <x v="3"/>
    <x v="3"/>
    <s v="Edinson Cavani · 28|Diego Forlán · 51"/>
    <s v="Thomas Müller · 19|Marcell Jansen · 56|Sami Khedira · 82"/>
    <s v="['28&amp;rsquor;|1:1|Edinson Cavani', '51&amp;rsquor;|2:1|Diego Forlán']"/>
    <s v="['19&amp;rsquor;|0:1|Thomas Müller', '56&amp;rsquor;|2:2|Marcell Jansen', '82&amp;rsquor;|2:3|Sami Khedira']"/>
    <s v=""/>
    <s v=""/>
    <s v=""/>
    <s v=""/>
    <s v=""/>
    <s v=""/>
    <s v=""/>
    <s v=""/>
    <s v=""/>
    <s v=""/>
    <s v=""/>
    <s v=""/>
    <s v=""/>
    <s v=""/>
    <s v="['61&amp;rsquor;|2:2|Diego Pérez']"/>
    <s v="['5&amp;rsquor;|0:0|Dennis Aogo', '90+2&amp;rsquor;|2:3|Arne Friedrich']"/>
    <s v="['77&amp;rsquor;|2:2|Walter Gargano|for Diego Pérez', '88&amp;rsquor;|2:3|Sebastián Abreu|for Edinson Cavani']"/>
    <s v="['73&amp;rsquor;|2:2|Stefan Kießling|for Cacau', '81&amp;rsquor;|2:2|Toni Kroos|for Marcell Jansen', '90&amp;rsquor;|2:3|Serdar Tasci|for Mesut Özil']"/>
  </r>
  <r>
    <s v="Germany"/>
    <s v="Spain"/>
    <n v="0"/>
    <m/>
    <m/>
    <n v="1"/>
    <m/>
    <m/>
    <s v="Joachim Löw"/>
    <s v=""/>
    <s v="Vicente del Bosque"/>
    <s v=""/>
    <n v="60960"/>
    <s v="Moses Mabhida Stadium, Durban"/>
    <s v=""/>
    <x v="2"/>
    <x v="75"/>
    <s v="0–1"/>
    <s v=""/>
    <s v=""/>
    <x v="3"/>
    <x v="3"/>
    <s v=""/>
    <s v="Carles Puyol · 73"/>
    <s v=""/>
    <s v="['73&amp;rsquor;|0:1|Carles Puyol|Assist:|Xavi']"/>
    <s v=""/>
    <s v=""/>
    <s v=""/>
    <s v=""/>
    <s v=""/>
    <s v=""/>
    <s v=""/>
    <s v=""/>
    <s v=""/>
    <s v=""/>
    <s v=""/>
    <s v=""/>
    <s v=""/>
    <s v=""/>
    <s v=""/>
    <s v=""/>
    <s v="['52&amp;rsquor;|0:0|Marcell Jansen|for Jérôme Boateng', '62&amp;rsquor;|0:0|Toni Kroos|for Piotr Trochowski', '81&amp;rsquor;|0:1|Mario Gómez|for Sami Khedira']"/>
    <s v="['81&amp;rsquor;|0:1|Fernando Torres|for David Villa', '86&amp;rsquor;|0:1|David Silva|for Pedro', '90&amp;rsquor;|0:1|Carlos Marchena|for Xabi Alonso']"/>
  </r>
  <r>
    <s v="Uruguay"/>
    <s v="Netherlands"/>
    <n v="2"/>
    <m/>
    <m/>
    <n v="3"/>
    <m/>
    <m/>
    <s v="Óscar Tabárez"/>
    <s v=""/>
    <s v="Bert van Marwijk"/>
    <s v=""/>
    <n v="62479"/>
    <s v="Cape Town Stadium, Cape Town"/>
    <s v=""/>
    <x v="2"/>
    <x v="76"/>
    <s v="2–3"/>
    <s v=""/>
    <s v=""/>
    <x v="3"/>
    <x v="3"/>
    <s v="Diego Forlán · 41|Maxi Pereira · 90+2"/>
    <s v="Giovanni van Bronckhorst · 18|Wesley Sneijder · 70|Arjen Robben · 73"/>
    <s v="['41&amp;rsquor;|1:1|Diego Forlán', '90+2&amp;rsquor;|2:3|Maxi Pereira']"/>
    <s v="['18&amp;rsquor;|0:1|Giovanni van Bronckhorst', '70&amp;rsquor;|1:2|Wesley Sneijder', '73&amp;rsquor;|1:3|Arjen Robben']"/>
    <s v=""/>
    <s v=""/>
    <s v=""/>
    <s v=""/>
    <s v=""/>
    <s v=""/>
    <s v=""/>
    <s v=""/>
    <s v=""/>
    <s v=""/>
    <s v=""/>
    <s v=""/>
    <s v=""/>
    <s v=""/>
    <s v="['21&amp;rsquor;|0:1|Maxi Pereira', '29&amp;rsquor;|0:1|Martín Cáceres']"/>
    <s v="['29&amp;rsquor;|0:1|Wesley Sneijder', '78&amp;rsquor;|1:3|Khalid Boulahrouz', '90+5&amp;rsquor;|2:3|Mark van Bommel']"/>
    <s v="['78&amp;rsquor;|1:3|Sebastián Abreu|for Álvaro Pereira', '84&amp;rsquor;|1:3|Seba Fernández|for Diego Forlán']"/>
    <s v="['46&amp;rsquor;|1:1|Rafael van der Vaart|for Demy de Zeeuw', '89&amp;rsquor;|1:3|Eljero Elia|for Arjen Robben']"/>
  </r>
  <r>
    <s v="Argentina"/>
    <s v="Germany"/>
    <n v="0"/>
    <m/>
    <m/>
    <n v="4"/>
    <m/>
    <m/>
    <s v="Diego Maradona"/>
    <s v=""/>
    <s v="Joachim Löw"/>
    <s v=""/>
    <n v="64100"/>
    <s v="Cape Town Stadium, Cape Town"/>
    <s v=""/>
    <x v="3"/>
    <x v="77"/>
    <s v="0–4"/>
    <s v=""/>
    <s v=""/>
    <x v="3"/>
    <x v="3"/>
    <s v=""/>
    <s v="Thomas Müller · 3|Miroslav Klose · 68|Arne Friedrich · 74|Miroslav Klose · 89"/>
    <s v=""/>
    <s v="['3&amp;rsquor;|0:1|Thomas Müller', '68&amp;rsquor;|0:2|Miroslav Klose', '74&amp;rsquor;|0:3|Arne Friedrich', '89&amp;rsquor;|0:4|Miroslav Klose']"/>
    <s v=""/>
    <s v=""/>
    <s v=""/>
    <s v=""/>
    <s v=""/>
    <s v=""/>
    <s v=""/>
    <s v=""/>
    <s v=""/>
    <s v=""/>
    <s v=""/>
    <s v=""/>
    <s v=""/>
    <s v=""/>
    <s v="['11&amp;rsquor;|0:1|Nicolás Otamendi', '80&amp;rsquor;|0:3|Javier Mascherano']"/>
    <s v="['35&amp;rsquor;|0:1|Thomas Müller']"/>
    <s v="['70&amp;rsquor;|0:2|Javier Pastore|for Nicolás Otamendi', '75&amp;rsquor;|0:3|Sergio Agüero|for Ángel Di María']"/>
    <s v="['72&amp;rsquor;|0:2|Marcell Jansen|for Jérôme Boateng', '77&amp;rsquor;|0:3|Toni Kroos|for Sami Khedira', '84&amp;rsquor;|0:3|Piotr Trochowski|for Thomas Müller']"/>
  </r>
  <r>
    <s v="Paraguay"/>
    <s v="Spain"/>
    <n v="0"/>
    <m/>
    <m/>
    <n v="1"/>
    <m/>
    <m/>
    <s v="Gerardo Martino"/>
    <s v=""/>
    <s v="Vicente del Bosque"/>
    <s v=""/>
    <n v="55359"/>
    <s v="Emirates Airline Park, Johannesburg"/>
    <s v=""/>
    <x v="3"/>
    <x v="77"/>
    <s v="0–1"/>
    <s v=""/>
    <s v=""/>
    <x v="3"/>
    <x v="3"/>
    <s v=""/>
    <s v="David Villa · 83"/>
    <s v=""/>
    <s v="['83&amp;rsquor;|0:1|David Villa']"/>
    <s v=""/>
    <s v=""/>
    <s v=""/>
    <s v=""/>
    <s v=""/>
    <s v=""/>
    <s v=""/>
    <s v=""/>
    <s v=""/>
    <s v=""/>
    <s v=""/>
    <s v=""/>
    <s v=""/>
    <s v=""/>
    <s v="['59&amp;rsquor;|0:0|Víctor Cáceres', '59&amp;rsquor;|0:0|Antolín Alcaraz', '71&amp;rsquor;|0:0|Claudio Morel Rodríguez', '88&amp;rsquor;|0:1|Jonathan Santana']"/>
    <s v="['57&amp;rsquor;|0:0|Gerard Piqué', '63&amp;rsquor;|0:0|Sergio Busquets']"/>
    <s v="['64&amp;rsquor;|0:0|Enrique Vera|for Édgar Barreto', '72&amp;rsquor;|0:0|Roque Santa Cruz|for Nelson Valdez', '84&amp;rsquor;|0:1|Lucas Barrios|for Víctor Cáceres']"/>
    <s v="['56&amp;rsquor;|0:0|Cesc Fàbregas|for Fernando Torres', '75&amp;rsquor;|0:0|Pedro|for Xabi Alonso', '84&amp;rsquor;|0:1|Carlos Marchena|for Carles Puyol']"/>
  </r>
  <r>
    <s v="Netherlands"/>
    <s v="Brazil"/>
    <n v="2"/>
    <m/>
    <m/>
    <n v="1"/>
    <m/>
    <m/>
    <s v="Bert van Marwijk"/>
    <s v=""/>
    <s v="Dunga"/>
    <s v=""/>
    <n v="40186"/>
    <s v="Nelson Mandela Bay Stadium, Port Elizabeth"/>
    <s v=""/>
    <x v="3"/>
    <x v="78"/>
    <s v="2–1"/>
    <s v=""/>
    <s v=""/>
    <x v="3"/>
    <x v="3"/>
    <s v="Wesley Sneijder · 53|Wesley Sneijder · 68"/>
    <s v="Robinho · 10"/>
    <s v="['53&amp;rsquor;|1:1|Wesley Sneijder', '68&amp;rsquor;|2:1|Wesley Sneijder']"/>
    <s v="['10&amp;rsquor;|0:1|Robinho']"/>
    <s v=""/>
    <s v=""/>
    <s v=""/>
    <s v=""/>
    <s v=""/>
    <s v=""/>
    <s v=""/>
    <s v=""/>
    <s v=""/>
    <s v=""/>
    <s v=""/>
    <s v=""/>
    <s v=""/>
    <s v=""/>
    <s v="['14&amp;rsquor;|0:1|John Heitinga', '47&amp;rsquor;|0:1|Gregory van der Wiel', '64&amp;rsquor;|1:1|Nigel de Jong', '76&amp;rsquor;|2:1|André Ooijer']"/>
    <s v="['37&amp;rsquor;|0:1|Michel Bastos']"/>
    <s v="['85&amp;rsquor;|2:1|Klaas-Jan Huntelaar|for Robin van Persie']"/>
    <s v="['62&amp;rsquor;|1:1|Gilberto|for Michel Bastos', '77&amp;rsquor;|2:1|Nilmar|for Luís Fabiano']"/>
  </r>
  <r>
    <s v="Uruguay"/>
    <s v="Ghana"/>
    <n v="1"/>
    <m/>
    <n v="4"/>
    <n v="1"/>
    <m/>
    <n v="2"/>
    <s v="Óscar Tabárez"/>
    <s v=""/>
    <s v="Milovan Rajevac"/>
    <s v=""/>
    <n v="84017"/>
    <s v="Soccer City, Johannesburg"/>
    <s v=""/>
    <x v="3"/>
    <x v="78"/>
    <s v="(4) 1–1 (2)"/>
    <s v=""/>
    <s v="Uruguay won on penalty kicks following extra time"/>
    <x v="3"/>
    <x v="3"/>
    <s v="Diego Forlán · 55"/>
    <s v="Sulley Muntari · 45+2"/>
    <s v="['55&amp;rsquor;|1:1|Diego Forlán']"/>
    <s v="['45+2&amp;rsquor;|0:1|Sulley Muntari']"/>
    <s v=""/>
    <s v=""/>
    <s v=""/>
    <s v=""/>
    <s v=""/>
    <s v="['120+2&amp;rsquor;|1:1|Asamoah Gyan|Penalty Miss']"/>
    <s v="['1|1:0|Diego Forlán', '3|2:1|Mauricio Victorino', '5|3:2|Andrés Scotti', '9|4:2|Sebastián Abreu']"/>
    <s v="['2|1:1|Asamoah Gyan', '4|2:2|Stephen Appiah']"/>
    <s v="['7|3:2|Maxi Pereira']"/>
    <s v="['6|3:2|John Mensah', '8|3:2|Dominic Adiyiah']"/>
    <s v="Luis Suárez · 120+1"/>
    <s v=""/>
    <s v=""/>
    <s v=""/>
    <s v="['20&amp;rsquor;|0:0|Jorge Fucile', '48&amp;rsquor;|0:1|Egidio Arévalo', '59&amp;rsquor;|1:1|Diego Pérez']"/>
    <s v="['54&amp;rsquor;|0:1|John Paintsil', '77&amp;rsquor;|1:1|Hans Sarpei', '93&amp;rsquor;|1:1|John Mensah']"/>
    <s v="['38&amp;rsquor;|0:0|Andrés Scotti|for Diego Lugano', '46&amp;rsquor;|0:1|Nicolás Lodeiro|for Álvaro Fernández', '76&amp;rsquor;|1:1|Sebastián Abreu|for Edinson Cavani']"/>
    <s v="['74&amp;rsquor;|1:1|Stephen Appiah|for Samuel Inkoom', '88&amp;rsquor;|1:1|Dominic Adiyiah|for Sulley Muntari']"/>
  </r>
  <r>
    <s v="Paraguay"/>
    <s v="Japan"/>
    <n v="0"/>
    <m/>
    <n v="5"/>
    <n v="0"/>
    <m/>
    <n v="3"/>
    <s v="Gerardo Martino"/>
    <s v=""/>
    <s v="Takeshi Okada"/>
    <s v=""/>
    <n v="36742"/>
    <s v="Loftus Versfeld Stadium, Pretoria"/>
    <s v=""/>
    <x v="4"/>
    <x v="79"/>
    <s v="(5) 0–0 (3)"/>
    <s v=""/>
    <s v="Paraguay won on penalty kicks following extra time"/>
    <x v="3"/>
    <x v="3"/>
    <s v=""/>
    <s v=""/>
    <s v=""/>
    <s v=""/>
    <s v=""/>
    <s v=""/>
    <s v=""/>
    <s v=""/>
    <s v=""/>
    <s v=""/>
    <s v="['1|1:0|Édgar Barreto', '3|2:1|Lucas Barrios', '5|3:2|Cristian Riveros', '7|4:2|Nelson Valdez', '9|5:3|Óscar Cardozo']"/>
    <s v="['2|1:1|Yasuhito Endō', '4|2:2|Makoto Hasebe', '8|4:3|Keisuke Honda']"/>
    <s v=""/>
    <s v="['6|3:2|Yūichi Komano']"/>
    <s v=""/>
    <s v=""/>
    <s v=""/>
    <s v=""/>
    <s v="['118&amp;rsquor;|0:0|Cristian Riveros']"/>
    <s v="['58&amp;rsquor;|0:0|Daisuke Matsui', '72&amp;rsquor;|0:0|Yuto Nagatomo', '90+3&amp;rsquor;|0:0|Keisuke Honda', '113&amp;rsquor;|0:0|Yasuhito Endō']"/>
    <s v="['60&amp;rsquor;|0:0|Nelson Valdez|for Édgar Benítez', '75&amp;rsquor;|0:0|Édgar Barreto|for Néstor Ortigoza', '94&amp;rsquor;|0:0|Óscar Cardozo|for Roque Santa Cruz']"/>
    <s v="['65&amp;rsquor;|0:0|Shinji Okazaki|for Daisuke Matsui', '81&amp;rsquor;|0:0|Kengo Nakamura|for Yuki Abe', '106&amp;rsquor;|0:0|Keiji Tamada|for Yoshito Ōkubo']"/>
  </r>
  <r>
    <s v="Spain"/>
    <s v="Portugal"/>
    <n v="1"/>
    <m/>
    <m/>
    <n v="0"/>
    <m/>
    <m/>
    <s v="Vicente del Bosque"/>
    <s v=""/>
    <s v="Carlos Queiroz"/>
    <s v=""/>
    <n v="62955"/>
    <s v="Cape Town Stadium, Cape Town"/>
    <s v=""/>
    <x v="4"/>
    <x v="79"/>
    <s v="1–0"/>
    <s v=""/>
    <s v=""/>
    <x v="3"/>
    <x v="3"/>
    <s v="David Villa · 63"/>
    <s v=""/>
    <s v="['63&amp;rsquor;|1:0|David Villa']"/>
    <s v=""/>
    <s v=""/>
    <s v=""/>
    <s v=""/>
    <s v=""/>
    <s v=""/>
    <s v=""/>
    <s v=""/>
    <s v=""/>
    <s v=""/>
    <s v=""/>
    <s v=""/>
    <s v="Ricardo Costa · 89"/>
    <s v=""/>
    <s v=""/>
    <s v="['74&amp;rsquor;|1:0|Xabi Alonso']"/>
    <s v="['80&amp;rsquor;|1:0|Tiago Mendes']"/>
    <s v="['58&amp;rsquor;|0:0|Fernando Llorente|for Fernando Torres', '88&amp;rsquor;|1:0|Pedro|for David Villa', '90&amp;rsquor;|1:0|Carlos Marchena|for Xabi Alonso']"/>
    <s v="['58&amp;rsquor;|0:0|Danny|for Hugo Almeida', '72&amp;rsquor;|1:0|Liédson|for Simão Sabrosa', '72&amp;rsquor;|1:0|Pedro Mendes|for Pepe']"/>
  </r>
  <r>
    <s v="Netherlands"/>
    <s v="Slovakia"/>
    <n v="2"/>
    <m/>
    <m/>
    <n v="1"/>
    <m/>
    <m/>
    <s v="Bert van Marwijk"/>
    <s v=""/>
    <s v="Vladimír Weiss"/>
    <s v=""/>
    <n v="61962"/>
    <s v="Moses Mabhida Stadium, Durban"/>
    <s v=""/>
    <x v="4"/>
    <x v="80"/>
    <s v="2–1"/>
    <s v=""/>
    <s v=""/>
    <x v="3"/>
    <x v="3"/>
    <s v="Arjen Robben · 18|Wesley Sneijder · 84"/>
    <s v=""/>
    <s v="['18&amp;rsquor;|1:0|Arjen Robben', '84&amp;rsquor;|2:0|Wesley Sneijder']"/>
    <s v=""/>
    <s v=""/>
    <s v=""/>
    <s v=""/>
    <s v="Róbert Vittek (P) · 90+4"/>
    <s v=""/>
    <s v=""/>
    <s v=""/>
    <s v=""/>
    <s v=""/>
    <s v=""/>
    <s v=""/>
    <s v=""/>
    <s v=""/>
    <s v=""/>
    <s v="['31&amp;rsquor;|1:0|Arjen Robben', '90+3&amp;rsquor;|2:0|Maarten Stekelenburg']"/>
    <s v="['40&amp;rsquor;|1:0|Juraj Kucka', '84&amp;rsquor;|1:0|Martin Škrtel']"/>
    <s v="['71&amp;rsquor;|1:0|Eljero Elia|for Arjen Robben', '80&amp;rsquor;|1:0|Klaas-Jan Huntelaar|for Robin van Persie', '90&amp;rsquor;|2:0|Ibrahim Afellay|for Wesley Sneijder']"/>
    <s v="['71&amp;rsquor;|1:0|Kamil Kopúnek|for Erik Jendrišek', '87&amp;rsquor;|2:0|Marek Sapara|for Marek Hamšík', '88&amp;rsquor;|2:0|Martin Jakubko|for Radoslav Zabavník']"/>
  </r>
  <r>
    <s v="Brazil"/>
    <s v="Chile"/>
    <n v="3"/>
    <m/>
    <m/>
    <n v="0"/>
    <m/>
    <m/>
    <s v="Dunga"/>
    <s v=""/>
    <s v="Marcelo Bielsa"/>
    <s v=""/>
    <n v="54096"/>
    <s v="Emirates Airline Park, Johannesburg"/>
    <s v=""/>
    <x v="4"/>
    <x v="80"/>
    <s v="3–0"/>
    <s v=""/>
    <s v=""/>
    <x v="3"/>
    <x v="3"/>
    <s v="Juan · 35|Luís Fabiano · 38|Robinho · 59"/>
    <s v=""/>
    <s v="['35&amp;rsquor;|1:0|Juan', '38&amp;rsquor;|2:0|Luís Fabiano', '59&amp;rsquor;|3:0|Robinho']"/>
    <s v=""/>
    <s v=""/>
    <s v=""/>
    <s v=""/>
    <s v=""/>
    <s v=""/>
    <s v=""/>
    <s v=""/>
    <s v=""/>
    <s v=""/>
    <s v=""/>
    <s v=""/>
    <s v=""/>
    <s v=""/>
    <s v=""/>
    <s v="['30&amp;rsquor;|0:0|Kaká', '72&amp;rsquor;|3:0|Ramires']"/>
    <s v="['47&amp;rsquor;|2:0|Arturo Vidal', '68&amp;rsquor;|3:0|Ismael Fuentes', '80&amp;rsquor;|3:0|Rodrigo Millar']"/>
    <s v="['76&amp;rsquor;|3:0|Nilmar|for Luís Fabiano', '81&amp;rsquor;|3:0|José Kléberson|for Kaká', '85&amp;rsquor;|3:0|Gilberto|for Robinho']"/>
    <s v="['46&amp;rsquor;|2:0|Rodrigo Tello|for Pablo Contreras', '46&amp;rsquor;|2:0|Jorge Valdivia|for Mark González', '62&amp;rsquor;|3:0|Rodrigo Millar|for Mauricio Isla']"/>
  </r>
  <r>
    <s v="Germany"/>
    <s v="England"/>
    <n v="4"/>
    <m/>
    <m/>
    <n v="1"/>
    <m/>
    <m/>
    <s v="Joachim Löw"/>
    <s v=""/>
    <s v="Fabio Capello"/>
    <s v=""/>
    <n v="40510"/>
    <s v="Toyota Stadium, Bloemfontein"/>
    <s v=""/>
    <x v="4"/>
    <x v="81"/>
    <s v="4–1"/>
    <s v=""/>
    <s v=""/>
    <x v="3"/>
    <x v="3"/>
    <s v="Miroslav Klose · 20|Lukas Podolski · 32|Thomas Müller · 67|Thomas Müller · 70"/>
    <s v="Matthew Upson · 37"/>
    <s v="['20&amp;rsquor;|1:0|Miroslav Klose', '32&amp;rsquor;|2:0|Lukas Podolski', '67&amp;rsquor;|3:1|Thomas Müller', '70&amp;rsquor;|4:1|Thomas Müller']"/>
    <s v="['37&amp;rsquor;|2:1|Matthew Upson']"/>
    <s v=""/>
    <s v=""/>
    <s v=""/>
    <s v=""/>
    <s v=""/>
    <s v=""/>
    <s v=""/>
    <s v=""/>
    <s v=""/>
    <s v=""/>
    <s v=""/>
    <s v=""/>
    <s v=""/>
    <s v=""/>
    <s v="['47&amp;rsquor;|2:1|Arne Friedrich']"/>
    <s v="['81&amp;rsquor;|4:1|Glen Johnson']"/>
    <s v="['72&amp;rsquor;|4:1|Mario Gómez|for Miroslav Klose', '72&amp;rsquor;|4:1|Piotr Trochowski|for Thomas Müller', '83&amp;rsquor;|4:1|Stefan Kießling|for Mesut Özil']"/>
    <s v="['64&amp;rsquor;|2:1|Joe Cole|for James Milner', '71&amp;rsquor;|4:1|Emile Heskey|for Jermain Defoe', '87&amp;rsquor;|4:1|Shaun Wright-Phillips|for Glen Johnson']"/>
  </r>
  <r>
    <s v="Argentina"/>
    <s v="Mexico"/>
    <n v="3"/>
    <m/>
    <m/>
    <n v="1"/>
    <m/>
    <m/>
    <s v="Diego Maradona"/>
    <s v=""/>
    <s v="Javier Aguirre"/>
    <s v=""/>
    <n v="84377"/>
    <s v="Soccer City, Johannesburg"/>
    <s v=""/>
    <x v="4"/>
    <x v="81"/>
    <s v="3–1"/>
    <s v=""/>
    <s v=""/>
    <x v="3"/>
    <x v="3"/>
    <s v="Carlos Tevez · 26|Gonzalo Higuaín · 33|Carlos Tevez · 52"/>
    <s v="Javier Hernández · 71"/>
    <s v="['26&amp;rsquor;|1:0|Carlos Tevez', '33&amp;rsquor;|2:0|Gonzalo Higuaín', '52&amp;rsquor;|3:0|Carlos Tevez']"/>
    <s v="['71&amp;rsquor;|3:1|Javier Hernández']"/>
    <s v=""/>
    <s v=""/>
    <s v=""/>
    <s v=""/>
    <s v=""/>
    <s v=""/>
    <s v=""/>
    <s v=""/>
    <s v=""/>
    <s v=""/>
    <s v=""/>
    <s v=""/>
    <s v=""/>
    <s v=""/>
    <s v=""/>
    <s v="['28&amp;rsquor;|1:0|Rafael Márquez']"/>
    <s v="['69&amp;rsquor;|3:0|Juan Sebastián Verón|for Carlos Tevez', '79&amp;rsquor;|3:1|Jonás Gutiérrez|for Ángel Di María', '87&amp;rsquor;|3:1|Javier Pastore|for Maxi Rodríguez']"/>
    <s v="['46&amp;rsquor;|2:0|Pablo Barrera|for Adolfo Bautista', '61&amp;rsquor;|3:0|Guillermo Franco|for Andrés Guardado']"/>
  </r>
  <r>
    <s v="Uruguay"/>
    <s v="Korea Republic"/>
    <n v="2"/>
    <m/>
    <m/>
    <n v="1"/>
    <m/>
    <m/>
    <s v="Óscar Tabárez"/>
    <s v=""/>
    <s v="Huh Jung-moo"/>
    <s v=""/>
    <n v="30597"/>
    <s v="Nelson Mandela Bay Stadium, Port Elizabeth"/>
    <s v=""/>
    <x v="4"/>
    <x v="82"/>
    <s v="2–1"/>
    <s v=""/>
    <s v=""/>
    <x v="3"/>
    <x v="3"/>
    <s v="Luis Suárez · 8|Luis Suárez · 80"/>
    <s v="Lee Chung-yong · 68"/>
    <s v="['8&amp;rsquor;|1:0|Luis Suárez', '80&amp;rsquor;|2:1|Luis Suárez']"/>
    <s v="['68&amp;rsquor;|1:1|Lee Chung-yong']"/>
    <s v=""/>
    <s v=""/>
    <s v=""/>
    <s v=""/>
    <s v=""/>
    <s v=""/>
    <s v=""/>
    <s v=""/>
    <s v=""/>
    <s v=""/>
    <s v=""/>
    <s v=""/>
    <s v=""/>
    <s v=""/>
    <s v=""/>
    <s v="['38&amp;rsquor;|1:0|Kim Jung-woo', '69&amp;rsquor;|1:1|Cha Du-ri', '83&amp;rsquor;|2:1|Cho Yong-hyung']"/>
    <s v="['46&amp;rsquor;|1:0|Mauricio Victorino|for Diego Godín', '74&amp;rsquor;|1:1|Nicolás Lodeiro|for Álvaro Pereira', '84&amp;rsquor;|2:1|Álvaro Fernández|for Luis Suárez']"/>
    <s v="['61&amp;rsquor;|1:0|Lee Dong-gook|for Kim Jae-sung', '85&amp;rsquor;|2:1|Yeom Ki-hun|for Ki Sung-yueng']"/>
  </r>
  <r>
    <s v="United States"/>
    <s v="Ghana"/>
    <n v="1"/>
    <m/>
    <m/>
    <n v="2"/>
    <m/>
    <m/>
    <s v="Bob Bradley"/>
    <s v=""/>
    <s v="Milovan Rajevac"/>
    <s v=""/>
    <n v="34976"/>
    <s v="Royal Bafokeng Stadium, Phokeng"/>
    <s v=""/>
    <x v="4"/>
    <x v="82"/>
    <s v="1–2"/>
    <s v=""/>
    <s v="Required Extra Time"/>
    <x v="3"/>
    <x v="3"/>
    <s v=""/>
    <s v="Kevin-Prince Boateng · 5|Asamoah Gyan · 93"/>
    <s v=""/>
    <s v="['5&amp;rsquor;|0:1|Kevin-Prince Boateng', '93&amp;rsquor;|1:2|Asamoah Gyan']"/>
    <s v=""/>
    <s v=""/>
    <s v="Landon Donovan (P) · 62"/>
    <s v=""/>
    <s v=""/>
    <s v=""/>
    <s v=""/>
    <s v=""/>
    <s v=""/>
    <s v=""/>
    <s v=""/>
    <s v=""/>
    <s v=""/>
    <s v=""/>
    <s v="['7&amp;rsquor;|0:1|Ricardo Clark', '18&amp;rsquor;|0:1|Steve Cherundolo', '68&amp;rsquor;|1:1|Carlos Bocanegra']"/>
    <s v="['61&amp;rsquor;|0:1|Jonathan Mensah', '90+2&amp;rsquor;|1:1|André Ayew']"/>
    <s v="['31&amp;rsquor;|0:1|Maurice Edu|for Ricardo Clark', '46&amp;rsquor;|0:1|Benny Feilhaber|for Robbie Findley', '91&amp;rsquor;|1:1|Hérculez Gómez|for Jozy Altidore']"/>
    <s v="['73&amp;rsquor;|1:1|Lee Addy|for Hans Sarpei', '78&amp;rsquor;|1:1|Stephen Appiah|for Kevin-Prince Boateng', '113&amp;rsquor;|1:2|Sulley Muntari|for Samuel Inkoom']"/>
  </r>
  <r>
    <s v="Portugal"/>
    <s v="Brazil"/>
    <n v="0"/>
    <m/>
    <m/>
    <n v="0"/>
    <m/>
    <m/>
    <s v="Carlos Queiroz"/>
    <s v=""/>
    <s v="Dunga"/>
    <s v=""/>
    <n v="62712"/>
    <s v="Moses Mabhida Stadium, Durban"/>
    <s v=""/>
    <x v="5"/>
    <x v="83"/>
    <s v="0–0"/>
    <s v=""/>
    <s v=""/>
    <x v="3"/>
    <x v="3"/>
    <s v=""/>
    <s v=""/>
    <s v=""/>
    <s v=""/>
    <s v=""/>
    <s v=""/>
    <s v=""/>
    <s v=""/>
    <s v=""/>
    <s v=""/>
    <s v=""/>
    <s v=""/>
    <s v=""/>
    <s v=""/>
    <s v=""/>
    <s v=""/>
    <s v=""/>
    <s v=""/>
    <s v="['25&amp;rsquor;|0:0|Duda', '31&amp;rsquor;|0:0|Tiago Mendes', '40&amp;rsquor;|0:0|Pepe', '45&amp;rsquor;|0:0|Fábio Coentrão']"/>
    <s v="['15&amp;rsquor;|0:0|Luís Fabiano', '25&amp;rsquor;|0:0|Juan', '43&amp;rsquor;|0:0|Felipe Melo']"/>
    <s v="['54&amp;rsquor;|0:0|Simão Sabrosa|for Duda', '64&amp;rsquor;|0:0|Pedro Mendes|for Pepe', '84&amp;rsquor;|0:0|Miguel Veloso|for Raul Meireles']"/>
    <s v="['44&amp;rsquor;|0:0|Josué|for Felipe Melo', '82&amp;rsquor;|0:0|Ramires|for Júlio Baptista', '85&amp;rsquor;|0:0|Grafite|for Luís Fabiano']"/>
  </r>
  <r>
    <s v="Korea DPR"/>
    <s v="Côte d'Ivoire"/>
    <n v="0"/>
    <m/>
    <m/>
    <n v="3"/>
    <m/>
    <m/>
    <s v="Kim Jong-hun"/>
    <s v=""/>
    <s v="Sven-Göran Eriksson"/>
    <s v=""/>
    <n v="34763"/>
    <s v="Mbombela Stadium, Nelspruit"/>
    <s v=""/>
    <x v="5"/>
    <x v="83"/>
    <s v="0–3"/>
    <s v=""/>
    <s v=""/>
    <x v="3"/>
    <x v="3"/>
    <s v=""/>
    <s v="Yaya Touré · 14|Romaric · 20|Salomon Kalou · 82"/>
    <s v=""/>
    <s v="['14&amp;rsquor;|0:1|Yaya Touré', '20&amp;rsquor;|0:2|Romaric', '82&amp;rsquor;|0:3|Salomon Kalou']"/>
    <s v=""/>
    <s v=""/>
    <s v=""/>
    <s v=""/>
    <s v=""/>
    <s v=""/>
    <s v=""/>
    <s v=""/>
    <s v=""/>
    <s v=""/>
    <s v=""/>
    <s v=""/>
    <s v=""/>
    <s v=""/>
    <s v=""/>
    <s v=""/>
    <s v="['67&amp;rsquor;|0:2|Choe Kum-chol|for Mun In-guk']"/>
    <s v="['64&amp;rsquor;|0:2|Salomon Kalou|for Gervinho', '64&amp;rsquor;|0:2|Aruna Dindane|for Abdul Kader Keïta', '79&amp;rsquor;|0:2|Seydou Doumbia|for Romaric']"/>
  </r>
  <r>
    <s v="Chile"/>
    <s v="Spain"/>
    <n v="1"/>
    <m/>
    <m/>
    <n v="2"/>
    <m/>
    <m/>
    <s v="Marcelo Bielsa"/>
    <s v=""/>
    <s v="Vicente del Bosque"/>
    <s v=""/>
    <n v="41958"/>
    <s v="Loftus Versfeld Stadium, Pretoria"/>
    <s v=""/>
    <x v="5"/>
    <x v="83"/>
    <s v="1–2"/>
    <s v=""/>
    <s v=""/>
    <x v="3"/>
    <x v="3"/>
    <s v="Rodrigo Millar · 47"/>
    <s v="David Villa · 24|Andrés Iniesta · 37"/>
    <s v="['47&amp;rsquor;|1:2|Rodrigo Millar']"/>
    <s v="['24&amp;rsquor;|0:1|David Villa', '37&amp;rsquor;|0:2|Andrés Iniesta']"/>
    <s v=""/>
    <s v=""/>
    <s v=""/>
    <s v=""/>
    <s v=""/>
    <s v=""/>
    <s v=""/>
    <s v=""/>
    <s v=""/>
    <s v=""/>
    <s v=""/>
    <s v=""/>
    <s v="Marco Estrada · 37"/>
    <s v=""/>
    <s v="['15&amp;rsquor;|0:0|Gary Medel', '19&amp;rsquor;|0:0|Waldo Ponce', '21&amp;rsquor;|0:0|Marco Estrada']"/>
    <s v=""/>
    <s v="['46&amp;rsquor;|0:2|Rodrigo Millar|for Mark González', '46&amp;rsquor;|0:2|Esteban Paredes|for Jorge Valdivia', '65&amp;rsquor;|1:2|Fabián Orellana|for Alexis Sánchez']"/>
    <s v="['55&amp;rsquor;|1:2|Cesc Fàbregas|for Fernando Torres', '73&amp;rsquor;|1:2|Javi Martínez|for Xabi Alonso']"/>
  </r>
  <r>
    <s v="Switzerland"/>
    <s v="Honduras"/>
    <n v="0"/>
    <m/>
    <m/>
    <n v="0"/>
    <m/>
    <m/>
    <s v="Ottmar Hitzfeld"/>
    <s v=""/>
    <s v="Reinaldo Rueda"/>
    <s v=""/>
    <n v="28042"/>
    <s v="Toyota Stadium, Bloemfontein"/>
    <s v=""/>
    <x v="5"/>
    <x v="83"/>
    <s v="0–0"/>
    <s v=""/>
    <s v=""/>
    <x v="3"/>
    <x v="3"/>
    <s v=""/>
    <s v=""/>
    <s v=""/>
    <s v=""/>
    <s v=""/>
    <s v=""/>
    <s v=""/>
    <s v=""/>
    <s v=""/>
    <s v=""/>
    <s v=""/>
    <s v=""/>
    <s v=""/>
    <s v=""/>
    <s v=""/>
    <s v=""/>
    <s v=""/>
    <s v=""/>
    <s v="['34&amp;rsquor;|0:0|Gelson Fernandes']"/>
    <s v="['4&amp;rsquor;|0:0|Hendry Thomas', '58&amp;rsquor;|0:0|David Suazo', '64&amp;rsquor;|0:0|Osman Chávez', '89&amp;rsquor;|0:0|Wilson Palacios']"/>
    <s v="['46&amp;rsquor;|0:0|Hakan Yakin|for Gelson Fernandes', '69&amp;rsquor;|0:0|Alexander Frei|for Blaise Nkufo', '78&amp;rsquor;|0:0|Xherdan Shaqiri|for Benjamin Huggel']"/>
    <s v="['67&amp;rsquor;|0:0|Walter Martínez|for Ramón Núñez', '78&amp;rsquor;|0:0|Georgie Welcome|for Jerry Palacios', '87&amp;rsquor;|0:0|Danilo Turcios|for David Suazo']"/>
  </r>
  <r>
    <s v="Paraguay"/>
    <s v="New Zealand"/>
    <n v="0"/>
    <m/>
    <m/>
    <n v="0"/>
    <m/>
    <m/>
    <s v="Gerardo Martino"/>
    <s v=""/>
    <s v="Ricki Herbert"/>
    <s v=""/>
    <n v="34850"/>
    <s v="Peter Mokaba Stadium, Polokwane"/>
    <s v=""/>
    <x v="5"/>
    <x v="84"/>
    <s v="0–0"/>
    <s v=""/>
    <s v=""/>
    <x v="3"/>
    <x v="3"/>
    <s v=""/>
    <s v=""/>
    <s v=""/>
    <s v=""/>
    <s v=""/>
    <s v=""/>
    <s v=""/>
    <s v=""/>
    <s v=""/>
    <s v=""/>
    <s v=""/>
    <s v=""/>
    <s v=""/>
    <s v=""/>
    <s v=""/>
    <s v=""/>
    <s v=""/>
    <s v=""/>
    <s v="['10&amp;rsquor;|0:0|Víctor Cáceres', '41&amp;rsquor;|0:0|Roque Santa Cruz']"/>
    <s v="['56&amp;rsquor;|0:0|Ryan Nelsen']"/>
    <s v="['66&amp;rsquor;|0:0|Lucas Barrios|for Óscar Cardozo', '67&amp;rsquor;|0:0|Édgar Benítez|for Nelson Valdez']"/>
    <s v="['69&amp;rsquor;|0:0|Chris Wood|for Rory Fallon', '79&amp;rsquor;|0:0|Jeremy Brockie|for Chris Killen']"/>
  </r>
  <r>
    <s v="Slovakia"/>
    <s v="Italy"/>
    <n v="3"/>
    <m/>
    <m/>
    <n v="2"/>
    <m/>
    <m/>
    <s v="Vladimír Weiss"/>
    <s v=""/>
    <s v="Marcello Lippi"/>
    <s v=""/>
    <n v="53412"/>
    <s v="Emirates Airline Park, Johannesburg"/>
    <s v=""/>
    <x v="5"/>
    <x v="84"/>
    <s v="3–2"/>
    <s v=""/>
    <s v=""/>
    <x v="3"/>
    <x v="3"/>
    <s v="Róbert Vittek · 25|Róbert Vittek · 73|Kamil Kopúnek · 89"/>
    <s v="Antonio Di Natale · 81|Fabio Quagliarella · 90+2"/>
    <s v="['25&amp;rsquor;|1:0|Róbert Vittek', '73&amp;rsquor;|2:0|Róbert Vittek', '89&amp;rsquor;|3:1|Kamil Kopúnek']"/>
    <s v="['81&amp;rsquor;|2:1|Antonio Di Natale', '90+2&amp;rsquor;|3:2|Fabio Quagliarella']"/>
    <s v=""/>
    <s v=""/>
    <s v=""/>
    <s v=""/>
    <s v=""/>
    <s v=""/>
    <s v=""/>
    <s v=""/>
    <s v=""/>
    <s v=""/>
    <s v=""/>
    <s v=""/>
    <s v=""/>
    <s v=""/>
    <s v="['16&amp;rsquor;|0:0|Zdeno Štrba', '40&amp;rsquor;|1:0|Róbert Vittek', '50&amp;rsquor;|1:0|Peter Pekarík', '82&amp;rsquor;|2:1|Ján Mucha']"/>
    <s v="['31&amp;rsquor;|1:0|Fabio Cannavaro', '67&amp;rsquor;|1:0|Gennaro Gattuso', '76&amp;rsquor;|2:0|Simone Pepe', '83&amp;rsquor;|2:1|Fabio Quagliarella']"/>
    <s v="['87&amp;rsquor;|2:1|Kamil Kopúnek|for Zdeno Štrba', '90&amp;rsquor;|3:1|Stanislav Šesták|for Róbert Vittek', '90&amp;rsquor;|3:1|Martin Petráš|for Erik Jendrišek']"/>
    <s v="['46&amp;rsquor;|1:0|Christian Maggio|for Domenico Criscito', '46&amp;rsquor;|1:0|Fabio Quagliarella|for Gennaro Gattuso', '56&amp;rsquor;|1:0|Andrea Pirlo|for Riccardo Montolivo']"/>
  </r>
  <r>
    <s v="Denmark"/>
    <s v="Japan"/>
    <n v="1"/>
    <m/>
    <m/>
    <n v="3"/>
    <m/>
    <m/>
    <s v="Morten Olsen"/>
    <s v=""/>
    <s v="Takeshi Okada"/>
    <s v=""/>
    <n v="27967"/>
    <s v="Royal Bafokeng Stadium, Phokeng"/>
    <s v=""/>
    <x v="5"/>
    <x v="84"/>
    <s v="1–3"/>
    <s v=""/>
    <s v=""/>
    <x v="3"/>
    <x v="3"/>
    <s v="Jon Dahl Tomasson · 81"/>
    <s v="Keisuke Honda · 17|Yasuhito Endō · 30|Shinji Okazaki · 87"/>
    <s v="['81&amp;rsquor;|1:2|Jon Dahl Tomasson']"/>
    <s v="['17&amp;rsquor;|0:1|Keisuke Honda', '30&amp;rsquor;|0:2|Yasuhito Endō', '87&amp;rsquor;|1:3|Shinji Okazaki']"/>
    <s v=""/>
    <s v=""/>
    <s v=""/>
    <s v=""/>
    <s v=""/>
    <s v=""/>
    <s v=""/>
    <s v=""/>
    <s v=""/>
    <s v=""/>
    <s v=""/>
    <s v=""/>
    <s v=""/>
    <s v=""/>
    <s v="['29&amp;rsquor;|0:1|Per Krøldrup', '48&amp;rsquor;|0:2|Christian Poulsen', '66&amp;rsquor;|0:2|Nicklas Bendtner']"/>
    <s v="['12&amp;rsquor;|0:0|Yasuhito Endō', '26&amp;rsquor;|0:1|Yuto Nagatomo']"/>
    <s v="['34&amp;rsquor;|0:2|Jakob Poulsen|for Martin Jørgensen', '56&amp;rsquor;|0:2|Søren Larsen|for Per Krøldrup', '63&amp;rsquor;|0:2|Christian Eriksen|for Thomas Kahlenberg']"/>
    <s v="['74&amp;rsquor;|0:2|Shinji Okazaki|for Daisuke Matsui', '88&amp;rsquor;|1:3|Yasuyuki Konno|for Yoshito Ōkubo', '90&amp;rsquor;|1:3|Junichi Inamoto|for Yasuhito Endō']"/>
  </r>
  <r>
    <s v="Cameroon"/>
    <s v="Netherlands"/>
    <n v="1"/>
    <m/>
    <m/>
    <n v="2"/>
    <m/>
    <m/>
    <s v="Paul Le Guen"/>
    <s v=""/>
    <s v="Bert van Marwijk"/>
    <s v=""/>
    <n v="63093"/>
    <s v="Cape Town Stadium, Cape Town"/>
    <s v=""/>
    <x v="5"/>
    <x v="84"/>
    <s v="1–2"/>
    <s v=""/>
    <s v=""/>
    <x v="3"/>
    <x v="3"/>
    <s v=""/>
    <s v="Robin van Persie · 36|Klaas-Jan Huntelaar · 83"/>
    <s v=""/>
    <s v="['36&amp;rsquor;|0:1|Robin van Persie', '83&amp;rsquor;|1:2|Klaas-Jan Huntelaar']"/>
    <s v=""/>
    <s v=""/>
    <s v="Samuel Eto'o (P) · 65"/>
    <s v=""/>
    <s v=""/>
    <s v=""/>
    <s v=""/>
    <s v=""/>
    <s v=""/>
    <s v=""/>
    <s v=""/>
    <s v=""/>
    <s v=""/>
    <s v=""/>
    <s v="['25&amp;rsquor;|0:0|Nicolas Nkoulou', '81&amp;rsquor;|1:1|Stéphane Mbia']"/>
    <s v="['17&amp;rsquor;|0:0|Dirk Kuyt', '65&amp;rsquor;|1:1|Rafael van der Vaart', '70&amp;rsquor;|1:1|Giovanni van Bronckhorst']"/>
    <s v="['56&amp;rsquor;|0:1|Vincent Aboubakar|for Gaëtan Bong', '72&amp;rsquor;|1:1|Mohammadou Idrissou|for Eric Maxim Choupo-Moting', '73&amp;rsquor;|1:1|Rigobert Song|for Nicolas Nkoulou']"/>
    <s v="['59&amp;rsquor;|0:1|Klaas-Jan Huntelaar|for Robin van Persie', '66&amp;rsquor;|1:1|Eljero Elia|for Dirk Kuyt', '73&amp;rsquor;|1:1|Arjen Robben|for Rafael van der Vaart']"/>
  </r>
  <r>
    <s v="Slovenia"/>
    <s v="England"/>
    <n v="0"/>
    <m/>
    <m/>
    <n v="1"/>
    <m/>
    <m/>
    <s v="Matjaž Kek"/>
    <s v=""/>
    <s v="Fabio Capello"/>
    <s v=""/>
    <n v="36893"/>
    <s v="Nelson Mandela Bay Stadium, Port Elizabeth"/>
    <s v=""/>
    <x v="5"/>
    <x v="85"/>
    <s v="0–1"/>
    <s v=""/>
    <s v=""/>
    <x v="3"/>
    <x v="3"/>
    <s v=""/>
    <s v="Jermain Defoe · 23"/>
    <s v=""/>
    <s v="['23&amp;rsquor;|0:1|Jermain Defoe']"/>
    <s v=""/>
    <s v=""/>
    <s v=""/>
    <s v=""/>
    <s v=""/>
    <s v=""/>
    <s v=""/>
    <s v=""/>
    <s v=""/>
    <s v=""/>
    <s v=""/>
    <s v=""/>
    <s v=""/>
    <s v=""/>
    <s v="['40&amp;rsquor;|0:1|Bojan Jokić', '79&amp;rsquor;|0:1|Valter Birsa', '81&amp;rsquor;|0:1|Zlatko Dedić']"/>
    <s v="['48&amp;rsquor;|0:1|Glen Johnson']"/>
    <s v="['62&amp;rsquor;|0:1|Zlatko Dedić|for Zlatan Ljubijankić', '79&amp;rsquor;|0:1|Tim Matavž|for Andraž Kirm']"/>
    <s v="['72&amp;rsquor;|0:1|Joe Cole|for Wayne Rooney', '86&amp;rsquor;|0:1|Emile Heskey|for Jermain Defoe']"/>
  </r>
  <r>
    <s v="United States"/>
    <s v="Algeria"/>
    <n v="1"/>
    <m/>
    <m/>
    <n v="0"/>
    <m/>
    <m/>
    <s v="Bob Bradley"/>
    <s v=""/>
    <s v="Rabah Saâdane"/>
    <s v=""/>
    <n v="35827"/>
    <s v="Loftus Versfeld Stadium, Pretoria"/>
    <s v=""/>
    <x v="5"/>
    <x v="85"/>
    <s v="1–0"/>
    <s v=""/>
    <s v=""/>
    <x v="3"/>
    <x v="3"/>
    <s v="Landon Donovan · 90+1"/>
    <s v=""/>
    <s v="['90+1&amp;rsquor;|1:0|Landon Donovan']"/>
    <s v=""/>
    <s v=""/>
    <s v=""/>
    <s v=""/>
    <s v=""/>
    <s v=""/>
    <s v=""/>
    <s v=""/>
    <s v=""/>
    <s v=""/>
    <s v=""/>
    <s v=""/>
    <s v=""/>
    <s v=""/>
    <s v="Antar Yahia · 90+3"/>
    <s v="['62&amp;rsquor;|0:0|Jozy Altidore', '90&amp;rsquor;|0:0|DaMarcus Beasley']"/>
    <s v="['12&amp;rsquor;|0:0|Hassan Yebda', '76&amp;rsquor;|0:0|Antar Yahia', '83&amp;rsquor;|0:0|Mehdi Lacen']"/>
    <s v="['46&amp;rsquor;|0:0|Benny Feilhaber|for Hérculez Gómez', '64&amp;rsquor;|0:0|Edson Buddle|for Maurice Edu', '80&amp;rsquor;|0:0|DaMarcus Beasley|for Jonathan Bornstein']"/>
    <s v="['65&amp;rsquor;|0:0|Abdelkader Ghezzal|for Rafik Djebbour', '69&amp;rsquor;|0:0|Adlène Guedioura|for Karim Ziani', '85&amp;rsquor;|0:0|Rafik Saïfi|for Karim Matmour']"/>
  </r>
  <r>
    <s v="Ghana"/>
    <s v="Germany"/>
    <n v="0"/>
    <m/>
    <m/>
    <n v="1"/>
    <m/>
    <m/>
    <s v="Milovan Rajevac"/>
    <s v=""/>
    <s v="Joachim Löw"/>
    <s v=""/>
    <n v="83391"/>
    <s v="Soccer City, Johannesburg"/>
    <s v=""/>
    <x v="5"/>
    <x v="85"/>
    <s v="0–1"/>
    <s v=""/>
    <s v=""/>
    <x v="3"/>
    <x v="3"/>
    <s v=""/>
    <s v="Mesut Özil · 60"/>
    <s v=""/>
    <s v="['60&amp;rsquor;|0:1|Mesut Özil']"/>
    <s v=""/>
    <s v=""/>
    <s v=""/>
    <s v=""/>
    <s v=""/>
    <s v=""/>
    <s v=""/>
    <s v=""/>
    <s v=""/>
    <s v=""/>
    <s v=""/>
    <s v=""/>
    <s v=""/>
    <s v=""/>
    <s v="['40&amp;rsquor;|0:0|André Ayew']"/>
    <s v="['43&amp;rsquor;|0:0|Thomas Müller']"/>
    <s v="['64&amp;rsquor;|0:1|Sulley Muntari|for Prince Tagoe', '82&amp;rsquor;|0:1|Matthew Amoah|for Asamoah Gyan', '90&amp;rsquor;|0:1|Dominic Adiyiah|for André Ayew']"/>
    <s v="['67&amp;rsquor;|0:1|Piotr Trochowski|for Thomas Müller', '73&amp;rsquor;|0:1|Marcell Jansen|for Jérôme Boateng', '81&amp;rsquor;|0:1|Toni Kroos|for Bastian Schweinsteiger']"/>
  </r>
  <r>
    <s v="Australia"/>
    <s v="Serbia"/>
    <n v="2"/>
    <m/>
    <m/>
    <n v="1"/>
    <m/>
    <m/>
    <s v="Pim Verbeek"/>
    <s v=""/>
    <s v="Radomir Antić"/>
    <s v=""/>
    <n v="37836"/>
    <s v="Mbombela Stadium, Nelspruit"/>
    <s v=""/>
    <x v="5"/>
    <x v="85"/>
    <s v="2–1"/>
    <s v=""/>
    <s v=""/>
    <x v="3"/>
    <x v="3"/>
    <s v="Tim Cahill · 69|Brett Holman · 73"/>
    <s v="Marko Pantelić · 84"/>
    <s v="['69&amp;rsquor;|1:0|Tim Cahill', '73&amp;rsquor;|2:0|Brett Holman']"/>
    <s v="['84&amp;rsquor;|2:1|Marko Pantelić']"/>
    <s v=""/>
    <s v=""/>
    <s v=""/>
    <s v=""/>
    <s v=""/>
    <s v=""/>
    <s v=""/>
    <s v=""/>
    <s v=""/>
    <s v=""/>
    <s v=""/>
    <s v=""/>
    <s v=""/>
    <s v=""/>
    <s v="['49&amp;rsquor;|0:0|Michael Beauchamp', '50&amp;rsquor;|0:0|Luke Wilkshire', '67&amp;rsquor;|0:0|Brett Emerton']"/>
    <s v="['18&amp;rsquor;|0:0|Aleksandar Luković', '59&amp;rsquor;|0:0|Miloš Ninković']"/>
    <s v="['66&amp;rsquor;|0:0|Brett Holman|for Carl Valeri', '66&amp;rsquor;|0:0|Scott Chipperfield|for Mark Bresciano', '82&amp;rsquor;|2:0|Richard Garcia|for Luke Wilkshire']"/>
    <s v="['62&amp;rsquor;|0:0|Zoran Tošić|for Miloš Krasić', '67&amp;rsquor;|0:0|Marko Pantelić|for Nikola Žigić', '77&amp;rsquor;|2:0|Danko Lazović|for Zdravko Kuzmanović']"/>
  </r>
  <r>
    <s v="Mexico"/>
    <s v="Uruguay"/>
    <n v="0"/>
    <m/>
    <m/>
    <n v="1"/>
    <m/>
    <m/>
    <s v="Javier Aguirre"/>
    <s v=""/>
    <s v="Óscar Tabárez"/>
    <s v=""/>
    <n v="33425"/>
    <s v="Royal Bafokeng Stadium, Phokeng"/>
    <s v=""/>
    <x v="5"/>
    <x v="86"/>
    <s v="0–1"/>
    <s v=""/>
    <s v=""/>
    <x v="3"/>
    <x v="3"/>
    <s v=""/>
    <s v="Luis Suárez · 43"/>
    <s v=""/>
    <s v="['43&amp;rsquor;|0:1|Luis Suárez']"/>
    <s v=""/>
    <s v=""/>
    <s v=""/>
    <s v=""/>
    <s v=""/>
    <s v=""/>
    <s v=""/>
    <s v=""/>
    <s v=""/>
    <s v=""/>
    <s v=""/>
    <s v=""/>
    <s v=""/>
    <s v=""/>
    <s v="['77&amp;rsquor;|0:1|Javier Hernández', '86&amp;rsquor;|0:1|Israel Castro']"/>
    <s v="['68&amp;rsquor;|0:1|Jorge Fucile']"/>
    <s v="['46&amp;rsquor;|0:1|Pablo Barrera|for Andrés Guardado', '57&amp;rsquor;|0:1|Israel Castro|for Héctor Moreno', '63&amp;rsquor;|0:1|Javier Hernández|for Cuauhtémoc Blanco']"/>
    <s v="['77&amp;rsquor;|0:1|Andrés Scotti|for Álvaro Pereira', '85&amp;rsquor;|0:1|Álvaro Fernández|for Luis Suárez']"/>
  </r>
  <r>
    <s v="France"/>
    <s v="South Africa"/>
    <n v="1"/>
    <m/>
    <m/>
    <n v="2"/>
    <m/>
    <m/>
    <s v="Raymond Domenech"/>
    <s v=""/>
    <s v="Carlos Alberto Parreira"/>
    <s v=""/>
    <n v="39415"/>
    <s v="Toyota Stadium, Bloemfontein"/>
    <s v=""/>
    <x v="5"/>
    <x v="86"/>
    <s v="1–2"/>
    <s v=""/>
    <s v=""/>
    <x v="3"/>
    <x v="3"/>
    <s v="Florent Malouda · 70"/>
    <s v="Bongani Khumalo · 20|Katlego Mphela · 37"/>
    <s v="['70&amp;rsquor;|1:2|Florent Malouda']"/>
    <s v="['20&amp;rsquor;|0:1|Bongani Khumalo', '37&amp;rsquor;|0:2|Katlego Mphela']"/>
    <s v=""/>
    <s v=""/>
    <s v=""/>
    <s v=""/>
    <s v=""/>
    <s v=""/>
    <s v=""/>
    <s v=""/>
    <s v=""/>
    <s v=""/>
    <s v="Yoann Gourcuff · 25"/>
    <s v=""/>
    <s v=""/>
    <s v=""/>
    <s v="['71&amp;rsquor;|1:2|Abou Diaby']"/>
    <s v=""/>
    <s v="['46&amp;rsquor;|0:2|Florent Malouda|for André-Pierre Gignac', '55&amp;rsquor;|0:2|Thierry Henry|for Djibril Cissé', '82&amp;rsquor;|1:2|Sidney Govou|for Alou Diarra']"/>
    <s v="['55&amp;rsquor;|0:2|Siboniso Gaxa|for Anele Ngcongca', '68&amp;rsquor;|0:2|Siyabonga Nomvethe|for Bernard Parker', '78&amp;rsquor;|1:2|Teko Modise|for Thanduyise Khuboni']"/>
  </r>
  <r>
    <s v="Nigeria"/>
    <s v="Korea Republic"/>
    <n v="2"/>
    <m/>
    <m/>
    <n v="2"/>
    <m/>
    <m/>
    <s v="Lars Lagerbäck"/>
    <s v=""/>
    <s v="Huh Jung-moo"/>
    <s v=""/>
    <n v="61874"/>
    <s v="Moses Mabhida Stadium, Durban"/>
    <s v=""/>
    <x v="5"/>
    <x v="86"/>
    <s v="2–2"/>
    <s v=""/>
    <s v=""/>
    <x v="3"/>
    <x v="3"/>
    <s v="Kalu Uche · 12"/>
    <s v="Lee Jung-soo · 38|Park Chu-young · 49"/>
    <s v="['12&amp;rsquor;|1:0|Kalu Uche']"/>
    <s v="['38&amp;rsquor;|1:1|Lee Jung-soo', '49&amp;rsquor;|1:2|Park Chu-young']"/>
    <s v=""/>
    <s v=""/>
    <s v="Yakubu Aiyegbeni (P) · 69"/>
    <s v=""/>
    <s v=""/>
    <s v=""/>
    <s v=""/>
    <s v=""/>
    <s v=""/>
    <s v=""/>
    <s v=""/>
    <s v=""/>
    <s v=""/>
    <s v=""/>
    <s v="['31&amp;rsquor;|1:0|Vincent Enyeama', '37&amp;rsquor;|1:0|Chinedu Obasi', '42&amp;rsquor;|1:1|Ayila Yussuf']"/>
    <s v="['68&amp;rsquor;|1:2|Kim Nam-il']"/>
    <s v="['46&amp;rsquor;|1:1|Elderson Echiéjilé|for Joseph Yobo', '57&amp;rsquor;|1:2|Obafemi Martins|for Nwankwo Kanu', '70&amp;rsquor;|2:2|Victor Obinna|for Yakubu Aiyegbeni']"/>
    <s v="['64&amp;rsquor;|1:2|Kim Nam-il|for Yeom Ki-hun', '87&amp;rsquor;|2:2|Kim Jae-sung|for Ki Sung-yueng', '90&amp;rsquor;|2:2|Kim Dong-jin|for Park Chu-young']"/>
  </r>
  <r>
    <s v="Greece"/>
    <s v="Argentina"/>
    <n v="0"/>
    <m/>
    <m/>
    <n v="2"/>
    <m/>
    <m/>
    <s v="Otto Rehhagel"/>
    <s v=""/>
    <s v="Diego Maradona"/>
    <s v=""/>
    <n v="38891"/>
    <s v="Peter Mokaba Stadium, Polokwane"/>
    <s v=""/>
    <x v="5"/>
    <x v="86"/>
    <s v="0–2"/>
    <s v=""/>
    <s v=""/>
    <x v="3"/>
    <x v="3"/>
    <s v=""/>
    <s v="Martín Demichelis · 77|Martín Palermo · 89"/>
    <s v=""/>
    <s v="['77&amp;rsquor;|0:1|Martín Demichelis', '89&amp;rsquor;|0:2|Martín Palermo']"/>
    <s v=""/>
    <s v=""/>
    <s v=""/>
    <s v=""/>
    <s v=""/>
    <s v=""/>
    <s v=""/>
    <s v=""/>
    <s v=""/>
    <s v=""/>
    <s v=""/>
    <s v=""/>
    <s v=""/>
    <s v=""/>
    <s v="['30&amp;rsquor;|0:0|Kostas Katsouranis']"/>
    <s v="['76&amp;rsquor;|0:0|Mario Bolatti']"/>
    <s v="['46&amp;rsquor;|0:0|Nikos Spyropoulos|for Giorgos Karagounis', '54&amp;rsquor;|0:0|Sotiris Ninis|for Kostas Katsouranis', '55&amp;rsquor;|0:0|Christos Patsatzoglou|for Vasilis Torosidis']"/>
    <s v="['63&amp;rsquor;|0:0|Ángel Di María|for Maxi Rodríguez', '77&amp;rsquor;|0:0|Javier Pastore|for Sergio Agüero', '80&amp;rsquor;|0:1|Martín Palermo|for Diego Milito']"/>
  </r>
  <r>
    <s v="Portugal"/>
    <s v="Korea DPR"/>
    <n v="7"/>
    <m/>
    <m/>
    <n v="0"/>
    <m/>
    <m/>
    <s v="Carlos Queiroz"/>
    <s v=""/>
    <s v="Kim Jong-hun"/>
    <s v=""/>
    <n v="63644"/>
    <s v="Cape Town Stadium, Cape Town"/>
    <s v=""/>
    <x v="5"/>
    <x v="87"/>
    <s v="7–0"/>
    <s v=""/>
    <s v=""/>
    <x v="3"/>
    <x v="3"/>
    <s v="Raul Meireles · 29|Simão Sabrosa · 53|Hugo Almeida · 56|Tiago Mendes · 60|Liédson · 81|Cristiano Ronaldo · 87|Tiago Mendes · 89"/>
    <s v=""/>
    <s v="['29&amp;rsquor;|1:0|Raul Meireles', '53&amp;rsquor;|2:0|Simão Sabrosa', '56&amp;rsquor;|3:0|Hugo Almeida', '60&amp;rsquor;|4:0|Tiago Mendes', '81&amp;rsquor;|5:0|Liédson', '87&amp;rsquor;|6:0|Cristiano Ronaldo', '89&amp;rsquor;|7:0|Tiago Mendes']"/>
    <s v=""/>
    <s v=""/>
    <s v=""/>
    <s v=""/>
    <s v=""/>
    <s v=""/>
    <s v=""/>
    <s v=""/>
    <s v=""/>
    <s v=""/>
    <s v=""/>
    <s v=""/>
    <s v=""/>
    <s v=""/>
    <s v=""/>
    <s v="['38&amp;rsquor;|1:0|Pedro Mendes', '70&amp;rsquor;|4:0|Hugo Almeida']"/>
    <s v="['32&amp;rsquor;|1:0|Pak Chol-jin', '47&amp;rsquor;|1:0|Hong Yong-jo']"/>
    <s v="['70&amp;rsquor;|4:0|Miguel Veloso|for Raul Meireles', '74&amp;rsquor;|4:0|Duda|for Simão Sabrosa', '77&amp;rsquor;|4:0|Liédson|for Hugo Almeida']"/>
    <s v="['58&amp;rsquor;|3:0|Kim Kum-il|for Pak Nam-chol', '58&amp;rsquor;|3:0|Kim Yong-jun|for Mun In-guk', '75&amp;rsquor;|4:0|Nam Song-chol|for Cha Jong-hyok']"/>
  </r>
  <r>
    <s v="Chile"/>
    <s v="Switzerland"/>
    <n v="1"/>
    <m/>
    <m/>
    <n v="0"/>
    <m/>
    <m/>
    <s v="Marcelo Bielsa"/>
    <s v=""/>
    <s v="Ottmar Hitzfeld"/>
    <s v=""/>
    <n v="34872"/>
    <s v="Nelson Mandela Bay Stadium, Port Elizabeth"/>
    <s v=""/>
    <x v="5"/>
    <x v="87"/>
    <s v="1–0"/>
    <s v=""/>
    <s v=""/>
    <x v="3"/>
    <x v="3"/>
    <s v="Mark González · 75"/>
    <s v=""/>
    <s v="['75&amp;rsquor;|1:0|Mark González']"/>
    <s v=""/>
    <s v=""/>
    <s v=""/>
    <s v=""/>
    <s v=""/>
    <s v=""/>
    <s v=""/>
    <s v=""/>
    <s v=""/>
    <s v=""/>
    <s v=""/>
    <s v=""/>
    <s v=""/>
    <s v=""/>
    <s v=""/>
    <s v="['2&amp;rsquor;|0:0|Humberto Suazo', '22&amp;rsquor;|0:0|Carlos Carmona', '25&amp;rsquor;|0:0|Waldo Ponce', '60&amp;rsquor;|0:0|Matías Fernández', '61&amp;rsquor;|0:0|Gary Medel', '90+2&amp;rsquor;|1:0|Jorge Valdivia']"/>
    <s v="['18&amp;rsquor;|0:0|Blaise Nkufo', '48&amp;rsquor;|0:0|Tranquillo Barnetta', '60&amp;rsquor;|0:0|Gökhan Inler']"/>
    <s v="['46&amp;rsquor;|0:0|Mark González|for Arturo Vidal', '46&amp;rsquor;|0:0|Jorge Valdivia|for Humberto Suazo', '65&amp;rsquor;|0:0|Esteban Paredes|for Matías Fernández']"/>
    <s v="['42&amp;rsquor;|0:0|Tranquillo Barnetta|for Alexander Frei', '68&amp;rsquor;|0:0|Eren Derdiyok|for Blaise Nkufo', '77&amp;rsquor;|1:0|Albert Bunjaku|for Gelson Fernandes']"/>
  </r>
  <r>
    <s v="Spain"/>
    <s v="Honduras"/>
    <n v="2"/>
    <m/>
    <m/>
    <n v="0"/>
    <m/>
    <m/>
    <s v="Vicente del Bosque"/>
    <s v=""/>
    <s v="Reinaldo Rueda"/>
    <s v=""/>
    <n v="54386"/>
    <s v="Emirates Airline Park, Johannesburg"/>
    <s v=""/>
    <x v="5"/>
    <x v="87"/>
    <s v="2–0"/>
    <s v=""/>
    <s v=""/>
    <x v="3"/>
    <x v="3"/>
    <s v="David Villa · 17|David Villa · 51"/>
    <s v=""/>
    <s v="['17&amp;rsquor;|1:0|David Villa', '51&amp;rsquor;|2:0|David Villa']"/>
    <s v=""/>
    <s v=""/>
    <s v=""/>
    <s v=""/>
    <s v=""/>
    <s v=""/>
    <s v=""/>
    <s v=""/>
    <s v=""/>
    <s v=""/>
    <s v=""/>
    <s v=""/>
    <s v=""/>
    <s v=""/>
    <s v=""/>
    <s v=""/>
    <s v="['8&amp;rsquor;|0:0|Danilo Turcios', '38&amp;rsquor;|1:0|Emilio Izaguirre']"/>
    <s v="['66&amp;rsquor;|2:0|Cesc Fàbregas|for Xavi', '70&amp;rsquor;|2:0|Juan Mata|for Fernando Torres', '77&amp;rsquor;|2:0|Álvaro Arbeloa|for Sergio Ramos']"/>
    <s v="['46&amp;rsquor;|1:0|Georgie Welcome|for Roger Espinoza', '63&amp;rsquor;|2:0|Ramón Núñez|for Danilo Turcios', '84&amp;rsquor;|2:0|Jerry Palacios|for David Suazo']"/>
  </r>
  <r>
    <s v="Slovakia"/>
    <s v="Paraguay"/>
    <n v="0"/>
    <m/>
    <m/>
    <n v="2"/>
    <m/>
    <m/>
    <s v="Vladimír Weiss"/>
    <s v=""/>
    <s v="Gerardo Martino"/>
    <s v=""/>
    <n v="26643"/>
    <s v="Toyota Stadium, Bloemfontein"/>
    <s v=""/>
    <x v="5"/>
    <x v="88"/>
    <s v="0–2"/>
    <s v=""/>
    <s v=""/>
    <x v="3"/>
    <x v="3"/>
    <s v=""/>
    <s v="Enrique Vera · 27|Cristian Riveros · 86"/>
    <s v=""/>
    <s v="['27&amp;rsquor;|0:1|Enrique Vera', '86&amp;rsquor;|0:2|Cristian Riveros']"/>
    <s v=""/>
    <s v=""/>
    <s v=""/>
    <s v=""/>
    <s v=""/>
    <s v=""/>
    <s v=""/>
    <s v=""/>
    <s v=""/>
    <s v=""/>
    <s v=""/>
    <s v=""/>
    <s v=""/>
    <s v=""/>
    <s v="['42&amp;rsquor;|0:1|Ján Ďurica', '47&amp;rsquor;|0:1|Stanislav Šesták', '84&amp;rsquor;|0:1|Vladimír Weiss']"/>
    <s v="['45&amp;rsquor;|0:1|Enrique Vera']"/>
    <s v="['70&amp;rsquor;|0:1|Filip Hološko|for Stanislav Šesták', '83&amp;rsquor;|0:1|Miroslav Stoch|for Kornel Saláta']"/>
    <s v="['68&amp;rsquor;|0:1|Aureliano Torres|for Nelson Valdez', '82&amp;rsquor;|0:1|Óscar Cardozo|for Lucas Barrios', '88&amp;rsquor;|0:2|Édgar Barreto|for Enrique Vera']"/>
  </r>
  <r>
    <s v="Italy"/>
    <s v="New Zealand"/>
    <n v="1"/>
    <m/>
    <m/>
    <n v="1"/>
    <m/>
    <m/>
    <s v="Marcello Lippi"/>
    <s v=""/>
    <s v="Ricki Herbert"/>
    <s v=""/>
    <n v="38229"/>
    <s v="Mbombela Stadium, Nelspruit"/>
    <s v=""/>
    <x v="5"/>
    <x v="88"/>
    <s v="1–1"/>
    <s v=""/>
    <s v=""/>
    <x v="3"/>
    <x v="3"/>
    <s v=""/>
    <s v="Shane Smeltz · 7"/>
    <s v=""/>
    <s v="['7&amp;rsquor;|0:1|Shane Smeltz']"/>
    <s v=""/>
    <s v=""/>
    <s v="Vincenzo Iaquinta (P) · 29"/>
    <s v=""/>
    <s v=""/>
    <s v=""/>
    <s v=""/>
    <s v=""/>
    <s v=""/>
    <s v=""/>
    <s v=""/>
    <s v=""/>
    <s v=""/>
    <s v=""/>
    <s v=""/>
    <s v="['14&amp;rsquor;|0:1|Rory Fallon', '28&amp;rsquor;|0:1|Tommy Smith', '87&amp;rsquor;|1:1|Ryan Nelsen']"/>
    <s v="['46&amp;rsquor;|1:1|Mauro Camoranesi|for Simone Pepe', '46&amp;rsquor;|1:1|Antonio Di Natale|for Alberto Gilardino', '61&amp;rsquor;|1:1|Giampaolo Pazzini|for Claudio Marchisio']"/>
    <s v="['63&amp;rsquor;|1:1|Chris Wood|for Rory Fallon', '81&amp;rsquor;|1:1|Jeremy Christie|for Ivan Vicelich', '90&amp;rsquor;|1:1|Andrew Barron|for Chris Killen']"/>
  </r>
  <r>
    <s v="Brazil"/>
    <s v="Côte d'Ivoire"/>
    <n v="3"/>
    <m/>
    <m/>
    <n v="1"/>
    <m/>
    <m/>
    <s v="Dunga"/>
    <s v=""/>
    <s v="Sven-Göran Eriksson"/>
    <s v=""/>
    <n v="84455"/>
    <s v="Soccer City, Johannesburg"/>
    <s v=""/>
    <x v="5"/>
    <x v="88"/>
    <s v="3–1"/>
    <s v=""/>
    <s v=""/>
    <x v="3"/>
    <x v="3"/>
    <s v="Luís Fabiano · 25|Luís Fabiano · 50|Elano · 62"/>
    <s v="Didier Drogba · 79"/>
    <s v="['25&amp;rsquor;|1:0|Luís Fabiano', '50&amp;rsquor;|2:0|Luís Fabiano', '62&amp;rsquor;|3:0|Elano']"/>
    <s v="['79&amp;rsquor;|3:1|Didier Drogba']"/>
    <s v=""/>
    <s v=""/>
    <s v=""/>
    <s v=""/>
    <s v=""/>
    <s v=""/>
    <s v=""/>
    <s v=""/>
    <s v=""/>
    <s v=""/>
    <s v=""/>
    <s v=""/>
    <s v="Kaká · 88"/>
    <s v=""/>
    <s v="['85&amp;rsquor;|3:1|Kaká']"/>
    <s v="['31&amp;rsquor;|1:0|Siaka Tiéné', '86&amp;rsquor;|3:1|Cheick Tioté']"/>
    <s v="['67&amp;rsquor;|3:0|Dani Alves|for Elano', '90&amp;rsquor;|3:1|Ramires|for Robinho']"/>
    <s v="['54&amp;rsquor;|2:0|Gervinho|for Aruna Dindane', '68&amp;rsquor;|3:0|Abdul Kader Keïta|for Salomon Kalou', '72&amp;rsquor;|3:0|Romaric|for Emmanuel Eboué']"/>
  </r>
  <r>
    <s v="Netherlands"/>
    <s v="Japan"/>
    <n v="1"/>
    <m/>
    <m/>
    <n v="0"/>
    <m/>
    <m/>
    <s v="Bert van Marwijk"/>
    <s v=""/>
    <s v="Takeshi Okada"/>
    <s v=""/>
    <n v="62010"/>
    <s v="Moses Mabhida Stadium, Durban"/>
    <s v=""/>
    <x v="5"/>
    <x v="89"/>
    <s v="1–0"/>
    <s v=""/>
    <s v=""/>
    <x v="3"/>
    <x v="3"/>
    <s v="Wesley Sneijder · 53"/>
    <s v=""/>
    <s v="['53&amp;rsquor;|1:0|Wesley Sneijder']"/>
    <s v=""/>
    <s v=""/>
    <s v=""/>
    <s v=""/>
    <s v=""/>
    <s v=""/>
    <s v=""/>
    <s v=""/>
    <s v=""/>
    <s v=""/>
    <s v=""/>
    <s v=""/>
    <s v=""/>
    <s v=""/>
    <s v=""/>
    <s v="['36&amp;rsquor;|0:0|Gregory van der Wiel']"/>
    <s v=""/>
    <s v="['72&amp;rsquor;|1:0|Eljero Elia|for Rafael van der Vaart', '83&amp;rsquor;|1:0|Ibrahim Afellay|for Wesley Sneijder', '88&amp;rsquor;|1:0|Klaas-Jan Huntelaar|for Robin van Persie']"/>
    <s v="['64&amp;rsquor;|1:0|Shunsuke Nakamura|for Daisuke Matsui', '77&amp;rsquor;|1:0|Keiji Tamada|for Yoshito Ōkubo', '77&amp;rsquor;|1:0|Shinji Okazaki|for Makoto Hasebe']"/>
  </r>
  <r>
    <s v="Ghana"/>
    <s v="Australia"/>
    <n v="1"/>
    <m/>
    <m/>
    <n v="1"/>
    <m/>
    <m/>
    <s v="Milovan Rajevac"/>
    <s v=""/>
    <s v="Pim Verbeek"/>
    <s v=""/>
    <n v="34812"/>
    <s v="Royal Bafokeng Stadium, Phokeng"/>
    <s v=""/>
    <x v="5"/>
    <x v="89"/>
    <s v="1–1"/>
    <s v=""/>
    <s v=""/>
    <x v="3"/>
    <x v="3"/>
    <s v=""/>
    <s v="Brett Holman · 11"/>
    <s v=""/>
    <s v="['11&amp;rsquor;|0:1|Brett Holman']"/>
    <s v=""/>
    <s v=""/>
    <s v="Asamoah Gyan (P) · 25"/>
    <s v=""/>
    <s v=""/>
    <s v=""/>
    <s v=""/>
    <s v=""/>
    <s v=""/>
    <s v=""/>
    <s v=""/>
    <s v="Harry Kewell · 24"/>
    <s v=""/>
    <s v=""/>
    <s v="['40&amp;rsquor;|1:1|Lee Addy', '79&amp;rsquor;|1:1|Jonathan Mensah', '84&amp;rsquor;|1:1|Anthony Annan']"/>
    <s v="['85&amp;rsquor;|1:1|Craig Moore']"/>
    <s v="['56&amp;rsquor;|1:1|Quincy Owusu-Abeyie|for Prince Tagoe', '77&amp;rsquor;|1:1|Sulley Muntari|for Kwadwo Asamoah', '87&amp;rsquor;|1:1|Matthew Amoah|for Kevin-Prince Boateng']"/>
    <s v="['66&amp;rsquor;|1:1|Scott Chipperfield|for Mark Bresciano', '68&amp;rsquor;|1:1|Joshua Kennedy|for Brett Holman', '84&amp;rsquor;|1:1|Nikita Rukavytsya|for Luke Wilkshire']"/>
  </r>
  <r>
    <s v="Cameroon"/>
    <s v="Denmark"/>
    <n v="1"/>
    <m/>
    <m/>
    <n v="2"/>
    <m/>
    <m/>
    <s v="Paul Le Guen"/>
    <s v=""/>
    <s v="Morten Olsen"/>
    <s v=""/>
    <n v="38074"/>
    <s v="Loftus Versfeld Stadium, Pretoria"/>
    <s v=""/>
    <x v="5"/>
    <x v="89"/>
    <s v="1–2"/>
    <s v=""/>
    <s v=""/>
    <x v="3"/>
    <x v="3"/>
    <s v="Samuel Eto'o · 10"/>
    <s v="Nicklas Bendtner · 33|Dennis Rommedahl · 61"/>
    <s v="[&quot;10&amp;rsquor;|1:0|Samuel Eto'o&quot;]"/>
    <s v="['33&amp;rsquor;|1:1|Nicklas Bendtner', '61&amp;rsquor;|1:2|Dennis Rommedahl']"/>
    <s v=""/>
    <s v=""/>
    <s v=""/>
    <s v=""/>
    <s v=""/>
    <s v=""/>
    <s v=""/>
    <s v=""/>
    <s v=""/>
    <s v=""/>
    <s v=""/>
    <s v=""/>
    <s v=""/>
    <s v=""/>
    <s v="['49&amp;rsquor;|1:1|Sébastien Bassong', '75&amp;rsquor;|1:2|Stéphane Mbia']"/>
    <s v="['86&amp;rsquor;|1:2|Thomas Sørensen', '87&amp;rsquor;|1:2|Simon Kjær']"/>
    <s v="['46&amp;rsquor;|1:1|Jean Makoun|for Eyong Enoh', '72&amp;rsquor;|1:2|Mohammadou Idrissou|for Sébastien Bassong', '78&amp;rsquor;|1:2|Vincent Aboubakar|for Pierre Webó']"/>
    <s v="['46&amp;rsquor;|1:1|Daniel Jensen|for Martin Jørgensen', '67&amp;rsquor;|1:2|Thomas Kahlenberg|for Jesper Grønkjær', '86&amp;rsquor;|1:2|Jakob Poulsen|for Jon Dahl Tomasson']"/>
  </r>
  <r>
    <s v="Germany"/>
    <s v="Serbia"/>
    <n v="0"/>
    <m/>
    <m/>
    <n v="1"/>
    <m/>
    <m/>
    <s v="Joachim Löw"/>
    <s v=""/>
    <s v="Radomir Antić"/>
    <s v=""/>
    <n v="38294"/>
    <s v="Nelson Mandela Bay Stadium, Port Elizabeth"/>
    <s v=""/>
    <x v="5"/>
    <x v="90"/>
    <s v="0–1"/>
    <s v=""/>
    <s v=""/>
    <x v="3"/>
    <x v="3"/>
    <s v=""/>
    <s v="Milan Jovanović · 38"/>
    <s v=""/>
    <s v="['38&amp;rsquor;|0:1|Milan Jovanović']"/>
    <s v=""/>
    <s v=""/>
    <s v=""/>
    <s v=""/>
    <s v=""/>
    <s v=""/>
    <s v=""/>
    <s v=""/>
    <s v=""/>
    <s v=""/>
    <s v=""/>
    <s v=""/>
    <s v="Miroslav Klose · 37"/>
    <s v=""/>
    <s v="['12&amp;rsquor;|0:0|Miroslav Klose', '22&amp;rsquor;|0:0|Sami Khedira', '32&amp;rsquor;|0:0|Philipp Lahm', '73&amp;rsquor;|0:1|Bastian Schweinsteiger']"/>
    <s v="['18&amp;rsquor;|0:0|Branislav Ivanović', '19&amp;rsquor;|0:0|Aleksandar Kolarov', '57&amp;rsquor;|0:1|Neven Subotić', '59&amp;rsquor;|0:1|Nemanja Vidić']"/>
    <s v="['70&amp;rsquor;|0:1|Marko Marin|for Thomas Müller', '70&amp;rsquor;|0:1|Cacau|for Mesut Özil', '77&amp;rsquor;|0:1|Mario Gómez|for Holger Badstuber']"/>
    <s v="['70&amp;rsquor;|0:1|Gojko Kačar|for Miloš Ninković', '75&amp;rsquor;|0:1|Radosav Petrović|for Zdravko Kuzmanović', '79&amp;rsquor;|0:1|Danko Lazović|for Milan Jovanović']"/>
  </r>
  <r>
    <s v="Slovenia"/>
    <s v="United States"/>
    <n v="2"/>
    <m/>
    <m/>
    <n v="2"/>
    <m/>
    <m/>
    <s v="Matjaž Kek"/>
    <s v=""/>
    <s v="Bob Bradley"/>
    <s v=""/>
    <n v="45573"/>
    <s v="Emirates Airline Park, Johannesburg"/>
    <s v=""/>
    <x v="5"/>
    <x v="90"/>
    <s v="2–2"/>
    <s v=""/>
    <s v=""/>
    <x v="3"/>
    <x v="3"/>
    <s v="Valter Birsa · 13|Zlatan Ljubijankić · 42"/>
    <s v="Landon Donovan · 48|Michael Bradley · 82"/>
    <s v="['13&amp;rsquor;|1:0|Valter Birsa', '42&amp;rsquor;|2:0|Zlatan Ljubijankić']"/>
    <s v="['48&amp;rsquor;|2:1|Landon Donovan', '82&amp;rsquor;|2:2|Michael Bradley']"/>
    <s v=""/>
    <s v=""/>
    <s v=""/>
    <s v=""/>
    <s v=""/>
    <s v=""/>
    <s v=""/>
    <s v=""/>
    <s v=""/>
    <s v=""/>
    <s v=""/>
    <s v=""/>
    <s v=""/>
    <s v=""/>
    <s v="['35&amp;rsquor;|1:0|Boštjan Cesar', '69&amp;rsquor;|2:1|Marko Šuler', '72&amp;rsquor;|2:1|Andraž Kirm', '75&amp;rsquor;|2:1|Bojan Jokić']"/>
    <s v="['40&amp;rsquor;|1:0|Robbie Findley']"/>
    <s v="['74&amp;rsquor;|2:1|Nejc Pečnik|for Zlatan Ljubijankić', '87&amp;rsquor;|2:2|Zlatko Dedić|for Valter Birsa', '90&amp;rsquor;|2:2|Andrej Komac|for Nejc Pečnik']"/>
    <s v="['46&amp;rsquor;|2:0|Maurice Edu|for José Francisco Torres', '46&amp;rsquor;|2:0|Benny Feilhaber|for Robbie Findley', '80&amp;rsquor;|2:1|Hérculez Gómez|for Oguchi Onyewu']"/>
  </r>
  <r>
    <s v="England"/>
    <s v="Algeria"/>
    <n v="0"/>
    <m/>
    <m/>
    <n v="0"/>
    <m/>
    <m/>
    <s v="Fabio Capello"/>
    <s v=""/>
    <s v="Rabah Saâdane"/>
    <s v=""/>
    <n v="64100"/>
    <s v="Cape Town Stadium, Cape Town"/>
    <s v=""/>
    <x v="5"/>
    <x v="90"/>
    <s v="0–0"/>
    <s v=""/>
    <s v=""/>
    <x v="3"/>
    <x v="3"/>
    <s v=""/>
    <s v=""/>
    <s v=""/>
    <s v=""/>
    <s v=""/>
    <s v=""/>
    <s v=""/>
    <s v=""/>
    <s v=""/>
    <s v=""/>
    <s v=""/>
    <s v=""/>
    <s v=""/>
    <s v=""/>
    <s v=""/>
    <s v=""/>
    <s v=""/>
    <s v=""/>
    <s v="['58&amp;rsquor;|0:0|Jamie Carragher']"/>
    <s v="['85&amp;rsquor;|0:0|Mehdi Lacen']"/>
    <s v="['63&amp;rsquor;|0:0|Shaun Wright-Phillips|for Aaron Lennon', '74&amp;rsquor;|0:0|Jermain Defoe|for Emile Heskey', '84&amp;rsquor;|0:0|Peter Crouch|for Gareth Barry']"/>
    <s v="['74&amp;rsquor;|0:0|Djamel Abdoun|for Ryad Boudebouz', '81&amp;rsquor;|0:0|Adlène Guedioura|for Karim Ziani', '88&amp;rsquor;|0:0|Djamel Mesbah|for Hassan Yebda']"/>
  </r>
  <r>
    <s v="Argentina"/>
    <s v="Korea Republic"/>
    <n v="4"/>
    <m/>
    <m/>
    <n v="1"/>
    <m/>
    <m/>
    <s v="Diego Maradona"/>
    <s v=""/>
    <s v="Huh Jung-moo"/>
    <s v=""/>
    <n v="82174"/>
    <s v="Soccer City, Johannesburg"/>
    <s v=""/>
    <x v="5"/>
    <x v="91"/>
    <s v="4–1"/>
    <s v=""/>
    <s v=""/>
    <x v="3"/>
    <x v="3"/>
    <s v="Gonzalo Higuaín · 33|Gonzalo Higuaín · 76|Gonzalo Higuaín · 80"/>
    <s v="Lee Chung-yong · 45+1"/>
    <s v="['33&amp;rsquor;|2:0|Gonzalo Higuaín', '76&amp;rsquor;|3:1|Gonzalo Higuaín', '80&amp;rsquor;|4:1|Gonzalo Higuaín']"/>
    <s v="['45+1&amp;rsquor;|2:1|Lee Chung-yong']"/>
    <s v="Park Chu-young (OG) · 17"/>
    <s v=""/>
    <s v=""/>
    <s v=""/>
    <s v=""/>
    <s v=""/>
    <s v=""/>
    <s v=""/>
    <s v=""/>
    <s v=""/>
    <s v=""/>
    <s v=""/>
    <s v=""/>
    <s v=""/>
    <s v="['54&amp;rsquor;|2:1|Jonás Gutiérrez', '55&amp;rsquor;|2:1|Javier Mascherano', '74&amp;rsquor;|2:1|Gabriel Heinze']"/>
    <s v="['10&amp;rsquor;|0:0|Yeom Ki-hun', '34&amp;rsquor;|2:0|Lee Chung-yong']"/>
    <s v="['23&amp;rsquor;|1:0|Nicolás Burdisso|for Walter Samuel', '75&amp;rsquor;|2:1|Sergio Agüero|for Carlos Tevez', '82&amp;rsquor;|4:1|Mario Bolatti|for Gonzalo Higuaín']"/>
    <s v="['46&amp;rsquor;|2:1|Kim Nam-il|for Ki Sung-yueng', '81&amp;rsquor;|4:1|Lee Dong-gook|for Park Chu-young']"/>
  </r>
  <r>
    <s v="Greece"/>
    <s v="Nigeria"/>
    <n v="2"/>
    <m/>
    <m/>
    <n v="1"/>
    <m/>
    <m/>
    <s v="Otto Rehhagel"/>
    <s v=""/>
    <s v="Lars Lagerbäck"/>
    <s v=""/>
    <n v="31593"/>
    <s v="Toyota Stadium, Bloemfontein"/>
    <s v=""/>
    <x v="5"/>
    <x v="91"/>
    <s v="2–1"/>
    <s v=""/>
    <s v=""/>
    <x v="3"/>
    <x v="3"/>
    <s v="Dimitris Salpingidis · 44|Vasilis Torosidis · 71"/>
    <s v="Kalu Uche · 16"/>
    <s v="['44&amp;rsquor;|1:1|Dimitris Salpingidis', '71&amp;rsquor;|2:1|Vasilis Torosidis']"/>
    <s v="['16&amp;rsquor;|0:1|Kalu Uche']"/>
    <s v=""/>
    <s v=""/>
    <s v=""/>
    <s v=""/>
    <s v=""/>
    <s v=""/>
    <s v=""/>
    <s v=""/>
    <s v=""/>
    <s v=""/>
    <s v=""/>
    <s v=""/>
    <s v=""/>
    <s v=""/>
    <s v="['15&amp;rsquor;|0:0|Sokratis Papastathopoulos', '59&amp;rsquor;|1:1|Alexandros Tziolis', '88&amp;rsquor;|2:1|Georgios Samaras']"/>
    <s v="['33&amp;rsquor;|0:1|Sani Kaita']"/>
    <s v="['37&amp;rsquor;|0:1|Georgios Samaras|for Sokratis Papastathopoulos', '79&amp;rsquor;|2:1|Sotiris Ninis|for Theofanis Gekas']"/>
    <s v="['46&amp;rsquor;|1:1|Chinedu Obasi|for Peter Odemwingie', '55&amp;rsquor;|1:1|Elderson Echiéjilé|for Taye Taiwo', '77&amp;rsquor;|2:1|Rabiu Afolabi|for Elderson Echiéjilé']"/>
  </r>
  <r>
    <s v="France"/>
    <s v="Mexico"/>
    <n v="0"/>
    <m/>
    <m/>
    <n v="2"/>
    <m/>
    <m/>
    <s v="Raymond Domenech"/>
    <s v=""/>
    <s v="Javier Aguirre"/>
    <s v=""/>
    <n v="35370"/>
    <s v="Peter Mokaba Stadium, Polokwane"/>
    <s v=""/>
    <x v="5"/>
    <x v="91"/>
    <s v="0–2"/>
    <s v=""/>
    <s v=""/>
    <x v="3"/>
    <x v="3"/>
    <s v=""/>
    <s v="Javier Hernández · 64"/>
    <s v=""/>
    <s v="['64&amp;rsquor;|0:1|Javier Hernández']"/>
    <s v=""/>
    <s v=""/>
    <s v=""/>
    <s v="Cuauhtémoc Blanco (P) · 79"/>
    <s v=""/>
    <s v=""/>
    <s v=""/>
    <s v=""/>
    <s v=""/>
    <s v=""/>
    <s v=""/>
    <s v=""/>
    <s v=""/>
    <s v=""/>
    <s v="['45+1&amp;rsquor;|0:0|Jérémy Toulalan', '78&amp;rsquor;|0:1|Éric Abidal']"/>
    <s v="['4&amp;rsquor;|0:0|Guillermo Franco', '48&amp;rsquor;|0:0|Efraín Juárez', '49&amp;rsquor;|0:0|Héctor Moreno', '82&amp;rsquor;|0:2|Francisco Javier Rodríguez']"/>
    <s v="['46&amp;rsquor;|0:0|André-Pierre Gignac|for Nicolas Anelka', '69&amp;rsquor;|0:1|Mathieu Valbuena|for Sidney Govou']"/>
    <s v="['31&amp;rsquor;|0:0|Pablo Barrera|for Carlos Vela', '55&amp;rsquor;|0:0|Javier Hernández|for Efraín Juárez', '62&amp;rsquor;|0:0|Cuauhtémoc Blanco|for Guillermo Franco']"/>
  </r>
  <r>
    <s v="Honduras"/>
    <s v="Chile"/>
    <n v="0"/>
    <m/>
    <m/>
    <n v="1"/>
    <m/>
    <m/>
    <s v="Reinaldo Rueda"/>
    <s v=""/>
    <s v="Marcelo Bielsa"/>
    <s v=""/>
    <n v="32664"/>
    <s v="Mbombela Stadium, Nelspruit"/>
    <s v=""/>
    <x v="5"/>
    <x v="92"/>
    <s v="0–1"/>
    <s v=""/>
    <s v=""/>
    <x v="3"/>
    <x v="3"/>
    <s v=""/>
    <s v="Jean Beausejour · 34"/>
    <s v=""/>
    <s v="['34&amp;rsquor;|0:1|Jean Beausejour']"/>
    <s v=""/>
    <s v=""/>
    <s v=""/>
    <s v=""/>
    <s v=""/>
    <s v=""/>
    <s v=""/>
    <s v=""/>
    <s v=""/>
    <s v=""/>
    <s v=""/>
    <s v=""/>
    <s v=""/>
    <s v=""/>
    <s v="['33&amp;rsquor;|0:0|Wilson Palacios']"/>
    <s v="['4&amp;rsquor;|0:0|Carlos Carmona', '19&amp;rsquor;|0:0|Matías Fernández']"/>
    <s v="['60&amp;rsquor;|0:1|Georgie Welcome|for Carlos Pavón', '66&amp;rsquor;|0:1|Hendry Thomas|for Amado Guevara', '78&amp;rsquor;|0:1|Walter Martínez|for Ramón Núñez']"/>
    <s v="['52&amp;rsquor;|0:1|Gonzalo Jara|for Rodrigo Millar', '81&amp;rsquor;|0:1|Pablo Contreras|for Arturo Vidal', '87&amp;rsquor;|0:1|Mark González|for Jorge Valdivia']"/>
  </r>
  <r>
    <s v="Spain"/>
    <s v="Switzerland"/>
    <n v="0"/>
    <m/>
    <m/>
    <n v="1"/>
    <m/>
    <m/>
    <s v="Vicente del Bosque"/>
    <s v=""/>
    <s v="Ottmar Hitzfeld"/>
    <s v=""/>
    <n v="62453"/>
    <s v="Moses Mabhida Stadium, Durban"/>
    <s v=""/>
    <x v="5"/>
    <x v="92"/>
    <s v="0–1"/>
    <s v=""/>
    <s v=""/>
    <x v="3"/>
    <x v="3"/>
    <s v=""/>
    <s v="Gelson Fernandes · 52"/>
    <s v=""/>
    <s v="['52&amp;rsquor;|0:1|Gelson Fernandes']"/>
    <s v=""/>
    <s v=""/>
    <s v=""/>
    <s v=""/>
    <s v=""/>
    <s v=""/>
    <s v=""/>
    <s v=""/>
    <s v=""/>
    <s v=""/>
    <s v=""/>
    <s v=""/>
    <s v=""/>
    <s v=""/>
    <s v=""/>
    <s v="['30&amp;rsquor;|0:0|Stéphane Grichting', '73&amp;rsquor;|0:1|Reto Ziegler', '90+1&amp;rsquor;|0:1|Diego Benaglio', '90+4&amp;rsquor;|0:1|Hakan Yakin']"/>
    <s v="['61&amp;rsquor;|0:1|Fernando Torres|for Sergio Busquets', '62&amp;rsquor;|0:1|Jesús Navas|for David Silva', '77&amp;rsquor;|0:1|Pedro|for Andrés Iniesta']"/>
    <s v="['36&amp;rsquor;|0:0|Steve von Bergen|for Philippe Senderos', '79&amp;rsquor;|0:1|Hakan Yakin|for Eren Derdiyok', '90&amp;rsquor;|0:1|Mario Eggimann|for Tranquillo Barnetta']"/>
  </r>
  <r>
    <s v="South Africa"/>
    <s v="Uruguay"/>
    <n v="0"/>
    <m/>
    <m/>
    <n v="3"/>
    <m/>
    <m/>
    <s v="Carlos Alberto Parreira"/>
    <s v=""/>
    <s v="Óscar Tabárez"/>
    <s v=""/>
    <n v="42658"/>
    <s v="Loftus Versfeld Stadium, Pretoria"/>
    <s v=""/>
    <x v="5"/>
    <x v="92"/>
    <s v="0–3"/>
    <s v=""/>
    <s v=""/>
    <x v="3"/>
    <x v="3"/>
    <s v=""/>
    <s v="Diego Forlán · 24|Álvaro Pereira · 90+5"/>
    <s v=""/>
    <s v="['24&amp;rsquor;|0:1|Diego Forlán', '90+5&amp;rsquor;|0:3|Álvaro Pereira']"/>
    <s v=""/>
    <s v=""/>
    <s v=""/>
    <s v="Diego Forlán (P) · 80"/>
    <s v=""/>
    <s v=""/>
    <s v=""/>
    <s v=""/>
    <s v=""/>
    <s v=""/>
    <s v=""/>
    <s v=""/>
    <s v=""/>
    <s v=""/>
    <s v="['6&amp;rsquor;|0:0|Steven Pienaar', '42&amp;rsquor;|0:1|Kagisho Dikgacoi', '76&amp;rsquor;|0:1|Itumeleng Khune']"/>
    <s v=""/>
    <s v="['57&amp;rsquor;|0:1|Surprise Moriri|for Reneilwe Letsholonyane', '79&amp;rsquor;|0:1|Moeneeb Josephs|for Steven Pienaar']"/>
    <s v="['71&amp;rsquor;|0:1|Álvaro Fernández|for Jorge Fucile', '89&amp;rsquor;|0:2|Seba Fernández|for Edinson Cavani', '90&amp;rsquor;|0:2|Walter Gargano|for Diego Pérez']"/>
  </r>
  <r>
    <s v="New Zealand"/>
    <s v="Slovakia"/>
    <n v="1"/>
    <m/>
    <m/>
    <n v="1"/>
    <m/>
    <m/>
    <s v="Ricki Herbert"/>
    <s v=""/>
    <s v="Vladimír Weiss"/>
    <s v=""/>
    <n v="23871"/>
    <s v="Royal Bafokeng Stadium, Phokeng"/>
    <s v=""/>
    <x v="5"/>
    <x v="93"/>
    <s v="1–1"/>
    <s v=""/>
    <s v=""/>
    <x v="3"/>
    <x v="3"/>
    <s v="Winston Reid · 90+3"/>
    <s v="Róbert Vittek · 50"/>
    <s v="['90+3&amp;rsquor;|1:1|Winston Reid']"/>
    <s v="['50&amp;rsquor;|0:1|Róbert Vittek']"/>
    <s v=""/>
    <s v=""/>
    <s v=""/>
    <s v=""/>
    <s v=""/>
    <s v=""/>
    <s v=""/>
    <s v=""/>
    <s v=""/>
    <s v=""/>
    <s v=""/>
    <s v=""/>
    <s v=""/>
    <s v=""/>
    <s v="['42&amp;rsquor;|0:0|Tony Lochhead', '90+3&amp;rsquor;|1:1|Winston Reid']"/>
    <s v="['55&amp;rsquor;|0:1|Zdeno Štrba']"/>
    <s v="['72&amp;rsquor;|0:1|Chris Wood|for Chris Killen', '78&amp;rsquor;|0:1|Jeremy Christie|for Ivan Vicelich']"/>
    <s v="['81&amp;rsquor;|0:1|Filip Hološko|for Stanislav Šesták', '84&amp;rsquor;|0:1|Miroslav Stoch|for Róbert Vittek', '90+1&amp;rsquor;|0:1|Juraj Kucka|for Vladimír Weiss']"/>
  </r>
  <r>
    <s v="Côte d'Ivoire"/>
    <s v="Portugal"/>
    <n v="0"/>
    <m/>
    <m/>
    <n v="0"/>
    <m/>
    <m/>
    <s v="Sven-Göran Eriksson"/>
    <s v=""/>
    <s v="Carlos Queiroz"/>
    <s v=""/>
    <n v="37034"/>
    <s v="Nelson Mandela Bay Stadium, Port Elizabeth"/>
    <s v=""/>
    <x v="5"/>
    <x v="93"/>
    <s v="0–0"/>
    <s v=""/>
    <s v=""/>
    <x v="3"/>
    <x v="3"/>
    <s v=""/>
    <s v=""/>
    <s v=""/>
    <s v=""/>
    <s v=""/>
    <s v=""/>
    <s v=""/>
    <s v=""/>
    <s v=""/>
    <s v=""/>
    <s v=""/>
    <s v=""/>
    <s v=""/>
    <s v=""/>
    <s v=""/>
    <s v=""/>
    <s v=""/>
    <s v=""/>
    <s v="['7&amp;rsquor;|0:0|Didier Zokora', '21&amp;rsquor;|0:0|Guy Demel']"/>
    <s v="['21&amp;rsquor;|0:0|Cristiano Ronaldo']"/>
    <s v="['66&amp;rsquor;|0:0|Didier Drogba|for Salomon Kalou', '82&amp;rsquor;|0:0|Abdul Kader Keïta|for Gervinho', '89&amp;rsquor;|0:0|Romaric|for Emmanuel Eboué']"/>
    <s v="['55&amp;rsquor;|0:0|Simão Sabrosa|for Danny', '62&amp;rsquor;|0:0|Tiago Mendes|for Deco', '85&amp;rsquor;|0:0|Rúben Amorim|for Raul Meireles']"/>
  </r>
  <r>
    <s v="Brazil"/>
    <s v="Korea DPR"/>
    <n v="2"/>
    <m/>
    <m/>
    <n v="1"/>
    <m/>
    <m/>
    <s v="Dunga"/>
    <s v=""/>
    <s v="Kim Jong-hun"/>
    <s v=""/>
    <n v="54331"/>
    <s v="Emirates Airline Park, Johannesburg"/>
    <s v=""/>
    <x v="5"/>
    <x v="93"/>
    <s v="2–1"/>
    <s v=""/>
    <s v=""/>
    <x v="3"/>
    <x v="3"/>
    <s v="Maicon Sisenando · 55|Elano · 72"/>
    <s v="Ji Yun-nam · 89"/>
    <s v="['55&amp;rsquor;|1:0|Maicon Sisenando', '72&amp;rsquor;|2:0|Elano']"/>
    <s v="['89&amp;rsquor;|2:1|Ji Yun-nam']"/>
    <s v=""/>
    <s v=""/>
    <s v=""/>
    <s v=""/>
    <s v=""/>
    <s v=""/>
    <s v=""/>
    <s v=""/>
    <s v=""/>
    <s v=""/>
    <s v=""/>
    <s v=""/>
    <s v=""/>
    <s v=""/>
    <s v="['88&amp;rsquor;|2:0|Ramires']"/>
    <s v=""/>
    <s v="['73&amp;rsquor;|2:0|Dani Alves|for Elano', '78&amp;rsquor;|2:0|Nilmar|for Kaká', '84&amp;rsquor;|2:0|Ramires|for Felipe Melo']"/>
    <s v="['80&amp;rsquor;|2:0|Kim Kum-il|for Mun In-guk']"/>
  </r>
  <r>
    <s v="Netherlands"/>
    <s v="Denmark"/>
    <n v="2"/>
    <m/>
    <m/>
    <n v="0"/>
    <m/>
    <m/>
    <s v="Bert van Marwijk"/>
    <s v=""/>
    <s v="Morten Olsen"/>
    <s v=""/>
    <n v="83465"/>
    <s v="Soccer City, Johannesburg"/>
    <s v=""/>
    <x v="5"/>
    <x v="94"/>
    <s v="2–0"/>
    <s v=""/>
    <s v=""/>
    <x v="3"/>
    <x v="3"/>
    <s v="Dirk Kuyt · 85"/>
    <s v=""/>
    <s v="['85&amp;rsquor;|2:0|Dirk Kuyt']"/>
    <s v=""/>
    <s v="Daniel Agger (OG) · 46"/>
    <s v=""/>
    <s v=""/>
    <s v=""/>
    <s v=""/>
    <s v=""/>
    <s v=""/>
    <s v=""/>
    <s v=""/>
    <s v=""/>
    <s v=""/>
    <s v=""/>
    <s v=""/>
    <s v=""/>
    <s v="['44&amp;rsquor;|0:0|Nigel de Jong', '49&amp;rsquor;|1:0|Robin van Persie']"/>
    <s v="['63&amp;rsquor;|1:0|Simon Kjær']"/>
    <s v="['67&amp;rsquor;|1:0|Eljero Elia|for Rafael van der Vaart', '77&amp;rsquor;|1:0|Ibrahim Afellay|for Robin van Persie', '88&amp;rsquor;|2:0|Demy de Zeeuw|for Nigel de Jong']"/>
    <s v="['56&amp;rsquor;|1:0|Jesper Grønkjær|for Thomas Enevoldsen', '62&amp;rsquor;|1:0|Mikkel Beckmann|for Nicklas Bendtner', '73&amp;rsquor;|1:0|Christian Eriksen|for Thomas Kahlenberg']"/>
  </r>
  <r>
    <s v="Japan"/>
    <s v="Cameroon"/>
    <n v="1"/>
    <m/>
    <m/>
    <n v="0"/>
    <m/>
    <m/>
    <s v="Takeshi Okada"/>
    <s v=""/>
    <s v="Paul Le Guen"/>
    <s v=""/>
    <n v="30620"/>
    <s v="Toyota Stadium, Bloemfontein"/>
    <s v=""/>
    <x v="5"/>
    <x v="94"/>
    <s v="1–0"/>
    <s v=""/>
    <s v=""/>
    <x v="3"/>
    <x v="3"/>
    <s v="Keisuke Honda · 39"/>
    <s v=""/>
    <s v="['39&amp;rsquor;|1:0|Keisuke Honda']"/>
    <s v=""/>
    <s v=""/>
    <s v=""/>
    <s v=""/>
    <s v=""/>
    <s v=""/>
    <s v=""/>
    <s v=""/>
    <s v=""/>
    <s v=""/>
    <s v=""/>
    <s v=""/>
    <s v=""/>
    <s v=""/>
    <s v=""/>
    <s v="['90+1&amp;rsquor;|1:0|Yuki Abe']"/>
    <s v="['72&amp;rsquor;|1:0|Nicolas Nkoulou']"/>
    <s v="['69&amp;rsquor;|1:0|Shinji Okazaki|for Daisuke Matsui', '82&amp;rsquor;|1:0|Kisho Yano|for Yoshito Ōkubo', '88&amp;rsquor;|1:0|Junichi Inamoto|for Makoto Hasebe']"/>
    <s v="['63&amp;rsquor;|1:0|Achille Emaná|for Joël Matip', '75&amp;rsquor;|1:0|Geremi|for Jean Makoun', '75&amp;rsquor;|1:0|Mohammadou Idrissou|for Eric Maxim Choupo-Moting']"/>
  </r>
  <r>
    <s v="Italy"/>
    <s v="Paraguay"/>
    <n v="1"/>
    <m/>
    <m/>
    <n v="1"/>
    <m/>
    <m/>
    <s v="Marcello Lippi"/>
    <s v=""/>
    <s v="Gerardo Martino"/>
    <s v=""/>
    <n v="62869"/>
    <s v="Cape Town Stadium, Cape Town"/>
    <s v=""/>
    <x v="5"/>
    <x v="94"/>
    <s v="1–1"/>
    <s v=""/>
    <s v=""/>
    <x v="3"/>
    <x v="3"/>
    <s v="Daniele De Rossi · 63"/>
    <s v="Antolín Alcaraz · 39"/>
    <s v="['63&amp;rsquor;|1:1|Daniele De Rossi']"/>
    <s v="['39&amp;rsquor;|0:1|Antolín Alcaraz']"/>
    <s v=""/>
    <s v=""/>
    <s v=""/>
    <s v=""/>
    <s v=""/>
    <s v=""/>
    <s v=""/>
    <s v=""/>
    <s v=""/>
    <s v=""/>
    <s v=""/>
    <s v=""/>
    <s v=""/>
    <s v=""/>
    <s v="['70&amp;rsquor;|1:1|Mauro Camoranesi']"/>
    <s v="['62&amp;rsquor;|0:1|Víctor Cáceres']"/>
    <s v="['46&amp;rsquor;|0:1|Federico Marchetti|for Gianluigi Buffon', '59&amp;rsquor;|0:1|Mauro Camoranesi|for Claudio Marchisio', '72&amp;rsquor;|1:1|Antonio Di Natale|for Alberto Gilardino']"/>
    <s v="['60&amp;rsquor;|0:1|Jonathan Santana|for Aureliano Torres', '68&amp;rsquor;|1:1|Roque Santa Cruz|for Nelson Valdez', '76&amp;rsquor;|1:1|Óscar Cardozo|for Lucas Barrios']"/>
  </r>
  <r>
    <s v="Algeria"/>
    <s v="Slovenia"/>
    <n v="0"/>
    <m/>
    <m/>
    <n v="1"/>
    <m/>
    <m/>
    <s v="Rabah Saâdane"/>
    <s v=""/>
    <s v="Matjaž Kek"/>
    <s v=""/>
    <n v="30325"/>
    <s v="Peter Mokaba Stadium, Polokwane"/>
    <s v=""/>
    <x v="5"/>
    <x v="95"/>
    <s v="0–1"/>
    <s v=""/>
    <s v=""/>
    <x v="3"/>
    <x v="3"/>
    <s v=""/>
    <s v="Robert Koren · 79"/>
    <s v=""/>
    <s v="['79&amp;rsquor;|0:1|Robert Koren']"/>
    <s v=""/>
    <s v=""/>
    <s v=""/>
    <s v=""/>
    <s v=""/>
    <s v=""/>
    <s v=""/>
    <s v=""/>
    <s v=""/>
    <s v=""/>
    <s v=""/>
    <s v=""/>
    <s v="Abdelkader Ghezzal · 73"/>
    <s v=""/>
    <s v="['59&amp;rsquor;|0:0|Abdelkader Ghezzal', '90+5&amp;rsquor;|0:1|Hassan Yebda']"/>
    <s v="['35&amp;rsquor;|0:0|Aleksandar Radosavljević']"/>
    <s v="['58&amp;rsquor;|0:0|Abdelkader Ghezzal|for Ryad Boudebouz', '81&amp;rsquor;|0:1|Rafik Saïfi|for Karim Matmour', '82&amp;rsquor;|0:1|Adlène Guedioura|for Foued Kadir']"/>
    <s v="['53&amp;rsquor;|0:0|Zlatan Ljubijankić|for Zlatko Dedić', '84&amp;rsquor;|0:1|Nejc Pečnik|for Valter Birsa', '87&amp;rsquor;|0:1|Andrej Komac|for Aleksandar Radosavljević']"/>
  </r>
  <r>
    <s v="Serbia"/>
    <s v="Ghana"/>
    <n v="0"/>
    <m/>
    <m/>
    <n v="1"/>
    <m/>
    <m/>
    <s v="Radomir Antić"/>
    <s v=""/>
    <s v="Milovan Rajevac"/>
    <s v=""/>
    <n v="38833"/>
    <s v="Loftus Versfeld Stadium, Pretoria"/>
    <s v=""/>
    <x v="5"/>
    <x v="95"/>
    <s v="0–1"/>
    <s v=""/>
    <s v=""/>
    <x v="3"/>
    <x v="3"/>
    <s v=""/>
    <s v=""/>
    <s v=""/>
    <s v=""/>
    <s v=""/>
    <s v=""/>
    <s v=""/>
    <s v="Asamoah Gyan (P) · 85"/>
    <s v=""/>
    <s v=""/>
    <s v=""/>
    <s v=""/>
    <s v=""/>
    <s v=""/>
    <s v=""/>
    <s v=""/>
    <s v="Aleksandar Luković · 74"/>
    <s v=""/>
    <s v="['19&amp;rsquor;|0:0|Nikola Žigić', '54&amp;rsquor;|0:0|Aleksandar Luković']"/>
    <s v="['26&amp;rsquor;|0:0|Isaac Vorsah', '89&amp;rsquor;|0:1|Prince Tagoe']"/>
    <s v="['62&amp;rsquor;|0:0|Zdravko Kuzmanović|for Nenad Milijaš', '69&amp;rsquor;|0:0|Danko Lazović|for Nikola Žigić', '76&amp;rsquor;|0:0|Neven Subotić|for Milan Jovanović']"/>
    <s v="['73&amp;rsquor;|0:0|Stephen Appiah|for Kwadwo Asamoah', '90&amp;rsquor;|0:1|Quincy Owusu-Abeyie|for Asamoah Gyan', '90&amp;rsquor;|0:1|Lee Addy|for Kevin-Prince Boateng']"/>
  </r>
  <r>
    <s v="Germany"/>
    <s v="Australia"/>
    <n v="4"/>
    <m/>
    <m/>
    <n v="0"/>
    <m/>
    <m/>
    <s v="Joachim Löw"/>
    <s v=""/>
    <s v="Pim Verbeek"/>
    <s v=""/>
    <n v="62660"/>
    <s v="Moses Mabhida Stadium, Durban"/>
    <s v=""/>
    <x v="5"/>
    <x v="95"/>
    <s v="4–0"/>
    <s v=""/>
    <s v=""/>
    <x v="3"/>
    <x v="3"/>
    <s v="Lukas Podolski · 8|Miroslav Klose · 26|Thomas Müller · 68|Cacau · 70"/>
    <s v=""/>
    <s v="['8&amp;rsquor;|1:0|Lukas Podolski', '26&amp;rsquor;|2:0|Miroslav Klose', '68&amp;rsquor;|3:0|Thomas Müller', '70&amp;rsquor;|4:0|Cacau']"/>
    <s v=""/>
    <s v=""/>
    <s v=""/>
    <s v=""/>
    <s v=""/>
    <s v=""/>
    <s v=""/>
    <s v=""/>
    <s v=""/>
    <s v=""/>
    <s v=""/>
    <s v=""/>
    <s v="Tim Cahill · 56"/>
    <s v=""/>
    <s v=""/>
    <s v="['12&amp;rsquor;|1:0|Mesut Özil']"/>
    <s v="['24&amp;rsquor;|1:0|Craig Moore', '46&amp;rsquor;|2:0|Lucas Neill', '58&amp;rsquor;|2:0|Carl Valeri']"/>
    <s v="['68&amp;rsquor;|2:0|Cacau|for Miroslav Klose', '74&amp;rsquor;|4:0|Mario Gómez|for Mesut Özil', '81&amp;rsquor;|4:0|Marko Marin|for Lukas Podolski']"/>
    <s v="['46&amp;rsquor;|2:0|Brett Holman|for Vince Grella', '64&amp;rsquor;|2:0|Nikita Rukavytsya|for Richard Garcia', '74&amp;rsquor;|4:0|Mile Jedinak|for Brett Emerton']"/>
  </r>
  <r>
    <s v="Korea Republic"/>
    <s v="Greece"/>
    <n v="2"/>
    <m/>
    <m/>
    <n v="0"/>
    <m/>
    <m/>
    <s v="Huh Jung-moo"/>
    <s v=""/>
    <s v="Otto Rehhagel"/>
    <s v=""/>
    <n v="31513"/>
    <s v="Nelson Mandela Bay Stadium, Port Elizabeth"/>
    <s v=""/>
    <x v="5"/>
    <x v="96"/>
    <s v="2–0"/>
    <s v=""/>
    <s v=""/>
    <x v="3"/>
    <x v="3"/>
    <s v="Lee Jung-soo · 7|Park Ji-sung · 52"/>
    <s v=""/>
    <s v="['7&amp;rsquor;|1:0|Lee Jung-soo', '52&amp;rsquor;|2:0|Park Ji-sung']"/>
    <s v=""/>
    <s v=""/>
    <s v=""/>
    <s v=""/>
    <s v=""/>
    <s v=""/>
    <s v=""/>
    <s v=""/>
    <s v=""/>
    <s v=""/>
    <s v=""/>
    <s v=""/>
    <s v=""/>
    <s v=""/>
    <s v=""/>
    <s v=""/>
    <s v="['56&amp;rsquor;|2:0|Vasilis Torosidis']"/>
    <s v="['74&amp;rsquor;|2:0|Kim Nam-il|for Ki Sung-yueng', '87&amp;rsquor;|2:0|Lee Seung-yeoul|for Park Chu-young', '90&amp;rsquor;|2:0|Kim Jae-sung|for Lee Chung-yong']"/>
    <s v="['46&amp;rsquor;|1:0|Christos Patsatzoglou|for Giorgos Karagounis', '59&amp;rsquor;|2:0|Dimitris Salpingidis|for Georgios Samaras', '61&amp;rsquor;|2:0|Pantelis Kapetanos|for Angelos Charisteas']"/>
  </r>
  <r>
    <s v="Argentina"/>
    <s v="Nigeria"/>
    <n v="1"/>
    <m/>
    <m/>
    <n v="0"/>
    <m/>
    <m/>
    <s v="Diego Maradona"/>
    <s v=""/>
    <s v="Lars Lagerbäck"/>
    <s v=""/>
    <n v="55686"/>
    <s v="Emirates Airline Park, Johannesburg"/>
    <s v=""/>
    <x v="5"/>
    <x v="96"/>
    <s v="1–0"/>
    <s v=""/>
    <s v=""/>
    <x v="3"/>
    <x v="3"/>
    <s v="Gabriel Heinze · 6"/>
    <s v=""/>
    <s v="['6&amp;rsquor;|1:0|Gabriel Heinze']"/>
    <s v=""/>
    <s v=""/>
    <s v=""/>
    <s v=""/>
    <s v=""/>
    <s v=""/>
    <s v=""/>
    <s v=""/>
    <s v=""/>
    <s v=""/>
    <s v=""/>
    <s v=""/>
    <s v=""/>
    <s v=""/>
    <s v=""/>
    <s v="['41&amp;rsquor;|1:0|Jonás Gutiérrez']"/>
    <s v="['77&amp;rsquor;|1:0|Lukman Haruna']"/>
    <s v="['74&amp;rsquor;|1:0|Maxi Rodríguez|for Juan Sebastián Verón', '79&amp;rsquor;|1:0|Diego Milito|for Gonzalo Higuaín', '85&amp;rsquor;|1:0|Nicolás Burdisso|for Ángel Di María']"/>
    <s v="['52&amp;rsquor;|1:0|Obafemi Martins|for Victor Obinna', '60&amp;rsquor;|1:0|Peter Odemwingie|for Chinedu Obasi', '75&amp;rsquor;|1:0|Kalu Uche|for Taye Taiwo']"/>
  </r>
  <r>
    <s v="England"/>
    <s v="United States"/>
    <n v="1"/>
    <m/>
    <m/>
    <n v="1"/>
    <m/>
    <m/>
    <s v="Fabio Capello"/>
    <s v=""/>
    <s v="Bob Bradley"/>
    <s v=""/>
    <n v="38646"/>
    <s v="Royal Bafokeng Stadium, Phokeng"/>
    <s v=""/>
    <x v="5"/>
    <x v="96"/>
    <s v="1–1"/>
    <s v=""/>
    <s v=""/>
    <x v="3"/>
    <x v="3"/>
    <s v="Steven Gerrard · 4"/>
    <s v="Clint Dempsey · 40"/>
    <s v="['4&amp;rsquor;|1:0|Steven Gerrard']"/>
    <s v="['40&amp;rsquor;|1:1|Clint Dempsey']"/>
    <s v=""/>
    <s v=""/>
    <s v=""/>
    <s v=""/>
    <s v=""/>
    <s v=""/>
    <s v=""/>
    <s v=""/>
    <s v=""/>
    <s v=""/>
    <s v=""/>
    <s v=""/>
    <s v=""/>
    <s v=""/>
    <s v="['26&amp;rsquor;|1:0|James Milner', '61&amp;rsquor;|1:1|Steven Gerrard']"/>
    <s v="['39&amp;rsquor;|1:0|Steve Cherundolo', '47&amp;rsquor;|1:1|Jay DeMerit', '74&amp;rsquor;|1:1|Robbie Findley']"/>
    <s v="['31&amp;rsquor;|1:0|Shaun Wright-Phillips|for James Milner', '46&amp;rsquor;|1:1|Jamie Carragher|for Ledley King', '79&amp;rsquor;|1:1|Peter Crouch|for Emile Heskey']"/>
    <s v="['77&amp;rsquor;|1:1|Edson Buddle|for Robbie Findley', '86&amp;rsquor;|1:1|Stuart Holden|for Jozy Altidore']"/>
  </r>
  <r>
    <s v="South Africa"/>
    <s v="Mexico"/>
    <n v="1"/>
    <m/>
    <m/>
    <n v="1"/>
    <m/>
    <m/>
    <s v="Carlos Alberto Parreira"/>
    <s v=""/>
    <s v="Javier Aguirre"/>
    <s v=""/>
    <n v="84490"/>
    <s v="Soccer City, Johannesburg"/>
    <s v=""/>
    <x v="5"/>
    <x v="97"/>
    <s v="1–1"/>
    <s v=""/>
    <s v=""/>
    <x v="3"/>
    <x v="3"/>
    <s v="Siphiwe Tshabalala · 55"/>
    <s v="Rafael Márquez · 79"/>
    <s v="['55&amp;rsquor;|1:0|Siphiwe Tshabalala']"/>
    <s v="['79&amp;rsquor;|1:1|Rafael Márquez']"/>
    <s v=""/>
    <s v=""/>
    <s v=""/>
    <s v=""/>
    <s v=""/>
    <s v=""/>
    <s v=""/>
    <s v=""/>
    <s v=""/>
    <s v=""/>
    <s v=""/>
    <s v=""/>
    <s v=""/>
    <s v=""/>
    <s v="['27&amp;rsquor;|0:0|Kagisho Dikgacoi', '70&amp;rsquor;|1:0|Tsepo Masilela']"/>
    <s v="['18&amp;rsquor;|0:0|Efraín Juárez', '57&amp;rsquor;|1:0|Gerardo Torrado']"/>
    <s v="['46&amp;rsquor;|0:0|Tsepo Masilela|for Lucas Thwala', '83&amp;rsquor;|1:1|Bernard Parker|for Steven Pienaar']"/>
    <s v="['55&amp;rsquor;|1:0|Andrés Guardado|for Paul Aguilar', '69&amp;rsquor;|1:0|Cuauhtémoc Blanco|for Carlos Vela', '73&amp;rsquor;|1:0|Javier Hernández|for Guillermo Franco']"/>
  </r>
  <r>
    <s v="Uruguay"/>
    <s v="France"/>
    <n v="0"/>
    <m/>
    <m/>
    <n v="0"/>
    <m/>
    <m/>
    <s v="Óscar Tabárez"/>
    <s v=""/>
    <s v="Raymond Domenech"/>
    <s v=""/>
    <n v="64100"/>
    <s v="Cape Town Stadium, Cape Town"/>
    <s v=""/>
    <x v="5"/>
    <x v="97"/>
    <s v="0–0"/>
    <s v=""/>
    <s v=""/>
    <x v="3"/>
    <x v="3"/>
    <s v=""/>
    <s v=""/>
    <s v=""/>
    <s v=""/>
    <s v=""/>
    <s v=""/>
    <s v=""/>
    <s v=""/>
    <s v=""/>
    <s v=""/>
    <s v=""/>
    <s v=""/>
    <s v=""/>
    <s v=""/>
    <s v="Nicolás Lodeiro · 81"/>
    <s v=""/>
    <s v="Nicolás Lodeiro · 81"/>
    <s v=""/>
    <s v="['59&amp;rsquor;|0:0|Mauricio Victorino', '65&amp;rsquor;|0:0|Nicolás Lodeiro', '90+3&amp;rsquor;|0:0|Diego Lugano']"/>
    <s v="['12&amp;rsquor;|0:0|Patrice Evra', '19&amp;rsquor;|0:0|Franck Ribéry', '68&amp;rsquor;|0:0|Jérémy Toulalan']"/>
    <s v="['63&amp;rsquor;|0:0|Nicolás Lodeiro|for Nacho González', '74&amp;rsquor;|0:0|Sebastián Abreu|for Luis Suárez', '87&amp;rsquor;|0:0|Sebastián Eguren|for Diego Pérez']"/>
    <s v="['72&amp;rsquor;|0:0|Thierry Henry|for Nicolas Anelka', '75&amp;rsquor;|0:0|Florent Malouda|for Yoann Gourcuff', '85&amp;rsquor;|0:0|André-Pierre Gignac|for Sidney Govou']"/>
  </r>
  <r>
    <s v="Italy"/>
    <s v="France"/>
    <n v="1"/>
    <m/>
    <n v="5"/>
    <n v="1"/>
    <m/>
    <n v="3"/>
    <s v="Marcello Lippi"/>
    <s v=""/>
    <s v="Raymond Domenech"/>
    <s v=""/>
    <n v="69000"/>
    <s v="Olympiastadion Berlin, Berlin"/>
    <s v=""/>
    <x v="0"/>
    <x v="98"/>
    <s v="(5) 1–1 (3)"/>
    <s v=""/>
    <s v="Italy won on penalty kicks following extra time"/>
    <x v="4"/>
    <x v="4"/>
    <s v="Marco Materazzi · 19"/>
    <s v=""/>
    <s v="['19&amp;rsquor;|1:1|Marco Materazzi']"/>
    <s v=""/>
    <s v=""/>
    <s v=""/>
    <s v=""/>
    <s v="Zinédine Zidane (P) · 7"/>
    <s v=""/>
    <s v=""/>
    <s v="['1|1:0|Andrea Pirlo', '3|2:1|Marco Materazzi', '5|3:1|Daniele De Rossi', '7|4:2|Alessandro Del Piero', '9|5:3|Fabio Grosso']"/>
    <s v="['2|1:1|Sylvain Wiltord', '6|3:2|Éric Abidal', '8|4:3|Willy Sagnol']"/>
    <s v=""/>
    <s v="['4|2:1|David Trezeguet']"/>
    <s v=""/>
    <s v="Zinédine Zidane · 110"/>
    <s v=""/>
    <s v=""/>
    <s v="['5&amp;rsquor;|0:0|Gianluca Zambrotta']"/>
    <s v="['12&amp;rsquor;|0:1|Willy Sagnol', '76&amp;rsquor;|1:1|Claude Makélélé', '111&amp;rsquor;|1:1|Florent Malouda']"/>
    <s v="['61&amp;rsquor;|1:1|Vincenzo Iaquinta|for Simone Perrotta', '61&amp;rsquor;|1:1|Daniele De Rossi|for Francesco Totti', '86&amp;rsquor;|1:1|Alessandro Del Piero|for Mauro Camoranesi']"/>
    <s v="['56&amp;rsquor;|1:1|Alou Diarra|for Patrick Vieira', '100&amp;rsquor;|1:1|David Trezeguet|for Franck Ribéry', '107&amp;rsquor;|1:1|Sylvain Wiltord|for Thierry Henry']"/>
  </r>
  <r>
    <s v="Germany"/>
    <s v="Portugal"/>
    <n v="3"/>
    <m/>
    <m/>
    <n v="1"/>
    <m/>
    <m/>
    <s v="Jürgen Klinsmann"/>
    <s v=""/>
    <s v="Luiz Felipe Scolari"/>
    <s v=""/>
    <n v="52000"/>
    <s v="Mercedes-Benz Arena, Stuttgart"/>
    <s v=""/>
    <x v="1"/>
    <x v="99"/>
    <s v="3–1"/>
    <s v=""/>
    <s v=""/>
    <x v="4"/>
    <x v="4"/>
    <s v="Bastian Schweinsteiger · 56|Bastian Schweinsteiger · 78"/>
    <s v="Nuno Gomes · 88"/>
    <s v="['56&amp;rsquor;|1:0|Bastian Schweinsteiger', '78&amp;rsquor;|3:0|Bastian Schweinsteiger']"/>
    <s v="['88&amp;rsquor;|3:1|Nuno Gomes']"/>
    <s v="Petit (OG) · 60"/>
    <s v=""/>
    <s v=""/>
    <s v=""/>
    <s v=""/>
    <s v=""/>
    <s v=""/>
    <s v=""/>
    <s v=""/>
    <s v=""/>
    <s v=""/>
    <s v=""/>
    <s v=""/>
    <s v=""/>
    <s v="['7&amp;rsquor;|0:0|Torsten Frings', '78&amp;rsquor;|2:0|Bastian Schweinsteiger']"/>
    <s v="['24&amp;rsquor;|0:0|Ricardo Costa', '33&amp;rsquor;|0:0|Costinha', '60&amp;rsquor;|1:0|Paulo Ferreira']"/>
    <s v="['65&amp;rsquor;|2:0|Oliver Neuville|for Miroslav Klose', '71&amp;rsquor;|2:0|Mike Hanke|for Lukas Podolski', '79&amp;rsquor;|3:0|Thomas Hitzlsperger|for Bastian Schweinsteiger']"/>
    <s v="['46&amp;rsquor;|0:0|Petit|for Costinha', '69&amp;rsquor;|2:0|Nuno Gomes|for Nuno Valente', '77&amp;rsquor;|2:0|Luís Figo|for Pauleta']"/>
  </r>
  <r>
    <s v="Portugal"/>
    <s v="France"/>
    <n v="0"/>
    <m/>
    <m/>
    <n v="1"/>
    <m/>
    <m/>
    <s v="Luiz Felipe Scolari"/>
    <s v=""/>
    <s v="Raymond Domenech"/>
    <s v=""/>
    <n v="66000"/>
    <s v="Allianz Arena, München"/>
    <s v=""/>
    <x v="2"/>
    <x v="100"/>
    <s v="0–1"/>
    <s v=""/>
    <s v=""/>
    <x v="4"/>
    <x v="4"/>
    <s v=""/>
    <s v=""/>
    <s v=""/>
    <s v=""/>
    <s v=""/>
    <s v=""/>
    <s v=""/>
    <s v="Zinédine Zidane (P) · 33"/>
    <s v=""/>
    <s v=""/>
    <s v=""/>
    <s v=""/>
    <s v=""/>
    <s v=""/>
    <s v=""/>
    <s v=""/>
    <s v=""/>
    <s v=""/>
    <s v="['83&amp;rsquor;|0:1|Ricardo Carvalho']"/>
    <s v="['87&amp;rsquor;|0:1|Louis Saha']"/>
    <s v="['62&amp;rsquor;|0:1|Paulo Ferreira|for Miguel Monteiro', '68&amp;rsquor;|0:1|Simão Sabrosa|for Pauleta', '75&amp;rsquor;|0:1|Hélder Postiga|for Costinha']"/>
    <s v="['69&amp;rsquor;|0:1|Sylvain Wiltord|for Florent Malouda', '72&amp;rsquor;|0:1|Sidney Govou|for Franck Ribéry', '85&amp;rsquor;|0:1|Louis Saha|for Thierry Henry']"/>
  </r>
  <r>
    <s v="Germany"/>
    <s v="Italy"/>
    <n v="0"/>
    <m/>
    <m/>
    <n v="2"/>
    <m/>
    <m/>
    <s v="Jürgen Klinsmann"/>
    <s v=""/>
    <s v="Marcello Lippi"/>
    <s v=""/>
    <n v="65000"/>
    <s v="Signal Iduna Park, Dortmund"/>
    <s v=""/>
    <x v="2"/>
    <x v="101"/>
    <s v="0–2"/>
    <s v=""/>
    <s v="Required Extra Time"/>
    <x v="4"/>
    <x v="4"/>
    <s v=""/>
    <s v="Fabio Grosso · 119|Alessandro Del Piero · 120+1"/>
    <s v=""/>
    <s v="['119&amp;rsquor;|0:1|Fabio Grosso', '120+1&amp;rsquor;|0:2|Alessandro Del Piero']"/>
    <s v=""/>
    <s v=""/>
    <s v=""/>
    <s v=""/>
    <s v=""/>
    <s v=""/>
    <s v=""/>
    <s v=""/>
    <s v=""/>
    <s v=""/>
    <s v=""/>
    <s v=""/>
    <s v=""/>
    <s v=""/>
    <s v="['40&amp;rsquor;|0:0|Tim Borowski', '56&amp;rsquor;|0:0|Christoph Metzelder']"/>
    <s v="['90&amp;rsquor;|0:0|Mauro Camoranesi']"/>
    <s v="['73&amp;rsquor;|0:0|Bastian Schweinsteiger|for Tim Borowski', '83&amp;rsquor;|0:0|David Odonkor|for Bernd Schneider', '111&amp;rsquor;|0:0|Oliver Neuville|for Miroslav Klose']"/>
    <s v="['74&amp;rsquor;|0:0|Alberto Gilardino|for Luca Toni', '91&amp;rsquor;|0:0|Vincenzo Iaquinta|for Mauro Camoranesi', '104&amp;rsquor;|0:0|Alessandro Del Piero|for Simone Perrotta']"/>
  </r>
  <r>
    <s v="England"/>
    <s v="Portugal"/>
    <n v="0"/>
    <m/>
    <n v="1"/>
    <n v="0"/>
    <m/>
    <n v="3"/>
    <s v="Sven-Göran Eriksson"/>
    <s v=""/>
    <s v="Luiz Felipe Scolari"/>
    <s v=""/>
    <n v="52000"/>
    <s v="Veltins-Arena, Gelsenkirchen"/>
    <s v=""/>
    <x v="3"/>
    <x v="102"/>
    <s v="(1) 0–0 (3)"/>
    <s v=""/>
    <s v="Portugal won on penalty kicks following extra time"/>
    <x v="4"/>
    <x v="4"/>
    <s v=""/>
    <s v=""/>
    <s v=""/>
    <s v=""/>
    <s v=""/>
    <s v=""/>
    <s v=""/>
    <s v=""/>
    <s v=""/>
    <s v=""/>
    <s v="['4|1:1|Owen Hargreaves']"/>
    <s v="['1|0:1|Simão Sabrosa', '7|1:2|Hélder Postiga', '9|1:3|Cristiano Ronaldo']"/>
    <s v="['2|0:1|Frank Lampard', '6|1:1|Steven Gerrard', '8|1:2|Jamie Carragher']"/>
    <s v="['3|0:1|Hugo Viana', '5|1:1|Petit']"/>
    <s v="Wayne Rooney · 62"/>
    <s v=""/>
    <s v=""/>
    <s v=""/>
    <s v="['30&amp;rsquor;|0:0|John Terry', '107&amp;rsquor;|0:0|Owen Hargreaves']"/>
    <s v="['44&amp;rsquor;|0:0|Petit', '111&amp;rsquor;|0:0|Ricardo Carvalho']"/>
    <s v="['52&amp;rsquor;|0:0|Aaron Lennon|for David Beckham', '65&amp;rsquor;|0:0|Peter Crouch|for Joe Cole', '119&amp;rsquor;|0:0|Jamie Carragher|for Aaron Lennon']"/>
    <s v="['63&amp;rsquor;|0:0|Simão Sabrosa|for Pauleta', '74&amp;rsquor;|0:0|Hugo Viana|for Tiago Mendes', '86&amp;rsquor;|0:0|Hélder Postiga|for Luís Figo']"/>
  </r>
  <r>
    <s v="Brazil"/>
    <s v="France"/>
    <n v="0"/>
    <m/>
    <m/>
    <n v="1"/>
    <m/>
    <m/>
    <s v="Carlos Alberto Parreira"/>
    <s v=""/>
    <s v="Raymond Domenech"/>
    <s v=""/>
    <n v="48000"/>
    <s v="Commerzbank-Arena, Frankfurt am Main"/>
    <s v=""/>
    <x v="3"/>
    <x v="102"/>
    <s v="0–1"/>
    <s v=""/>
    <s v=""/>
    <x v="4"/>
    <x v="4"/>
    <s v=""/>
    <s v="Thierry Henry · 57"/>
    <s v=""/>
    <s v="['57&amp;rsquor;|0:1|Thierry Henry']"/>
    <s v=""/>
    <s v=""/>
    <s v=""/>
    <s v=""/>
    <s v=""/>
    <s v=""/>
    <s v=""/>
    <s v=""/>
    <s v=""/>
    <s v=""/>
    <s v=""/>
    <s v=""/>
    <s v=""/>
    <s v=""/>
    <s v="['25&amp;rsquor;|0:0|Cafú', '45&amp;rsquor;|0:0|Juan', '45+2&amp;rsquor;|0:0|Ronaldo', '75&amp;rsquor;|0:1|Lúcio']"/>
    <s v="['74&amp;rsquor;|0:1|Willy Sagnol', '87&amp;rsquor;|0:1|Louis Saha', '88&amp;rsquor;|0:1|Lilian Thuram']"/>
    <s v="['63&amp;rsquor;|0:1|Adriano|for Juninho Pernambucano', '76&amp;rsquor;|0:1|Cicinho|for Cafú', '79&amp;rsquor;|0:1|Robinho|for Kaká']"/>
    <s v="['77&amp;rsquor;|0:1|Sidney Govou|for Franck Ribéry', '81&amp;rsquor;|0:1|Sylvain Wiltord|for Florent Malouda', '86&amp;rsquor;|0:1|Louis Saha|for Thierry Henry']"/>
  </r>
  <r>
    <s v="Germany"/>
    <s v="Argentina"/>
    <n v="1"/>
    <m/>
    <n v="4"/>
    <n v="1"/>
    <m/>
    <n v="2"/>
    <s v="Jürgen Klinsmann"/>
    <s v=""/>
    <s v="José Pékerman"/>
    <s v=""/>
    <n v="72000"/>
    <s v="Olympiastadion Berlin, Berlin"/>
    <s v=""/>
    <x v="3"/>
    <x v="103"/>
    <s v="(4) 1–1 (2)"/>
    <s v=""/>
    <s v="Germany won on penalty kicks following extra time"/>
    <x v="4"/>
    <x v="4"/>
    <s v="Miroslav Klose · 80"/>
    <s v="Roberto Ayala · 49"/>
    <s v="['80&amp;rsquor;|1:1|Miroslav Klose']"/>
    <s v="['49&amp;rsquor;|0:1|Roberto Ayala']"/>
    <s v=""/>
    <s v=""/>
    <s v=""/>
    <s v=""/>
    <s v=""/>
    <s v=""/>
    <s v="['1|1:0|Oliver Neuville', '3|2:1|Michael Ballack', '5|3:1|Lukas Podolski', '7|4:2|Tim Borowski']"/>
    <s v="['2|1:1|Julio Ricardo Cruz', '6|3:2|Maxi Rodríguez']"/>
    <s v=""/>
    <s v="['4|2:1|Roberto Ayala', '8|4:2|Esteban Cambiasso']"/>
    <s v=""/>
    <s v=""/>
    <s v=""/>
    <s v=""/>
    <s v="['3&amp;rsquor;|0:0|Lukas Podolski', '90+4&amp;rsquor;|1:1|David Odonkor', '114&amp;rsquor;|1:1|Arne Friedrich']"/>
    <s v="['46&amp;rsquor;|0:0|Juan Pablo Sorín', '60&amp;rsquor;|0:1|Javier Mascherano', '88&amp;rsquor;|1:1|Maxi Rodríguez', '95&amp;rsquor;|1:1|Julio Ricardo Cruz']"/>
    <s v="['62&amp;rsquor;|0:1|David Odonkor|for Bernd Schneider', '74&amp;rsquor;|0:1|Tim Borowski|for Bastian Schweinsteiger', '86&amp;rsquor;|1:1|Oliver Neuville|for Miroslav Klose']"/>
    <s v="['71&amp;rsquor;|0:1|Leo Franco|for Pato Abbondanzieri', '72&amp;rsquor;|0:1|Esteban Cambiasso|for Juan Román Riquelme', '79&amp;rsquor;|0:1|Julio Ricardo Cruz|for Hernán Crespo']"/>
  </r>
  <r>
    <s v="Italy"/>
    <s v="Ukraine"/>
    <n v="3"/>
    <m/>
    <m/>
    <n v="0"/>
    <m/>
    <m/>
    <s v="Marcello Lippi"/>
    <s v=""/>
    <s v="Oleh Blokhin"/>
    <s v=""/>
    <n v="50000"/>
    <s v="Volksparkstadion, Hamburg"/>
    <s v=""/>
    <x v="3"/>
    <x v="103"/>
    <s v="3–0"/>
    <s v=""/>
    <s v=""/>
    <x v="4"/>
    <x v="4"/>
    <s v="Gianluca Zambrotta · 6|Luca Toni · 59|Luca Toni · 69"/>
    <s v=""/>
    <s v="['6&amp;rsquor;|1:0|Gianluca Zambrotta', '59&amp;rsquor;|2:0|Luca Toni', '69&amp;rsquor;|3:0|Luca Toni']"/>
    <s v=""/>
    <s v=""/>
    <s v=""/>
    <s v=""/>
    <s v=""/>
    <s v=""/>
    <s v=""/>
    <s v=""/>
    <s v=""/>
    <s v=""/>
    <s v=""/>
    <s v=""/>
    <s v=""/>
    <s v=""/>
    <s v=""/>
    <s v=""/>
    <s v="['16&amp;rsquor;|1:0|Vyacheslav Sviderskyi', '21&amp;rsquor;|1:0|Maksym Kalynychenko', '67&amp;rsquor;|2:0|Artem Milevskiy']"/>
    <s v="['68&amp;rsquor;|2:0|Massimo Oddo|for Mauro Camoranesi', '68&amp;rsquor;|2:0|Simone Barone|for Andrea Pirlo', '77&amp;rsquor;|3:0|Cristian Zaccardo|for Gennaro Gattuso']"/>
    <s v="['20&amp;rsquor;|1:0|Andriy Vorobey|for Vyacheslav Sviderskyi', '47&amp;rsquor;|1:0|Vladyslav Vashchuk|for Andriy Rusol', '72&amp;rsquor;|3:0|Oleksiy Byelik|for Artem Milevskiy']"/>
  </r>
  <r>
    <s v="Brazil"/>
    <s v="Ghana"/>
    <n v="3"/>
    <m/>
    <m/>
    <n v="0"/>
    <m/>
    <m/>
    <s v="Carlos Alberto Parreira"/>
    <s v=""/>
    <s v="Ratomir Dujković"/>
    <s v=""/>
    <n v="65000"/>
    <s v="Signal Iduna Park, Dortmund"/>
    <s v=""/>
    <x v="4"/>
    <x v="104"/>
    <s v="3–0"/>
    <s v=""/>
    <s v=""/>
    <x v="4"/>
    <x v="4"/>
    <s v="Ronaldo · 5|Adriano · 45+1|Zé Roberto · 84"/>
    <s v=""/>
    <s v="['5&amp;rsquor;|1:0|Ronaldo', '45+1&amp;rsquor;|2:0|Adriano', '84&amp;rsquor;|3:0|Zé Roberto']"/>
    <s v=""/>
    <s v=""/>
    <s v=""/>
    <s v=""/>
    <s v=""/>
    <s v=""/>
    <s v=""/>
    <s v=""/>
    <s v=""/>
    <s v=""/>
    <s v=""/>
    <s v=""/>
    <s v=""/>
    <s v=""/>
    <s v=""/>
    <s v="['13&amp;rsquor;|1:0|Adriano', '44&amp;rsquor;|1:0|Juan']"/>
    <s v="['7&amp;rsquor;|1:0|Stephen Appiah', '11&amp;rsquor;|1:0|Sulley Muntari', '29&amp;rsquor;|1:0|John Paintsil', '38&amp;rsquor;|1:0|Eric Addo', '48&amp;rsquor;|2:0|Asamoah Gyan']"/>
    <s v="['46&amp;rsquor;|2:0|Gilberto Silva|for Emerson', '61&amp;rsquor;|2:0|Juninho Pernambucano|for Adriano', '83&amp;rsquor;|2:0|Ricardinho|for Kaká']"/>
    <s v="['60&amp;rsquor;|2:0|Derek Boateng|for Eric Addo', '70&amp;rsquor;|2:0|Alex Tachie-Mensah|for Matthew Amoah']"/>
  </r>
  <r>
    <s v="Spain"/>
    <s v="France"/>
    <n v="1"/>
    <m/>
    <m/>
    <n v="3"/>
    <m/>
    <m/>
    <s v="Luis Aragonés"/>
    <s v=""/>
    <s v="Raymond Domenech"/>
    <s v=""/>
    <n v="43000"/>
    <s v="HDI-Arena, Hannover"/>
    <s v=""/>
    <x v="4"/>
    <x v="104"/>
    <s v="1–3"/>
    <s v=""/>
    <s v=""/>
    <x v="4"/>
    <x v="4"/>
    <s v=""/>
    <s v="Franck Ribéry · 41|Patrick Vieira · 83|Zinédine Zidane · 90+2"/>
    <s v=""/>
    <s v="['41&amp;rsquor;|1:1|Franck Ribéry', '83&amp;rsquor;|1:2|Patrick Vieira', '90+2&amp;rsquor;|1:3|Zinédine Zidane']"/>
    <s v=""/>
    <s v=""/>
    <s v="David Villa (P) · 28"/>
    <s v=""/>
    <s v=""/>
    <s v=""/>
    <s v=""/>
    <s v=""/>
    <s v=""/>
    <s v=""/>
    <s v=""/>
    <s v=""/>
    <s v=""/>
    <s v=""/>
    <s v="['82&amp;rsquor;|1:1|Carles Puyol']"/>
    <s v="['68&amp;rsquor;|1:1|Patrick Vieira', '87&amp;rsquor;|1:2|Franck Ribéry', '90+1&amp;rsquor;|1:2|Zinédine Zidane']"/>
    <s v="['54&amp;rsquor;|1:1|Luis García|for Raúl', '54&amp;rsquor;|1:1|Joaquín|for David Villa', '72&amp;rsquor;|1:1|Marcos Senna|for Xavi']"/>
    <s v="['74&amp;rsquor;|1:1|Sidney Govou|for Florent Malouda', '88&amp;rsquor;|1:2|Sylvain Wiltord|for Thierry Henry']"/>
  </r>
  <r>
    <s v="Italy"/>
    <s v="Australia"/>
    <n v="1"/>
    <m/>
    <m/>
    <n v="0"/>
    <m/>
    <m/>
    <s v="Marcello Lippi"/>
    <s v=""/>
    <s v="Guus Hiddink"/>
    <s v=""/>
    <n v="46000"/>
    <s v="Fritz-Walter-Stadion, Kaiserslautern"/>
    <s v=""/>
    <x v="4"/>
    <x v="105"/>
    <s v="1–0"/>
    <s v=""/>
    <s v=""/>
    <x v="4"/>
    <x v="4"/>
    <s v=""/>
    <s v=""/>
    <s v=""/>
    <s v=""/>
    <s v=""/>
    <s v=""/>
    <s v="Francesco Totti (P) · 90+5"/>
    <s v=""/>
    <s v=""/>
    <s v=""/>
    <s v=""/>
    <s v=""/>
    <s v=""/>
    <s v=""/>
    <s v="Marco Materazzi · 50"/>
    <s v=""/>
    <s v=""/>
    <s v=""/>
    <s v="['29&amp;rsquor;|0:0|Fabio Grosso', '89&amp;rsquor;|0:0|Gennaro Gattuso', '90+1&amp;rsquor;|0:0|Gianluca Zambrotta']"/>
    <s v="['23&amp;rsquor;|0:0|Vince Grella', '49&amp;rsquor;|0:0|Tim Cahill', '61&amp;rsquor;|0:0|Luke Wilkshire']"/>
    <s v="['46&amp;rsquor;|0:0|Vincenzo Iaquinta|for Alberto Gilardino', '56&amp;rsquor;|0:0|Andrea Barzagli|for Luca Toni', '75&amp;rsquor;|0:0|Francesco Totti|for Alessandro Del Piero']"/>
    <s v="['81&amp;rsquor;|0:0|John Aloisi|for Mile Sterjovski']"/>
  </r>
  <r>
    <s v="Switzerland"/>
    <s v="Ukraine"/>
    <n v="0"/>
    <m/>
    <n v="0"/>
    <n v="0"/>
    <m/>
    <n v="3"/>
    <s v="Köbi Kuhn"/>
    <s v=""/>
    <s v="Oleh Blokhin"/>
    <s v=""/>
    <n v="45000"/>
    <s v="RheinEnergieSTADION, Köln"/>
    <s v=""/>
    <x v="4"/>
    <x v="105"/>
    <s v="(0) 0–0 (3)"/>
    <s v=""/>
    <s v="Ukraine won on penalty kicks following extra time"/>
    <x v="4"/>
    <x v="4"/>
    <s v=""/>
    <s v=""/>
    <s v=""/>
    <s v=""/>
    <s v=""/>
    <s v=""/>
    <s v=""/>
    <s v=""/>
    <s v=""/>
    <s v=""/>
    <s v=""/>
    <s v="['3|0:1|Artem Milevskiy', '5|0:2|Serhiy Rebrov', '7|0:3|Oleh Husyev']"/>
    <s v="['2|0:0|Marco Streller', '4|0:1|Tranquillo Barnetta', '6|0:2|Ricardo Cabanas']"/>
    <s v="['1|0:0|Andriy Shevchenko']"/>
    <s v=""/>
    <s v=""/>
    <s v=""/>
    <s v=""/>
    <s v="['59&amp;rsquor;|0:0|Tranquillo Barnetta']"/>
    <s v=""/>
    <s v="['34&amp;rsquor;|0:0|Stéphane Grichting|for Johan Djourou', '64&amp;rsquor;|0:0|Marco Streller|for Hakan Yakin', '117&amp;rsquor;|0:0|Mauro Lustrinelli|for Alexander Frei']"/>
    <s v="['75&amp;rsquor;|0:0|Ruslan Rotan|for Maksym Kalynychenko', '94&amp;rsquor;|0:0|Serhiy Rebrov|for Andriy Vorobey', '111&amp;rsquor;|0:0|Artem Milevskiy|for Andriy Voronin']"/>
  </r>
  <r>
    <s v="England"/>
    <s v="Ecuador"/>
    <n v="1"/>
    <m/>
    <m/>
    <n v="0"/>
    <m/>
    <m/>
    <s v="Sven-Göran Eriksson"/>
    <s v=""/>
    <s v="Luis Fernando Suárez"/>
    <s v=""/>
    <n v="52000"/>
    <s v="Mercedes-Benz Arena, Stuttgart"/>
    <s v=""/>
    <x v="4"/>
    <x v="106"/>
    <s v="1–0"/>
    <s v=""/>
    <s v=""/>
    <x v="4"/>
    <x v="4"/>
    <s v="David Beckham · 60"/>
    <s v=""/>
    <s v="['60&amp;rsquor;|1:0|David Beckham']"/>
    <s v=""/>
    <s v=""/>
    <s v=""/>
    <s v=""/>
    <s v=""/>
    <s v=""/>
    <s v=""/>
    <s v=""/>
    <s v=""/>
    <s v=""/>
    <s v=""/>
    <s v=""/>
    <s v=""/>
    <s v=""/>
    <s v=""/>
    <s v="['18&amp;rsquor;|0:0|John Terry', '78&amp;rsquor;|1:0|Paul Robinson', '82&amp;rsquor;|1:0|Jamie Carragher']"/>
    <s v="['24&amp;rsquor;|0:0|Antonio Valencia', '37&amp;rsquor;|0:0|Carlos Tenorio', '67&amp;rsquor;|1:0|Ulises de la Cruz']"/>
    <s v="['77&amp;rsquor;|1:0|Jamie Carragher|for Joe Cole', '87&amp;rsquor;|1:0|Aaron Lennon|for David Beckham', '90&amp;rsquor;|1:0|Stewart Downing|for Steven Gerrard']"/>
    <s v="['69&amp;rsquor;|1:0|Christian Lara|for Edwin Tenorio', '72&amp;rsquor;|1:0|Iván Kaviedes|for Carlos Tenorio']"/>
  </r>
  <r>
    <s v="Portugal"/>
    <s v="Netherlands"/>
    <n v="1"/>
    <m/>
    <m/>
    <n v="0"/>
    <m/>
    <m/>
    <s v="Luiz Felipe Scolari"/>
    <s v=""/>
    <s v="Marco van Basten"/>
    <s v=""/>
    <n v="41000"/>
    <s v="Max-Morlock-Stadion, Nürnberg"/>
    <s v=""/>
    <x v="4"/>
    <x v="106"/>
    <s v="1–0"/>
    <s v=""/>
    <s v=""/>
    <x v="4"/>
    <x v="4"/>
    <s v="Maniche · 23"/>
    <s v=""/>
    <s v="['23&amp;rsquor;|1:0|Maniche']"/>
    <s v=""/>
    <s v=""/>
    <s v=""/>
    <s v=""/>
    <s v=""/>
    <s v=""/>
    <s v=""/>
    <s v=""/>
    <s v=""/>
    <s v=""/>
    <s v=""/>
    <s v=""/>
    <s v=""/>
    <s v="Costinha · 45+1|Deco · 78"/>
    <s v="Khalid Boulahrouz · 63|Giovanni van Bronckhorst · 90+5"/>
    <s v="['20&amp;rsquor;|0:0|Maniche', '31&amp;rsquor;|1:0|Costinha', '50&amp;rsquor;|1:0|Petit', '60&amp;rsquor;|1:0|Luís Figo', '73&amp;rsquor;|1:0|Deco', '76&amp;rsquor;|1:0|Ricardo', '76&amp;rsquor;|1:0|Nuno Valente']"/>
    <s v="['2&amp;rsquor;|0:0|Mark van Bommel', '7&amp;rsquor;|0:0|Khalid Boulahrouz', '59&amp;rsquor;|1:0|Giovanni van Bronckhorst', '73&amp;rsquor;|1:0|Wesley Sneijder', '74&amp;rsquor;|1:0|Rafael van der Vaart']"/>
    <s v="['34&amp;rsquor;|1:0|Simão Sabrosa|for Cristiano Ronaldo', '46&amp;rsquor;|1:0|Petit|for Pauleta', '84&amp;rsquor;|1:0|Tiago Mendes|for Luís Figo']"/>
    <s v="['56&amp;rsquor;|1:0|Rafael van der Vaart|for Joris Mathijsen', '67&amp;rsquor;|1:0|John Heitinga|for Mark van Bommel', '84&amp;rsquor;|1:0|Jan Vennegoor of Hesselink|for Phillip Cocu']"/>
  </r>
  <r>
    <s v="Germany"/>
    <s v="Sweden"/>
    <n v="2"/>
    <m/>
    <m/>
    <n v="0"/>
    <m/>
    <m/>
    <s v="Jürgen Klinsmann"/>
    <s v=""/>
    <s v="Lars Lagerbäck"/>
    <s v=""/>
    <n v="66000"/>
    <s v="Allianz Arena, München"/>
    <s v=""/>
    <x v="4"/>
    <x v="107"/>
    <s v="2–0"/>
    <s v=""/>
    <s v=""/>
    <x v="4"/>
    <x v="4"/>
    <s v="Lukas Podolski · 4|Lukas Podolski · 12"/>
    <s v=""/>
    <s v="['4&amp;rsquor;|1:0|Lukas Podolski', '12&amp;rsquor;|2:0|Lukas Podolski']"/>
    <s v=""/>
    <s v=""/>
    <s v=""/>
    <s v=""/>
    <s v=""/>
    <s v=""/>
    <s v=""/>
    <s v=""/>
    <s v=""/>
    <s v=""/>
    <s v=""/>
    <s v=""/>
    <s v=""/>
    <s v=""/>
    <s v="Teddy Lučić · 35"/>
    <s v="['27&amp;rsquor;|2:0|Torsten Frings']"/>
    <s v="['28&amp;rsquor;|2:0|Teddy Lučić', '48&amp;rsquor;|2:0|Mattias Jonson', '78&amp;rsquor;|2:0|Marcus Allbäck']"/>
    <s v="['72&amp;rsquor;|2:0|Tim Borowski|for Bastian Schweinsteiger', '74&amp;rsquor;|2:0|Oliver Neuville|for Lukas Podolski', '85&amp;rsquor;|2:0|Sebastian Kehl|for Torsten Frings']"/>
    <s v="['39&amp;rsquor;|2:0|Petter Hansson|for Kim Källström', '52&amp;rsquor;|2:0|Christian Wilhelmsson|for Mattias Jonson', '72&amp;rsquor;|2:0|Marcus Allbäck|for Zlatan Ibrahimović']"/>
  </r>
  <r>
    <s v="Argentina"/>
    <s v="Mexico"/>
    <n v="2"/>
    <m/>
    <m/>
    <n v="1"/>
    <m/>
    <m/>
    <s v="José Pékerman"/>
    <s v=""/>
    <s v="Ricardo La Volpe"/>
    <s v=""/>
    <n v="43000"/>
    <s v="Red Bull Arena, Leipzig"/>
    <s v=""/>
    <x v="4"/>
    <x v="107"/>
    <s v="2–1"/>
    <s v=""/>
    <s v="Required Extra Time"/>
    <x v="4"/>
    <x v="4"/>
    <s v="Hernán Crespo · 10"/>
    <s v="Rafael Márquez · 6"/>
    <s v="['10&amp;rsquor;|1:1|Hernán Crespo']"/>
    <s v="['6&amp;rsquor;|0:1|Rafael Márquez']"/>
    <s v=""/>
    <s v=""/>
    <s v=""/>
    <s v=""/>
    <s v=""/>
    <s v=""/>
    <s v=""/>
    <s v=""/>
    <s v=""/>
    <s v=""/>
    <s v=""/>
    <s v=""/>
    <s v=""/>
    <s v=""/>
    <s v="['45+1&amp;rsquor;|1:1|Gabriel Heinze', '112&amp;rsquor;|1:1|Juan Pablo Sorín']"/>
    <s v="['70&amp;rsquor;|1:1|Rafael Márquez', '82&amp;rsquor;|1:1|José Antonio Castro', '118&amp;rsquor;|1:1|Gerardo Torrado', '119&amp;rsquor;|1:1|Francisco Fonseca']"/>
    <s v="['75&amp;rsquor;|1:1|Carlos Tevez|for Hernán Crespo', '76&amp;rsquor;|1:1|Pablo Aimar|for Esteban Cambiasso', '84&amp;rsquor;|1:1|Lionel Messi|for Javier Saviola']"/>
    <s v="['38&amp;rsquor;|1:1|Gerardo Torrado|for Pável Pardo', '66&amp;rsquor;|1:1|Gonzalo Pineda|for Andrés Guardado', '74&amp;rsquor;|1:1|Sinha|for Ramón Morales']"/>
  </r>
  <r>
    <s v="Saudi Arabia"/>
    <s v="Spain"/>
    <n v="0"/>
    <m/>
    <m/>
    <n v="1"/>
    <m/>
    <m/>
    <s v="Marcos Paquetá"/>
    <s v=""/>
    <s v="Luis Aragonés"/>
    <s v=""/>
    <n v="46000"/>
    <s v="Fritz-Walter-Stadion, Kaiserslautern"/>
    <s v=""/>
    <x v="5"/>
    <x v="108"/>
    <s v="0–1"/>
    <s v=""/>
    <s v=""/>
    <x v="4"/>
    <x v="4"/>
    <s v=""/>
    <s v="Juanito · 36"/>
    <s v=""/>
    <s v="['36&amp;rsquor;|0:1|Juanito']"/>
    <s v=""/>
    <s v=""/>
    <s v=""/>
    <s v=""/>
    <s v=""/>
    <s v=""/>
    <s v=""/>
    <s v=""/>
    <s v=""/>
    <s v=""/>
    <s v=""/>
    <s v=""/>
    <s v=""/>
    <s v=""/>
    <s v="['27&amp;rsquor;|0:0|Sami Al-Jaber', '77&amp;rsquor;|0:1|Nawaf Al-Temyat']"/>
    <s v="['30&amp;rsquor;|0:0|David Albelda', '35&amp;rsquor;|0:0|José Antonio Reyes', '75&amp;rsquor;|0:1|Carlos Marchena']"/>
    <s v="['13&amp;rsquor;|0:0|Nawaf Al-Temyat|for Khaled Aziz', '68&amp;rsquor;|0:1|Malek Mouath|for Sami Al-Jaber', '81&amp;rsquor;|0:1|Mohammad Massad|for Hussein Abdulghani']"/>
    <s v="['46&amp;rsquor;|0:1|David Villa|for Raúl', '66&amp;rsquor;|0:1|Xavi|for Cesc Fàbregas', '70&amp;rsquor;|0:1|Fernando Torres|for José Antonio Reyes']"/>
  </r>
  <r>
    <s v="Ukraine"/>
    <s v="Tunisia"/>
    <n v="1"/>
    <m/>
    <m/>
    <n v="0"/>
    <m/>
    <m/>
    <s v="Oleh Blokhin"/>
    <s v=""/>
    <s v="Roger Lemerre"/>
    <s v=""/>
    <n v="72000"/>
    <s v="Olympiastadion Berlin, Berlin"/>
    <s v=""/>
    <x v="5"/>
    <x v="108"/>
    <s v="1–0"/>
    <s v=""/>
    <s v=""/>
    <x v="4"/>
    <x v="4"/>
    <s v=""/>
    <s v=""/>
    <s v=""/>
    <s v=""/>
    <s v=""/>
    <s v=""/>
    <s v="Andriy Shevchenko (P) · 70"/>
    <s v=""/>
    <s v=""/>
    <s v=""/>
    <s v=""/>
    <s v=""/>
    <s v=""/>
    <s v=""/>
    <s v=""/>
    <s v=""/>
    <s v=""/>
    <s v="Ziad Jaziri · 45+1"/>
    <s v="['18&amp;rsquor;|0:0|Vyacheslav Sviderskyi', '47&amp;rsquor;|0:0|Oleh Shelayev', '61&amp;rsquor;|0:0|Anatoliy Tymoshchuk', '65&amp;rsquor;|0:0|Andriy Rusol']"/>
    <s v="['9&amp;rsquor;|0:0|Ziad Jaziri', '43&amp;rsquor;|0:0|Riadh Bouazizi', '90&amp;rsquor;|1:0|Radhi Jaïdi']"/>
    <s v="['55&amp;rsquor;|0:0|Andriy Vorobey|for Serhiy Rebrov', '75&amp;rsquor;|1:0|Andriy Husin|for Maksym Kalynychenko', '88&amp;rsquor;|1:0|Artem Milevskiy|for Andriy Shevchenko']"/>
    <s v="['79&amp;rsquor;|1:0|Francileudo Santos|for Riadh Bouazizi', '79&amp;rsquor;|1:0|Chaouki Ben Saada|for Adel Chedli', '90&amp;rsquor;|1:0|Kaies Ghodhbane|for Mehdi Nafti']"/>
  </r>
  <r>
    <s v="Togo"/>
    <s v="France"/>
    <n v="0"/>
    <m/>
    <m/>
    <n v="2"/>
    <m/>
    <m/>
    <s v="Otto Pfister"/>
    <s v=""/>
    <s v="Raymond Domenech"/>
    <s v=""/>
    <n v="45000"/>
    <s v="RheinEnergieSTADION, Köln"/>
    <s v=""/>
    <x v="5"/>
    <x v="108"/>
    <s v="0–2"/>
    <s v=""/>
    <s v=""/>
    <x v="4"/>
    <x v="4"/>
    <s v=""/>
    <s v="Patrick Vieira · 55|Thierry Henry · 61"/>
    <s v=""/>
    <s v="['55&amp;rsquor;|0:1|Patrick Vieira', '61&amp;rsquor;|0:2|Thierry Henry']"/>
    <s v=""/>
    <s v=""/>
    <s v=""/>
    <s v=""/>
    <s v=""/>
    <s v=""/>
    <s v=""/>
    <s v=""/>
    <s v=""/>
    <s v=""/>
    <s v=""/>
    <s v=""/>
    <s v=""/>
    <s v=""/>
    <s v="['38&amp;rsquor;|0:0|Yao Aziawonou', '44&amp;rsquor;|0:0|Chérif-Touré Mamam', '88&amp;rsquor;|0:2|Moustapha Salifou']"/>
    <s v="['30&amp;rsquor;|0:0|Claude Makélélé']"/>
    <s v="['59&amp;rsquor;|0:1|Adékambi Olufadé|for Chérif-Touré Mamam', '75&amp;rsquor;|0:2|Thomas Dossevi|for Emmanuel Adebayor']"/>
    <s v="['74&amp;rsquor;|0:2|Sylvain Wiltord|for Florent Malouda', '77&amp;rsquor;|0:2|Sidney Govou|for Franck Ribéry', '81&amp;rsquor;|0:2|Alou Diarra|for Patrick Vieira']"/>
  </r>
  <r>
    <s v="Switzerland"/>
    <s v="Korea Republic"/>
    <n v="2"/>
    <m/>
    <m/>
    <n v="0"/>
    <m/>
    <m/>
    <s v="Köbi Kuhn"/>
    <s v=""/>
    <s v="Dick Advocaat"/>
    <s v=""/>
    <n v="43000"/>
    <s v="HDI-Arena, Hannover"/>
    <s v=""/>
    <x v="5"/>
    <x v="108"/>
    <s v="2–0"/>
    <s v=""/>
    <s v=""/>
    <x v="4"/>
    <x v="4"/>
    <s v="Philippe Senderos · 23|Alexander Frei · 77"/>
    <s v=""/>
    <s v="['23&amp;rsquor;|1:0|Philippe Senderos', '77&amp;rsquor;|2:0|Alexander Frei']"/>
    <s v=""/>
    <s v=""/>
    <s v=""/>
    <s v=""/>
    <s v=""/>
    <s v=""/>
    <s v=""/>
    <s v=""/>
    <s v=""/>
    <s v=""/>
    <s v=""/>
    <s v=""/>
    <s v=""/>
    <s v=""/>
    <s v=""/>
    <s v="['43&amp;rsquor;|1:0|Philippe Senderos', '55&amp;rsquor;|1:0|Hakan Yakin', '69&amp;rsquor;|1:0|Raphaël Wicky', '82&amp;rsquor;|2:0|Christoph Spycher', '90&amp;rsquor;|2:0|Johan Djourou']"/>
    <s v="['23&amp;rsquor;|0:0|Park Chu-young', '37&amp;rsquor;|1:0|Kim Jin-kyu', '78&amp;rsquor;|2:0|Ahn Jung-hwan', '78&amp;rsquor;|2:0|Choi Jin-cheul', '80&amp;rsquor;|2:0|Lee Chun-soo']"/>
    <s v="['53&amp;rsquor;|1:0|Johan Djourou|for Philippe Senderos', '71&amp;rsquor;|1:0|Xavier Margairaz|for Hakan Yakin', '88&amp;rsquor;|2:0|Valon Behrami|for Raphaël Wicky']"/>
    <s v="['63&amp;rsquor;|1:0|Ahn Jung-hwan|for Lee Young-pyo', '66&amp;rsquor;|1:0|Seol Ki-hyeon|for Park Chu-young']"/>
  </r>
  <r>
    <s v="Ghana"/>
    <s v="United States"/>
    <n v="2"/>
    <m/>
    <m/>
    <n v="1"/>
    <m/>
    <m/>
    <s v="Ratomir Dujković"/>
    <s v=""/>
    <s v="Bruce Arena"/>
    <s v=""/>
    <n v="41000"/>
    <s v="Max-Morlock-Stadion, Nürnberg"/>
    <s v=""/>
    <x v="5"/>
    <x v="109"/>
    <s v="2–1"/>
    <s v=""/>
    <s v=""/>
    <x v="4"/>
    <x v="4"/>
    <s v="Haminu Draman · 22"/>
    <s v="Clint Dempsey · 43"/>
    <s v="['22&amp;rsquor;|1:0|Haminu Draman']"/>
    <s v="['43&amp;rsquor;|1:1|Clint Dempsey']"/>
    <s v=""/>
    <s v=""/>
    <s v="Stephen Appiah (P) · 45+2"/>
    <s v=""/>
    <s v=""/>
    <s v=""/>
    <s v=""/>
    <s v=""/>
    <s v=""/>
    <s v=""/>
    <s v=""/>
    <s v=""/>
    <s v=""/>
    <s v=""/>
    <s v="['5&amp;rsquor;|0:0|Michael Essien', '32&amp;rsquor;|1:0|Illiasu Shilla', '81&amp;rsquor;|2:1|John Mensah', '90+1&amp;rsquor;|2:1|Stephen Appiah']"/>
    <s v="['7&amp;rsquor;|0:0|Eddie Lewis']"/>
    <s v="['46&amp;rsquor;|2:1|Otto Addo|for Derek Boateng', '59&amp;rsquor;|2:1|Eric Addo|for Matthew Amoah', '80&amp;rsquor;|2:1|Alex Tachie-Mensah|for Haminu Draman']"/>
    <s v="['40&amp;rsquor;|1:0|Ben Olsen|for Claudio Reyna', '61&amp;rsquor;|2:1|Eddie Johnson|for Steve Cherundolo', '74&amp;rsquor;|2:1|Bobby Convey|for Eddie Lewis']"/>
  </r>
  <r>
    <s v="Czech Republic"/>
    <s v="Italy"/>
    <n v="0"/>
    <m/>
    <m/>
    <n v="2"/>
    <m/>
    <m/>
    <s v="Karel Brückner"/>
    <s v=""/>
    <s v="Marcello Lippi"/>
    <s v=""/>
    <n v="50000"/>
    <s v="Volksparkstadion, Hamburg"/>
    <s v=""/>
    <x v="5"/>
    <x v="109"/>
    <s v="0–2"/>
    <s v=""/>
    <s v=""/>
    <x v="4"/>
    <x v="4"/>
    <s v=""/>
    <s v="Marco Materazzi · 26|Filippo Inzaghi · 87"/>
    <s v=""/>
    <s v="['26&amp;rsquor;|0:1|Marco Materazzi', '87&amp;rsquor;|0:2|Filippo Inzaghi']"/>
    <s v=""/>
    <s v=""/>
    <s v=""/>
    <s v=""/>
    <s v=""/>
    <s v=""/>
    <s v=""/>
    <s v=""/>
    <s v=""/>
    <s v=""/>
    <s v=""/>
    <s v=""/>
    <s v="Jan Polák · 45+2"/>
    <s v=""/>
    <s v="['35&amp;rsquor;|0:1|Jan Polák']"/>
    <s v="['31&amp;rsquor;|0:1|Gennaro Gattuso']"/>
    <s v="['46&amp;rsquor;|0:1|Jiří Štajner|for Karel Poborský', '64&amp;rsquor;|0:1|David Jarolím|for Milan Baroš', '78&amp;rsquor;|0:1|Marek Heinz|for Radoslav Kováč']"/>
    <s v="['17&amp;rsquor;|0:0|Marco Materazzi|for Alessandro Nesta', '60&amp;rsquor;|0:1|Filippo Inzaghi|for Alberto Gilardino', '74&amp;rsquor;|0:1|Simone Barone|for Mauro Camoranesi']"/>
  </r>
  <r>
    <s v="Japan"/>
    <s v="Brazil"/>
    <n v="1"/>
    <m/>
    <m/>
    <n v="4"/>
    <m/>
    <m/>
    <s v="Zico"/>
    <s v=""/>
    <s v="Carlos Alberto Parreira"/>
    <s v=""/>
    <n v="65000"/>
    <s v="Signal Iduna Park, Dortmund"/>
    <s v=""/>
    <x v="5"/>
    <x v="109"/>
    <s v="1–4"/>
    <s v=""/>
    <s v=""/>
    <x v="4"/>
    <x v="4"/>
    <s v="Keiji Tamada · 34"/>
    <s v="Ronaldo · 45+1|Juninho Pernambucano · 53|Gilberto · 59|Ronaldo · 81"/>
    <s v="['34&amp;rsquor;|1:0|Keiji Tamada']"/>
    <s v="['45+1&amp;rsquor;|1:1|Ronaldo', '53&amp;rsquor;|1:2|Juninho Pernambucano', '59&amp;rsquor;|1:3|Gilberto', '81&amp;rsquor;|1:4|Ronaldo']"/>
    <s v=""/>
    <s v=""/>
    <s v=""/>
    <s v=""/>
    <s v=""/>
    <s v=""/>
    <s v=""/>
    <s v=""/>
    <s v=""/>
    <s v=""/>
    <s v=""/>
    <s v=""/>
    <s v=""/>
    <s v=""/>
    <s v="['40&amp;rsquor;|1:0|Akira Kaji']"/>
    <s v="['44&amp;rsquor;|1:0|Gilberto']"/>
    <s v="['56&amp;rsquor;|1:2|Kōji Nakata|for Mitsuo Ogasawara', '60&amp;rsquor;|1:3|Naohiro Takahara|for Seiichiro Maki', '66&amp;rsquor;|1:3|Masashi Oguro|for Naohiro Takahara']"/>
    <s v="['71&amp;rsquor;|1:3|Ricardinho|for Ronaldinho', '71&amp;rsquor;|1:3|Zé Roberto|for Kaká', '82&amp;rsquor;|1:4|Rogério Ceni|for Dida']"/>
  </r>
  <r>
    <s v="Croatia"/>
    <s v="Australia"/>
    <n v="2"/>
    <m/>
    <m/>
    <n v="2"/>
    <m/>
    <m/>
    <s v="Zlatko Kranjčar"/>
    <s v=""/>
    <s v="Guus Hiddink"/>
    <s v=""/>
    <n v="52000"/>
    <s v="Mercedes-Benz Arena, Stuttgart"/>
    <s v=""/>
    <x v="5"/>
    <x v="109"/>
    <s v="2–2"/>
    <s v=""/>
    <s v=""/>
    <x v="4"/>
    <x v="4"/>
    <s v="Darijo Srna · 2|Niko Kovač · 56"/>
    <s v="Harry Kewell · 79"/>
    <s v="['2&amp;rsquor;|1:0|Darijo Srna', '56&amp;rsquor;|2:1|Niko Kovač']"/>
    <s v="['79&amp;rsquor;|2:2|Harry Kewell']"/>
    <s v=""/>
    <s v=""/>
    <s v=""/>
    <s v="Craig Moore (P) · 38"/>
    <s v=""/>
    <s v=""/>
    <s v=""/>
    <s v=""/>
    <s v=""/>
    <s v=""/>
    <s v=""/>
    <s v=""/>
    <s v="Dario Šimić · 85|Josip Šimunić · 90+3"/>
    <s v="Brett Emerton · 87"/>
    <s v="['32&amp;rsquor;|1:0|Dario Šimić', '38&amp;rsquor;|1:1|Igor Tudor', '61&amp;rsquor;|2:1|Josip Šimunić', '70&amp;rsquor;|2:1|Stipe Pletikosa']"/>
    <s v="['81&amp;rsquor;|2:2|Brett Emerton']"/>
    <s v="['65&amp;rsquor;|2:1|Jerko Leko|for Niko Kranjčar', '74&amp;rsquor;|2:1|Luka Modrić|for Ivica Olić', '83&amp;rsquor;|2:2|Ivan Klasnić|for Stjepan Tomas']"/>
    <s v="['63&amp;rsquor;|2:1|John Aloisi|for Vince Grella', '71&amp;rsquor;|2:1|Mark Bresciano|for Mile Sterjovski', '75&amp;rsquor;|2:1|Joshua Kennedy|for Scott Chipperfield']"/>
  </r>
  <r>
    <s v="Portugal"/>
    <s v="Mexico"/>
    <n v="2"/>
    <m/>
    <m/>
    <n v="1"/>
    <m/>
    <m/>
    <s v="Luiz Felipe Scolari"/>
    <s v=""/>
    <s v="Ricardo La Volpe"/>
    <s v=""/>
    <n v="52000"/>
    <s v="Veltins-Arena, Gelsenkirchen"/>
    <s v=""/>
    <x v="5"/>
    <x v="110"/>
    <s v="2–1"/>
    <s v=""/>
    <s v=""/>
    <x v="4"/>
    <x v="4"/>
    <s v="Maniche · 6"/>
    <s v="Francisco Fonseca · 29"/>
    <s v="['6&amp;rsquor;|1:0|Maniche']"/>
    <s v="['29&amp;rsquor;|2:1|Francisco Fonseca']"/>
    <s v=""/>
    <s v=""/>
    <s v="Simão Sabrosa (P) · 24"/>
    <s v=""/>
    <s v=""/>
    <s v=""/>
    <s v=""/>
    <s v=""/>
    <s v=""/>
    <s v=""/>
    <s v=""/>
    <s v=""/>
    <s v=""/>
    <s v="Luis Ernesto Pérez · 61"/>
    <s v="['26&amp;rsquor;|2:0|Miguel Monteiro', '69&amp;rsquor;|2:1|Maniche', '88&amp;rsquor;|2:1|Luís Boa Morte', '90+1&amp;rsquor;|2:1|Nuno Gomes']"/>
    <s v="['22&amp;rsquor;|1:0|Francisco Javier Rodríguez', '27&amp;rsquor;|2:0|Luis Ernesto Pérez', '65&amp;rsquor;|2:1|Rafael Márquez', '87&amp;rsquor;|2:1|Sinha']"/>
    <s v="['61&amp;rsquor;|2:1|Paulo Ferreira|for Miguel Monteiro', '69&amp;rsquor;|2:1|Nuno Gomes|for Hélder Postiga', '80&amp;rsquor;|2:1|Luís Boa Morte|for Luís Figo']"/>
    <s v="['46&amp;rsquor;|2:1|Sinha|for Francisco Javier Rodríguez', '69&amp;rsquor;|2:1|José Antonio Castro|for Gonzalo Pineda', '80&amp;rsquor;|2:1|Guillermo Franco|for Mario Méndez']"/>
  </r>
  <r>
    <s v="IR Iran"/>
    <s v="Angola"/>
    <n v="1"/>
    <m/>
    <m/>
    <n v="1"/>
    <m/>
    <m/>
    <s v="Branko Ivanković"/>
    <s v=""/>
    <s v="Oliveira Gonçalves"/>
    <s v=""/>
    <n v="38000"/>
    <s v="Red Bull Arena, Leipzig"/>
    <s v=""/>
    <x v="5"/>
    <x v="110"/>
    <s v="1–1"/>
    <s v=""/>
    <s v=""/>
    <x v="4"/>
    <x v="4"/>
    <s v="Sohrab Bakhtiarizadeh · 75"/>
    <s v="Flávio Amado · 60"/>
    <s v="['75&amp;rsquor;|1:1|Sohrab Bakhtiarizadeh']"/>
    <s v="['60&amp;rsquor;|0:1|Flávio Amado']"/>
    <s v=""/>
    <s v=""/>
    <s v=""/>
    <s v=""/>
    <s v=""/>
    <s v=""/>
    <s v=""/>
    <s v=""/>
    <s v=""/>
    <s v=""/>
    <s v=""/>
    <s v=""/>
    <s v=""/>
    <s v=""/>
    <s v="['37&amp;rsquor;|0:0|Mehrzad Madanchi', '55&amp;rsquor;|0:0|Andranik Teymourian', '90+1&amp;rsquor;|1:1|Ferydoon Zandi']"/>
    <s v="['22&amp;rsquor;|0:0|Locó', '45+1&amp;rsquor;|0:0|António Mendonça', '67&amp;rsquor;|0:1|Zé Kalanga']"/>
    <s v="['13&amp;rsquor;|0:0|Masoud Shojaei|for Mohammad Nosrati', '39&amp;rsquor;|0:0|Rasoul Khatibi|for Vahid Hashemian', '67&amp;rsquor;|0:1|Arash Borhani|for Hossein Kaebi']"/>
    <s v="['23&amp;rsquor;|0:0|Love|for Mateus Galiano da Costa', '51&amp;rsquor;|0:0|Flávio Amado|for Akwá', '73&amp;rsquor;|0:1|Rui Marques|for Paulo Figueiredo']"/>
  </r>
  <r>
    <s v="Côte d'Ivoire"/>
    <s v="Serbia and Montenegro"/>
    <n v="3"/>
    <m/>
    <m/>
    <n v="2"/>
    <m/>
    <m/>
    <s v="Henri Michel"/>
    <s v=""/>
    <s v="Ilija Petković"/>
    <s v=""/>
    <n v="66000"/>
    <s v="Allianz Arena, München"/>
    <s v=""/>
    <x v="5"/>
    <x v="110"/>
    <s v="3–2"/>
    <s v=""/>
    <s v=""/>
    <x v="4"/>
    <x v="4"/>
    <s v="Aruna Dindane · 67"/>
    <s v="Nikola Žigić · 10|Nikola Žigić · 20|Saša Ilić · 20"/>
    <s v="['67&amp;rsquor;|2:3|Aruna Dindane']"/>
    <s v="['10&amp;rsquor;|0:1|Nikola Žigić', '20&amp;rsquor;|0:2|Nikola Žigić', '20&amp;rsquor;|0:3|Saša Ilić']"/>
    <s v=""/>
    <s v=""/>
    <s v="Aruna Dindane (P) · 37|Bonaventure Kalou (P) · 86"/>
    <s v=""/>
    <s v=""/>
    <s v=""/>
    <s v=""/>
    <s v=""/>
    <s v=""/>
    <s v=""/>
    <s v=""/>
    <s v=""/>
    <s v="Cyril Domoraud · 90+2"/>
    <s v="Albert Nađ · 45+1"/>
    <s v="['33&amp;rsquor;|0:3|Abdul Kader Keïta', '41&amp;rsquor;|1:3|Cyril Domoraud', '43&amp;rsquor;|1:3|Aruna Dindane']"/>
    <s v="['17&amp;rsquor;|0:1|Albert Nađ', '35&amp;rsquor;|0:3|Milan Dudić', '37&amp;rsquor;|0:3|Igor Duljaj', '57&amp;rsquor;|1:3|Goran Gavrančić']"/>
    <s v="['60&amp;rsquor;|1:3|Bakari Koné|for Kanga Akalé', '73&amp;rsquor;|2:3|Bonaventure Kalou|for Abdul Kader Keïta']"/>
    <s v="['16&amp;rsquor;|0:1|Albert Nađ|for Mladen Krstajić', '67&amp;rsquor;|2:3|Savo Milošević|for Nikola Žigić']"/>
  </r>
  <r>
    <s v="Netherlands"/>
    <s v="Argentina"/>
    <n v="0"/>
    <m/>
    <m/>
    <n v="0"/>
    <m/>
    <m/>
    <s v="Marco van Basten"/>
    <s v=""/>
    <s v="José Pékerman"/>
    <s v=""/>
    <n v="48000"/>
    <s v="Commerzbank-Arena, Frankfurt am Main"/>
    <s v=""/>
    <x v="5"/>
    <x v="110"/>
    <s v="0–0"/>
    <s v=""/>
    <s v=""/>
    <x v="4"/>
    <x v="4"/>
    <s v=""/>
    <s v=""/>
    <s v=""/>
    <s v=""/>
    <s v=""/>
    <s v=""/>
    <s v=""/>
    <s v=""/>
    <s v=""/>
    <s v=""/>
    <s v=""/>
    <s v=""/>
    <s v=""/>
    <s v=""/>
    <s v=""/>
    <s v=""/>
    <s v=""/>
    <s v=""/>
    <s v="['28&amp;rsquor;|0:0|Dirk Kuyt', '42&amp;rsquor;|0:0|André Ooijer', '48&amp;rsquor;|0:0|Tim de Cler']"/>
    <s v="['57&amp;rsquor;|0:0|Esteban Cambiasso', '90&amp;rsquor;|0:0|Javier Mascherano']"/>
    <s v="['56&amp;rsquor;|0:0|Ryan Babel|for Ruud van Nistelrooy', '67&amp;rsquor;|0:0|Denny Landzaat|for Robin van Persie', '86&amp;rsquor;|0:0|Hedwiges Maduro|for Wesley Sneijder']"/>
    <s v="['24&amp;rsquor;|0:0|Fabricio Coloccini|for Nicolás Burdisso', '70&amp;rsquor;|0:0|Julio Ricardo Cruz|for Lionel Messi', '80&amp;rsquor;|0:0|Pablo Aimar|for Juan Román Riquelme']"/>
  </r>
  <r>
    <s v="Costa Rica"/>
    <s v="Poland"/>
    <n v="1"/>
    <m/>
    <m/>
    <n v="2"/>
    <m/>
    <m/>
    <s v="Alexandre Guimarães"/>
    <s v=""/>
    <s v="Paweł Janas"/>
    <s v=""/>
    <n v="43000"/>
    <s v="HDI-Arena, Hannover"/>
    <s v=""/>
    <x v="5"/>
    <x v="111"/>
    <s v="1–2"/>
    <s v=""/>
    <s v=""/>
    <x v="4"/>
    <x v="4"/>
    <s v="Rónald Gómez · 25"/>
    <s v="Bartosz Bosacki · 33|Bartosz Bosacki · 66"/>
    <s v="['25&amp;rsquor;|1:0|Rónald Gómez']"/>
    <s v="['33&amp;rsquor;|1:1|Bartosz Bosacki', '66&amp;rsquor;|1:2|Bartosz Bosacki']"/>
    <s v=""/>
    <s v=""/>
    <s v=""/>
    <s v=""/>
    <s v=""/>
    <s v=""/>
    <s v=""/>
    <s v=""/>
    <s v=""/>
    <s v=""/>
    <s v=""/>
    <s v=""/>
    <s v=""/>
    <s v=""/>
    <s v="['17&amp;rsquor;|0:0|Michael Umaña', '45+2&amp;rsquor;|1:1|Luis Marín', '45+2&amp;rsquor;|1:1|Rónald Gómez', '56&amp;rsquor;|1:1|Gabriel Badilla', '76&amp;rsquor;|1:2|Leonardo González']"/>
    <s v="['18&amp;rsquor;|0:0|Arkadiusz Radomski', '24&amp;rsquor;|0:0|Jacek Bąk', '29&amp;rsquor;|1:0|Michał Żewłakow', '60&amp;rsquor;|1:1|Marcin Baszczyński', '90+1&amp;rsquor;|1:2|Artur Boruc']"/>
    <s v="['70&amp;rsquor;|1:2|Harold Wallace|for Jervis Drummond', '78&amp;rsquor;|1:2|Álvaro Saborío|for Christian Bolaños', '82&amp;rsquor;|1:2|Carlos Hernández|for Rónald Gómez']"/>
    <s v="['46&amp;rsquor;|1:1|Paweł Brożek|for Maciej Żurawski', '64&amp;rsquor;|1:1|Mariusz Lewandowski|for Arkadiusz Radomski', '85&amp;rsquor;|1:2|Grzegorz Rasiak|for Euzebiusz Smolarek']"/>
  </r>
  <r>
    <s v="Ecuador"/>
    <s v="Germany"/>
    <n v="0"/>
    <m/>
    <m/>
    <n v="3"/>
    <m/>
    <m/>
    <s v="Luis Fernando Suárez"/>
    <s v=""/>
    <s v="Jürgen Klinsmann"/>
    <s v=""/>
    <n v="72000"/>
    <s v="Olympiastadion Berlin, Berlin"/>
    <s v=""/>
    <x v="5"/>
    <x v="111"/>
    <s v="0–3"/>
    <s v=""/>
    <s v=""/>
    <x v="4"/>
    <x v="4"/>
    <s v=""/>
    <s v="Miroslav Klose · 4|Miroslav Klose · 44|Lukas Podolski · 57"/>
    <s v=""/>
    <s v="['4&amp;rsquor;|0:1|Miroslav Klose', '44&amp;rsquor;|0:2|Miroslav Klose', '57&amp;rsquor;|0:3|Lukas Podolski']"/>
    <s v=""/>
    <s v=""/>
    <s v=""/>
    <s v=""/>
    <s v=""/>
    <s v=""/>
    <s v=""/>
    <s v=""/>
    <s v=""/>
    <s v=""/>
    <s v=""/>
    <s v=""/>
    <s v=""/>
    <s v=""/>
    <s v="['52&amp;rsquor;|0:2|Antonio Valencia']"/>
    <s v="['75&amp;rsquor;|0:3|Tim Borowski']"/>
    <s v="['46&amp;rsquor;|0:2|Christian Benítez|for Félix Borja', '63&amp;rsquor;|0:3|Christian Lara|for Antonio Valencia', '68&amp;rsquor;|0:3|Patricio Urrutia|for Marlon Ayoví']"/>
    <s v="['66&amp;rsquor;|0:3|Tim Borowski|for Torsten Frings', '66&amp;rsquor;|0:3|Oliver Neuville|for Miroslav Klose', '73&amp;rsquor;|0:3|Gerald Asamoah|for Bernd Schneider']"/>
  </r>
  <r>
    <s v="Paraguay"/>
    <s v="Trinidad and Tobago"/>
    <n v="2"/>
    <m/>
    <m/>
    <n v="0"/>
    <m/>
    <m/>
    <s v="Aníbal Ruiz"/>
    <s v=""/>
    <s v="Leo Beenhakker"/>
    <s v=""/>
    <n v="46000"/>
    <s v="Fritz-Walter-Stadion, Kaiserslautern"/>
    <s v=""/>
    <x v="5"/>
    <x v="111"/>
    <s v="2–0"/>
    <s v=""/>
    <s v=""/>
    <x v="4"/>
    <x v="4"/>
    <s v="Nelson Cuevas · 86"/>
    <s v=""/>
    <s v="['86&amp;rsquor;|2:0|Nelson Cuevas']"/>
    <s v=""/>
    <s v="Brent Sancho (OG) · 25"/>
    <s v=""/>
    <s v=""/>
    <s v=""/>
    <s v=""/>
    <s v=""/>
    <s v=""/>
    <s v=""/>
    <s v=""/>
    <s v=""/>
    <s v=""/>
    <s v=""/>
    <s v=""/>
    <s v=""/>
    <s v="['30&amp;rsquor;|1:0|Carlos Paredes', '54&amp;rsquor;|1:0|Julio dos Santos']"/>
    <s v="['45&amp;rsquor;|1:0|Brent Sancho', '48&amp;rsquor;|1:0|Aurtis Whitley']"/>
    <s v="['66&amp;rsquor;|1:0|Nelson Cuevas|for Nelson Valdez', '77&amp;rsquor;|1:0|Julio César Manzur|for Julio César Cáceres', '89&amp;rsquor;|2:0|Paulo da Silva|for Denis Caniza']"/>
    <s v="['31&amp;rsquor;|1:0|Kenwyne Jones|for Avery John', '41&amp;rsquor;|1:0|Evans Wise|for Cornell Glen', '67&amp;rsquor;|1:0|Russell Latapy|for Aurtis Whitley']"/>
  </r>
  <r>
    <s v="Sweden"/>
    <s v="England"/>
    <n v="2"/>
    <m/>
    <m/>
    <n v="2"/>
    <m/>
    <m/>
    <s v="Lars Lagerbäck"/>
    <s v=""/>
    <s v="Sven-Göran Eriksson"/>
    <s v=""/>
    <n v="45000"/>
    <s v="RheinEnergieSTADION, Köln"/>
    <s v=""/>
    <x v="5"/>
    <x v="111"/>
    <s v="2–2"/>
    <s v=""/>
    <s v=""/>
    <x v="4"/>
    <x v="4"/>
    <s v="Marcus Allbäck · 51|Henrik Larsson · 90"/>
    <s v="Joe Cole · 34|Steven Gerrard · 85"/>
    <s v="['51&amp;rsquor;|1:1|Marcus Allbäck', '90&amp;rsquor;|2:2|Henrik Larsson']"/>
    <s v="['34&amp;rsquor;|0:1|Joe Cole', '85&amp;rsquor;|1:2|Steven Gerrard']"/>
    <s v=""/>
    <s v=""/>
    <s v=""/>
    <s v=""/>
    <s v=""/>
    <s v=""/>
    <s v=""/>
    <s v=""/>
    <s v=""/>
    <s v=""/>
    <s v=""/>
    <s v=""/>
    <s v=""/>
    <s v=""/>
    <s v="['83&amp;rsquor;|1:1|Niclas Alexandersson', '87&amp;rsquor;|1:2|Freddie Ljungberg']"/>
    <s v="['76&amp;rsquor;|1:1|Owen Hargreaves']"/>
    <s v="['75&amp;rsquor;|1:1|Johan Elmander|for Marcus Allbäck', '90&amp;rsquor;|1:2|Daniel Andersson|for Tobias Linderoth', '90&amp;rsquor;|1:2|Christian Wilhelmsson|for Mattias Jonson']"/>
    <s v="['4&amp;rsquor;|0:0|Peter Crouch|for Michael Owen', '56&amp;rsquor;|1:1|Sol Campbell|for Rio Ferdinand', '69&amp;rsquor;|1:1|Steven Gerrard|for Wayne Rooney']"/>
  </r>
  <r>
    <s v="Togo"/>
    <s v="Switzerland"/>
    <n v="0"/>
    <m/>
    <m/>
    <n v="2"/>
    <m/>
    <m/>
    <s v="Otto Pfister"/>
    <s v=""/>
    <s v="Köbi Kuhn"/>
    <s v=""/>
    <n v="65000"/>
    <s v="Signal Iduna Park, Dortmund"/>
    <s v=""/>
    <x v="5"/>
    <x v="112"/>
    <s v="0–2"/>
    <s v=""/>
    <s v=""/>
    <x v="4"/>
    <x v="4"/>
    <s v=""/>
    <s v="Alexander Frei · 16|Tranquillo Barnetta · 88"/>
    <s v=""/>
    <s v="['16&amp;rsquor;|0:1|Alexander Frei', '88&amp;rsquor;|0:2|Tranquillo Barnetta']"/>
    <s v=""/>
    <s v=""/>
    <s v=""/>
    <s v=""/>
    <s v=""/>
    <s v=""/>
    <s v=""/>
    <s v=""/>
    <s v=""/>
    <s v=""/>
    <s v=""/>
    <s v=""/>
    <s v=""/>
    <s v=""/>
    <s v="['45&amp;rsquor;|0:1|Moustapha Salifou', '47&amp;rsquor;|0:1|Emmanuel Adebayor', '53&amp;rsquor;|0:1|Alaixys Romao', '90+2&amp;rsquor;|0:2|Jean-Paul Abalo']"/>
    <s v=""/>
    <s v="['25&amp;rsquor;|0:1|Moustapha Salifou|for Kuami Agboh', '69&amp;rsquor;|0:1|Yao Junior Sènaya|for Thomas Dossevi', '87&amp;rsquor;|0:1|Robert Malm|for Chérif-Touré Mamam']"/>
    <s v="['46&amp;rsquor;|0:1|Hakan Yakin|for Daniel Gygax', '77&amp;rsquor;|0:1|Marco Streller|for Ricardo Cabanas', '87&amp;rsquor;|0:1|Mauro Lustrinelli|for Alexander Frei']"/>
  </r>
  <r>
    <s v="Saudi Arabia"/>
    <s v="Ukraine"/>
    <n v="0"/>
    <m/>
    <m/>
    <n v="4"/>
    <m/>
    <m/>
    <s v="Marcos Paquetá"/>
    <s v=""/>
    <s v="Oleh Blokhin"/>
    <s v=""/>
    <n v="50000"/>
    <s v="Volksparkstadion, Hamburg"/>
    <s v=""/>
    <x v="5"/>
    <x v="112"/>
    <s v="0–4"/>
    <s v=""/>
    <s v=""/>
    <x v="4"/>
    <x v="4"/>
    <s v=""/>
    <s v="Andriy Rusol · 4|Serhiy Rebrov · 36|Andriy Shevchenko · 46|Maksym Kalynychenko · 84"/>
    <s v=""/>
    <s v="['4&amp;rsquor;|0:1|Andriy Rusol', '36&amp;rsquor;|0:2|Serhiy Rebrov', '46&amp;rsquor;|0:3|Andriy Shevchenko', '84&amp;rsquor;|0:4|Maksym Kalynychenko']"/>
    <s v=""/>
    <s v=""/>
    <s v=""/>
    <s v=""/>
    <s v=""/>
    <s v=""/>
    <s v=""/>
    <s v=""/>
    <s v=""/>
    <s v=""/>
    <s v=""/>
    <s v=""/>
    <s v=""/>
    <s v=""/>
    <s v="['41&amp;rsquor;|0:2|Ahmed Dokhi', '57&amp;rsquor;|0:3|Omar Al-Ghamdi', '73&amp;rsquor;|0:3|Saud Kariri']"/>
    <s v="['22&amp;rsquor;|0:1|Andriy Nesmachniy', '77&amp;rsquor;|0:3|Maksym Kalynychenko', '89&amp;rsquor;|0:4|Vyacheslav Sviderskyi']"/>
    <s v="['55&amp;rsquor;|0:3|Abdulaziz Khathran|for Ahmed Dokhi', '55&amp;rsquor;|0:3|Malek Mouath|for Mohammed Ameen', '77&amp;rsquor;|0:3|Sami Al-Jaber|for Mohammed Noor']"/>
    <s v="['71&amp;rsquor;|0:3|Ruslan Rotan|for Serhiy Rebrov', '79&amp;rsquor;|0:3|Andriy Husin|for Andriy Voronin', '86&amp;rsquor;|0:4|Artem Milevskiy|for Andriy Shevchenko']"/>
  </r>
  <r>
    <s v="Spain"/>
    <s v="Tunisia"/>
    <n v="3"/>
    <m/>
    <m/>
    <n v="1"/>
    <m/>
    <m/>
    <s v="Luis Aragonés"/>
    <s v=""/>
    <s v="Roger Lemerre"/>
    <s v=""/>
    <n v="52000"/>
    <s v="Mercedes-Benz Arena, Stuttgart"/>
    <s v=""/>
    <x v="5"/>
    <x v="112"/>
    <s v="3–1"/>
    <s v=""/>
    <s v=""/>
    <x v="4"/>
    <x v="4"/>
    <s v="Raúl · 71|Fernando Torres · 76"/>
    <s v="Jawhar Mnari · 8"/>
    <s v="['71&amp;rsquor;|1:1|Raúl', '76&amp;rsquor;|2:1|Fernando Torres']"/>
    <s v="['8&amp;rsquor;|0:1|Jawhar Mnari']"/>
    <s v=""/>
    <s v=""/>
    <s v="Fernando Torres (P) · 90+1"/>
    <s v=""/>
    <s v=""/>
    <s v=""/>
    <s v=""/>
    <s v=""/>
    <s v=""/>
    <s v=""/>
    <s v=""/>
    <s v=""/>
    <s v=""/>
    <s v=""/>
    <s v="['30&amp;rsquor;|0:1|Carles Puyol', '89&amp;rsquor;|2:1|Cesc Fàbregas']"/>
    <s v="['32&amp;rsquor;|0:1|Anis Ayari', '40&amp;rsquor;|0:1|Hatem Trabelsi', '70&amp;rsquor;|0:1|Radhi Jaïdi', '81&amp;rsquor;|2:1|Haykel Guemamdia', '85&amp;rsquor;|2:1|Ziad Jaziri', '90+3&amp;rsquor;|3:1|Jawhar Mnari']"/>
    <s v="['46&amp;rsquor;|0:1|Cesc Fàbregas|for Marcos Senna', '46&amp;rsquor;|0:1|Raúl|for Luis García', '57&amp;rsquor;|0:1|Joaquín|for David Villa']"/>
    <s v="['57&amp;rsquor;|0:1|Kaies Ghodhbane|for Riadh Bouazizi', '57&amp;rsquor;|0:1|Alaeddine Yahia|for Anis Ayari', '80&amp;rsquor;|2:1|Haykel Guemamdia|for Adel Chedli']"/>
  </r>
  <r>
    <s v="Japan"/>
    <s v="Croatia"/>
    <n v="0"/>
    <m/>
    <m/>
    <n v="0"/>
    <m/>
    <m/>
    <s v="Zico"/>
    <s v=""/>
    <s v="Zlatko Kranjčar"/>
    <s v=""/>
    <n v="41000"/>
    <s v="Max-Morlock-Stadion, Nürnberg"/>
    <s v=""/>
    <x v="5"/>
    <x v="113"/>
    <s v="0–0"/>
    <s v=""/>
    <s v=""/>
    <x v="4"/>
    <x v="4"/>
    <s v=""/>
    <s v=""/>
    <s v=""/>
    <s v=""/>
    <s v=""/>
    <s v=""/>
    <s v=""/>
    <s v=""/>
    <s v=""/>
    <s v=""/>
    <s v=""/>
    <s v=""/>
    <s v=""/>
    <s v=""/>
    <s v=""/>
    <s v=""/>
    <s v=""/>
    <s v=""/>
    <s v="['21&amp;rsquor;|0:0|Tsuneyasu Miyamoto', '42&amp;rsquor;|0:0|Yoshikatsu Kawaguchi', '72&amp;rsquor;|0:0|Alessandro Santos']"/>
    <s v="['32&amp;rsquor;|0:0|Robert Kovač', '69&amp;rsquor;|0:0|Darijo Srna']"/>
    <s v="['46&amp;rsquor;|0:0|Junichi Inamoto|for Takashi Fukunishi', '61&amp;rsquor;|0:0|Keiji Tamada|for Atsushi Yanagisawa', '85&amp;rsquor;|0:0|Masashi Oguro|for Naohiro Takahara']"/>
    <s v="['70&amp;rsquor;|0:0|Ivica Olić|for Igor Tudor', '78&amp;rsquor;|0:0|Luka Modrić|for Niko Kranjčar', '87&amp;rsquor;|0:0|Ivan Bošnjak|for Darijo Srna']"/>
  </r>
  <r>
    <s v="Brazil"/>
    <s v="Australia"/>
    <n v="2"/>
    <m/>
    <m/>
    <n v="0"/>
    <m/>
    <m/>
    <s v="Carlos Alberto Parreira"/>
    <s v=""/>
    <s v="Guus Hiddink"/>
    <s v=""/>
    <n v="66000"/>
    <s v="Allianz Arena, München"/>
    <s v=""/>
    <x v="5"/>
    <x v="113"/>
    <s v="2–0"/>
    <s v=""/>
    <s v=""/>
    <x v="4"/>
    <x v="4"/>
    <s v="Adriano · 49|Fred · 90"/>
    <s v=""/>
    <s v="['49&amp;rsquor;|1:0|Adriano', '90&amp;rsquor;|2:0|Fred']"/>
    <s v=""/>
    <s v=""/>
    <s v=""/>
    <s v=""/>
    <s v=""/>
    <s v=""/>
    <s v=""/>
    <s v=""/>
    <s v=""/>
    <s v=""/>
    <s v=""/>
    <s v=""/>
    <s v=""/>
    <s v=""/>
    <s v=""/>
    <s v="['29&amp;rsquor;|0:0|Cafú', '31&amp;rsquor;|0:0|Ronaldo', '83&amp;rsquor;|1:0|Robinho']"/>
    <s v="['13&amp;rsquor;|0:0|Brett Emerton', '39&amp;rsquor;|0:0|Jason Culina']"/>
    <s v="['72&amp;rsquor;|1:0|Gilberto Silva|for Emerson', '72&amp;rsquor;|1:0|Robinho|for Ronaldo', '88&amp;rsquor;|1:0|Fred|for Adriano']"/>
    <s v="['41&amp;rsquor;|0:0|Mark Bresciano|for Tony Popovic', '56&amp;rsquor;|1:0|Harry Kewell|for Tim Cahill', '69&amp;rsquor;|1:0|John Aloisi|for Craig Moore']"/>
  </r>
  <r>
    <s v="France"/>
    <s v="Korea Republic"/>
    <n v="1"/>
    <m/>
    <m/>
    <n v="1"/>
    <m/>
    <m/>
    <s v="Raymond Domenech"/>
    <s v=""/>
    <s v="Dick Advocaat"/>
    <s v=""/>
    <n v="43000"/>
    <s v="Red Bull Arena, Leipzig"/>
    <s v=""/>
    <x v="5"/>
    <x v="113"/>
    <s v="1–1"/>
    <s v=""/>
    <s v=""/>
    <x v="4"/>
    <x v="4"/>
    <s v="Thierry Henry · 9"/>
    <s v="Park Ji-sung · 81"/>
    <s v="['9&amp;rsquor;|1:0|Thierry Henry']"/>
    <s v="['81&amp;rsquor;|1:1|Park Ji-sung']"/>
    <s v=""/>
    <s v=""/>
    <s v=""/>
    <s v=""/>
    <s v=""/>
    <s v=""/>
    <s v=""/>
    <s v=""/>
    <s v=""/>
    <s v=""/>
    <s v=""/>
    <s v=""/>
    <s v=""/>
    <s v=""/>
    <s v="['79&amp;rsquor;|1:0|Éric Abidal', '85&amp;rsquor;|1:1|Zinédine Zidane']"/>
    <s v="['11&amp;rsquor;|1:0|Lee Ho', '29&amp;rsquor;|1:0|Kim Dong-jin']"/>
    <s v="['60&amp;rsquor;|1:0|Franck Ribéry|for Sylvain Wiltord', '88&amp;rsquor;|1:1|Vikash Dhorasoo|for Florent Malouda', '90+1&amp;rsquor;|1:1|David Trezeguet|for Zinédine Zidane']"/>
    <s v="['46&amp;rsquor;|1:0|Seol Ki-hyeon|for Lee Eul-yong', '69&amp;rsquor;|1:0|Kim Sang-sik|for Lee Ho', '72&amp;rsquor;|1:0|Ahn Jung-hwan|for Lee Chun-soo']"/>
  </r>
  <r>
    <s v="Portugal"/>
    <s v="IR Iran"/>
    <n v="2"/>
    <m/>
    <m/>
    <n v="0"/>
    <m/>
    <m/>
    <s v="Luiz Felipe Scolari"/>
    <s v=""/>
    <s v="Branko Ivanković"/>
    <s v=""/>
    <n v="48000"/>
    <s v="Commerzbank-Arena, Frankfurt am Main"/>
    <s v=""/>
    <x v="5"/>
    <x v="114"/>
    <s v="2–0"/>
    <s v=""/>
    <s v=""/>
    <x v="4"/>
    <x v="4"/>
    <s v="Deco · 63"/>
    <s v=""/>
    <s v="['63&amp;rsquor;|1:0|Deco']"/>
    <s v=""/>
    <s v=""/>
    <s v=""/>
    <s v="Cristiano Ronaldo (P) · 80"/>
    <s v=""/>
    <s v=""/>
    <s v=""/>
    <s v=""/>
    <s v=""/>
    <s v=""/>
    <s v=""/>
    <s v=""/>
    <s v=""/>
    <s v=""/>
    <s v=""/>
    <s v="['45+1&amp;rsquor;|0:0|Pauleta', '48&amp;rsquor;|0:0|Deco', '61&amp;rsquor;|0:0|Costinha']"/>
    <s v="['20&amp;rsquor;|0:0|Javad Nekounam', '32&amp;rsquor;|0:0|Mehrzad Madanchi', '73&amp;rsquor;|1:0|Hossein Kaebi', '88&amp;rsquor;|2:0|Yahya Golmohammadi']"/>
    <s v="['67&amp;rsquor;|1:0|Petit|for Maniche', '80&amp;rsquor;|1:0|Tiago Mendes|for Deco', '88&amp;rsquor;|2:0|Simão Sabrosa|for Luís Figo']"/>
    <s v="['65&amp;rsquor;|1:0|Ferydoon Zandi|for Ali Karimi', '66&amp;rsquor;|1:0|Rasoul Khatibi|for Mehrzad Madanchi', '88&amp;rsquor;|2:0|Sohrab Bakhtiarizadeh|for Yahya Golmohammadi']"/>
  </r>
  <r>
    <s v="Czech Republic"/>
    <s v="Ghana"/>
    <n v="0"/>
    <m/>
    <m/>
    <n v="2"/>
    <m/>
    <m/>
    <s v="Karel Brückner"/>
    <s v=""/>
    <s v="Ratomir Dujković"/>
    <s v=""/>
    <n v="45000"/>
    <s v="RheinEnergieSTADION, Köln"/>
    <s v=""/>
    <x v="5"/>
    <x v="114"/>
    <s v="0–2"/>
    <s v=""/>
    <s v=""/>
    <x v="4"/>
    <x v="4"/>
    <s v=""/>
    <s v="Asamoah Gyan · 2|Sulley Muntari · 82"/>
    <s v=""/>
    <s v="['2&amp;rsquor;|0:1|Asamoah Gyan', '82&amp;rsquor;|0:2|Sulley Muntari']"/>
    <s v=""/>
    <s v=""/>
    <s v=""/>
    <s v=""/>
    <s v=""/>
    <s v=""/>
    <s v=""/>
    <s v=""/>
    <s v=""/>
    <s v=""/>
    <s v="Tomáš Ujfaluši · 65"/>
    <s v=""/>
    <s v=""/>
    <s v=""/>
    <s v="['49&amp;rsquor;|0:1|Vratislav Lokvenc']"/>
    <s v="['18&amp;rsquor;|0:1|Otto Addo', '37&amp;rsquor;|0:1|Michael Essien', '66&amp;rsquor;|0:1|Asamoah Gyan', '75&amp;rsquor;|0:1|Derek Boateng', '84&amp;rsquor;|0:2|Sulley Muntari', '90+3&amp;rsquor;|0:2|Habib Mohamed']"/>
    <s v="['46&amp;rsquor;|0:1|Jan Polák|for Tomáš Galásek', '56&amp;rsquor;|0:1|Jiří Štajner|for Karel Poborský', '68&amp;rsquor;|0:1|Libor Sionko|for Jaroslav Plašil']"/>
    <s v="['46&amp;rsquor;|0:1|Derek Boateng|for Otto Addo', '80&amp;rsquor;|0:1|Eric Addo|for Matthew Amoah', '85&amp;rsquor;|0:2|Razak Pimpong|for Asamoah Gyan']"/>
  </r>
  <r>
    <s v="Italy"/>
    <s v="United States"/>
    <n v="1"/>
    <m/>
    <m/>
    <n v="1"/>
    <m/>
    <m/>
    <s v="Marcello Lippi"/>
    <s v=""/>
    <s v="Bruce Arena"/>
    <s v=""/>
    <n v="46000"/>
    <s v="Fritz-Walter-Stadion, Kaiserslautern"/>
    <s v=""/>
    <x v="5"/>
    <x v="114"/>
    <s v="1–1"/>
    <s v=""/>
    <s v=""/>
    <x v="4"/>
    <x v="4"/>
    <s v="Alberto Gilardino · 22"/>
    <s v=""/>
    <s v="['22&amp;rsquor;|1:0|Alberto Gilardino']"/>
    <s v=""/>
    <s v=""/>
    <s v="Cristian Zaccardo (OG) · 27"/>
    <s v=""/>
    <s v=""/>
    <s v=""/>
    <s v=""/>
    <s v=""/>
    <s v=""/>
    <s v=""/>
    <s v=""/>
    <s v="Daniele De Rossi · 28"/>
    <s v="Pablo Mastroeni · 45"/>
    <s v=""/>
    <s v="Eddie Pope · 47"/>
    <s v="['5&amp;rsquor;|0:0|Francesco Totti', '70&amp;rsquor;|1:1|Gianluca Zambrotta']"/>
    <s v="['21&amp;rsquor;|0:0|Eddie Pope']"/>
    <s v="['35&amp;rsquor;|1:1|Gennaro Gattuso|for Francesco Totti', '54&amp;rsquor;|1:1|Alessandro Del Piero|for Cristian Zaccardo', '61&amp;rsquor;|1:1|Vincenzo Iaquinta|for Luca Toni']"/>
    <s v="['52&amp;rsquor;|1:1|Jimmy Conrad|for Bobby Convey', '62&amp;rsquor;|1:1|DaMarcus Beasley|for Clint Dempsey']"/>
  </r>
  <r>
    <s v="Argentina"/>
    <s v="Serbia and Montenegro"/>
    <n v="6"/>
    <m/>
    <m/>
    <n v="0"/>
    <m/>
    <m/>
    <s v="José Pékerman"/>
    <s v=""/>
    <s v="Ilija Petković"/>
    <s v=""/>
    <n v="52000"/>
    <s v="Veltins-Arena, Gelsenkirchen"/>
    <s v=""/>
    <x v="5"/>
    <x v="115"/>
    <s v="6–0"/>
    <s v=""/>
    <s v=""/>
    <x v="4"/>
    <x v="4"/>
    <s v="Maxi Rodríguez · 6|Esteban Cambiasso · 31|Maxi Rodríguez · 41|Hernán Crespo · 78|Carlos Tevez · 84|Lionel Messi · 88"/>
    <s v=""/>
    <s v="['6&amp;rsquor;|1:0|Maxi Rodríguez', '31&amp;rsquor;|2:0|Esteban Cambiasso', '41&amp;rsquor;|3:0|Maxi Rodríguez', '78&amp;rsquor;|4:0|Hernán Crespo', '84&amp;rsquor;|5:0|Carlos Tevez', '88&amp;rsquor;|6:0|Lionel Messi']"/>
    <s v=""/>
    <s v=""/>
    <s v=""/>
    <s v=""/>
    <s v=""/>
    <s v=""/>
    <s v=""/>
    <s v=""/>
    <s v=""/>
    <s v=""/>
    <s v=""/>
    <s v=""/>
    <s v="Mateja Kežman · 65"/>
    <s v=""/>
    <s v=""/>
    <s v="['36&amp;rsquor;|2:0|Hernán Crespo']"/>
    <s v="['7&amp;rsquor;|1:0|Ognjen Koroman', '27&amp;rsquor;|1:0|Albert Nađ', '42&amp;rsquor;|3:0|Mladen Krstajić']"/>
    <s v="['17&amp;rsquor;|1:0|Esteban Cambiasso|for Lucho González', '59&amp;rsquor;|3:0|Carlos Tevez|for Javier Saviola', '75&amp;rsquor;|3:0|Lionel Messi|for Maxi Rodríguez']"/>
    <s v="['46&amp;rsquor;|3:0|Ivan Ergić|for Albert Nađ', '50&amp;rsquor;|3:0|Danijel Ljuboja|for Ognjen Koroman', '70&amp;rsquor;|3:0|Zvonimir Vukić|for Savo Milošević']"/>
  </r>
  <r>
    <s v="Netherlands"/>
    <s v="Côte d'Ivoire"/>
    <n v="2"/>
    <m/>
    <m/>
    <n v="1"/>
    <m/>
    <m/>
    <s v="Marco van Basten"/>
    <s v=""/>
    <s v="Henri Michel"/>
    <s v=""/>
    <n v="52000"/>
    <s v="Mercedes-Benz Arena, Stuttgart"/>
    <s v=""/>
    <x v="5"/>
    <x v="115"/>
    <s v="2–1"/>
    <s v=""/>
    <s v=""/>
    <x v="4"/>
    <x v="4"/>
    <s v="Robin van Persie · 23|Ruud van Nistelrooy · 27"/>
    <s v="Bakari Koné · 38"/>
    <s v="['23&amp;rsquor;|1:0|Robin van Persie', '27&amp;rsquor;|2:0|Ruud van Nistelrooy']"/>
    <s v="['38&amp;rsquor;|2:1|Bakari Koné']"/>
    <s v=""/>
    <s v=""/>
    <s v=""/>
    <s v=""/>
    <s v=""/>
    <s v=""/>
    <s v=""/>
    <s v=""/>
    <s v=""/>
    <s v=""/>
    <s v=""/>
    <s v=""/>
    <s v=""/>
    <s v=""/>
    <s v="['34&amp;rsquor;|2:0|Arjen Robben', '35&amp;rsquor;|2:0|Joris Mathijsen', '58&amp;rsquor;|2:1|Mark van Bommel', '90+4&amp;rsquor;|2:1|Khalid Boulahrouz']"/>
    <s v="['25&amp;rsquor;|1:0|Didier Zokora', '41&amp;rsquor;|2:1|Didier Drogba', '66&amp;rsquor;|2:1|Arthur Boka']"/>
    <s v="['46&amp;rsquor;|2:1|Khalid Boulahrouz|for John Heitinga', '50&amp;rsquor;|2:1|Rafael van der Vaart|for Wesley Sneijder', '73&amp;rsquor;|2:1|Denny Landzaat|for Ruud van Nistelrooy']"/>
    <s v="['62&amp;rsquor;|2:1|Gilles Yapi Yapo|for Romaric', '62&amp;rsquor;|2:1|Aruna Dindane|for Bakari Koné', '73&amp;rsquor;|2:1|Kanga Akalé|for Arouna Koné']"/>
  </r>
  <r>
    <s v="Mexico"/>
    <s v="Angola"/>
    <n v="0"/>
    <m/>
    <m/>
    <n v="0"/>
    <m/>
    <m/>
    <s v="Ricardo La Volpe"/>
    <s v=""/>
    <s v="Oliveira Gonçalves"/>
    <s v=""/>
    <n v="43000"/>
    <s v="HDI-Arena, Hannover"/>
    <s v=""/>
    <x v="5"/>
    <x v="115"/>
    <s v="0–0"/>
    <s v=""/>
    <s v=""/>
    <x v="4"/>
    <x v="4"/>
    <s v=""/>
    <s v=""/>
    <s v=""/>
    <s v=""/>
    <s v=""/>
    <s v=""/>
    <s v=""/>
    <s v=""/>
    <s v=""/>
    <s v=""/>
    <s v=""/>
    <s v=""/>
    <s v=""/>
    <s v=""/>
    <s v=""/>
    <s v=""/>
    <s v=""/>
    <s v="André Macanga · 79"/>
    <s v="['59&amp;rsquor;|0:0|Gonzalo Pineda']"/>
    <s v="['13&amp;rsquor;|0:0|Luís Manuel Ferreira Delgado', '44&amp;rsquor;|0:0|André Macanga', '50&amp;rsquor;|0:0|Zé Kalanga', '86&amp;rsquor;|0:0|João Ricardo']"/>
    <s v="['52&amp;rsquor;|0:0|Jesús Arellano|for Sinha', '74&amp;rsquor;|0:0|Francisco Fonseca|for Guillermo Franco', '78&amp;rsquor;|0:0|Ramón Morales|for Gonzalo Pineda']"/>
    <s v="['68&amp;rsquor;|0:0|Mantorras|for Mateus Galiano da Costa', '73&amp;rsquor;|0:0|Rui Marques|for Paulo Figueiredo', '83&amp;rsquor;|0:0|Miloy|for Zé Kalanga']"/>
  </r>
  <r>
    <s v="Ecuador"/>
    <s v="Costa Rica"/>
    <n v="3"/>
    <m/>
    <m/>
    <n v="0"/>
    <m/>
    <m/>
    <s v="Luis Fernando Suárez"/>
    <s v=""/>
    <s v="Alexandre Guimarães"/>
    <s v=""/>
    <n v="50000"/>
    <s v="Veltins-Arena, Gelsenkirchen"/>
    <s v=""/>
    <x v="5"/>
    <x v="116"/>
    <s v="3–0"/>
    <s v=""/>
    <s v=""/>
    <x v="4"/>
    <x v="4"/>
    <s v="Carlos Tenorio · 8|Agustín Delgado · 54|Iván Kaviedes · 90+2"/>
    <s v=""/>
    <s v="['8&amp;rsquor;|1:0|Carlos Tenorio', '54&amp;rsquor;|2:0|Agustín Delgado', '90+2&amp;rsquor;|3:0|Iván Kaviedes']"/>
    <s v=""/>
    <s v=""/>
    <s v=""/>
    <s v=""/>
    <s v=""/>
    <s v=""/>
    <s v=""/>
    <s v=""/>
    <s v=""/>
    <s v=""/>
    <s v=""/>
    <s v=""/>
    <s v=""/>
    <s v=""/>
    <s v=""/>
    <s v="['44&amp;rsquor;|1:0|Segundo Castillo', '54&amp;rsquor;|1:0|Ulises de la Cruz', '60&amp;rsquor;|2:0|Cristian Mora']"/>
    <s v="['10&amp;rsquor;|1:0|Luis Marín', '28&amp;rsquor;|1:0|Mauricio Solís']"/>
    <s v="['46&amp;rsquor;|1:0|Iván Kaviedes|for Carlos Tenorio', '69&amp;rsquor;|2:0|Jorge Guagua|for Giovanny Espinoza', '73&amp;rsquor;|2:0|Patricio Urrutia|for Antonio Valencia']"/>
    <s v="['29&amp;rsquor;|1:0|Álvaro Saborío|for Danny Fonseca', '56&amp;rsquor;|2:0|Carlos Hernández|for Leonardo González', '84&amp;rsquor;|2:0|Kurt Bernard|for Walter Centeno']"/>
  </r>
  <r>
    <s v="England"/>
    <s v="Trinidad and Tobago"/>
    <n v="2"/>
    <m/>
    <m/>
    <n v="0"/>
    <m/>
    <m/>
    <s v="Sven-Göran Eriksson"/>
    <s v=""/>
    <s v="Leo Beenhakker"/>
    <s v=""/>
    <n v="41000"/>
    <s v="Max-Morlock-Stadion, Nürnberg"/>
    <s v=""/>
    <x v="5"/>
    <x v="116"/>
    <s v="2–0"/>
    <s v=""/>
    <s v=""/>
    <x v="4"/>
    <x v="4"/>
    <s v="Peter Crouch · 83|Steven Gerrard · 90+1"/>
    <s v=""/>
    <s v="['83&amp;rsquor;|1:0|Peter Crouch', '90+1&amp;rsquor;|2:0|Steven Gerrard']"/>
    <s v=""/>
    <s v=""/>
    <s v=""/>
    <s v=""/>
    <s v=""/>
    <s v=""/>
    <s v=""/>
    <s v=""/>
    <s v=""/>
    <s v=""/>
    <s v=""/>
    <s v=""/>
    <s v=""/>
    <s v=""/>
    <s v=""/>
    <s v="['64&amp;rsquor;|0:0|Frank Lampard']"/>
    <s v="['18&amp;rsquor;|0:0|Densill Theobald', '19&amp;rsquor;|0:0|Aurtis Whitley', '45+1&amp;rsquor;|0:0|Kenwyne Jones', '47&amp;rsquor;|0:0|Shaka Hislop', '56&amp;rsquor;|0:0|Cyd Gray']"/>
    <s v="['58&amp;rsquor;|0:0|Wayne Rooney|for Michael Owen', '58&amp;rsquor;|0:0|Aaron Lennon|for Jamie Carragher', '75&amp;rsquor;|0:0|Stewart Downing|for Joe Cole']"/>
    <s v="['70&amp;rsquor;|0:0|Cornell Glen|for Kenwyne Jones', '85&amp;rsquor;|1:0|Evans Wise|for Densill Theobald']"/>
  </r>
  <r>
    <s v="Sweden"/>
    <s v="Paraguay"/>
    <n v="1"/>
    <m/>
    <m/>
    <n v="0"/>
    <m/>
    <m/>
    <s v="Lars Lagerbäck"/>
    <s v=""/>
    <s v="Aníbal Ruiz"/>
    <s v=""/>
    <n v="72000"/>
    <s v="Olympiastadion Berlin, Berlin"/>
    <s v=""/>
    <x v="5"/>
    <x v="116"/>
    <s v="1–0"/>
    <s v=""/>
    <s v=""/>
    <x v="4"/>
    <x v="4"/>
    <s v="Freddie Ljungberg · 89"/>
    <s v=""/>
    <s v="['89&amp;rsquor;|1:0|Freddie Ljungberg']"/>
    <s v=""/>
    <s v=""/>
    <s v=""/>
    <s v=""/>
    <s v=""/>
    <s v=""/>
    <s v=""/>
    <s v=""/>
    <s v=""/>
    <s v=""/>
    <s v=""/>
    <s v=""/>
    <s v=""/>
    <s v=""/>
    <s v=""/>
    <s v="['14&amp;rsquor;|0:0|Tobias Linderoth', '48&amp;rsquor;|0:0|Teddy Lučić', '60&amp;rsquor;|0:0|Marcus Allbäck']"/>
    <s v="['3&amp;rsquor;|0:0|Denis Caniza', '51&amp;rsquor;|0:0|Roberto Acuña', '54&amp;rsquor;|0:0|Jorge Martín Núñez', '74&amp;rsquor;|0:0|Carlos Paredes', '85&amp;rsquor;|0:0|Édgar Barreto']"/>
    <s v="['46&amp;rsquor;|0:0|Marcus Allbäck|for Zlatan Ibrahimović', '68&amp;rsquor;|0:0|Mattias Jonson|for Christian Wilhelmsson', '86&amp;rsquor;|0:0|Johan Elmander|for Kim Källström']"/>
    <s v="['62&amp;rsquor;|0:0|Julio dos Santos|for Cristian Riveros', '63&amp;rsquor;|0:0|Dante López|for Roque Santa Cruz', '81&amp;rsquor;|0:0|Édgar Barreto|for Carlos Bonet']"/>
  </r>
  <r>
    <s v="Spain"/>
    <s v="Ukraine"/>
    <n v="4"/>
    <m/>
    <m/>
    <n v="0"/>
    <m/>
    <m/>
    <s v="Luis Aragonés"/>
    <s v=""/>
    <s v="Oleh Blokhin"/>
    <s v=""/>
    <n v="43000"/>
    <s v="Red Bull Arena, Leipzig"/>
    <s v=""/>
    <x v="5"/>
    <x v="117"/>
    <s v="4–0"/>
    <s v=""/>
    <s v=""/>
    <x v="4"/>
    <x v="4"/>
    <s v="Xabi Alonso · 13|David Villa · 17|Fernando Torres · 81"/>
    <s v=""/>
    <s v="['13&amp;rsquor;|1:0|Xabi Alonso', '17&amp;rsquor;|2:0|David Villa', '81&amp;rsquor;|4:0|Fernando Torres']"/>
    <s v=""/>
    <s v=""/>
    <s v=""/>
    <s v="David Villa (P) · 48"/>
    <s v=""/>
    <s v=""/>
    <s v=""/>
    <s v=""/>
    <s v=""/>
    <s v=""/>
    <s v=""/>
    <s v=""/>
    <s v="Vladyslav Vashchuk · 47"/>
    <s v=""/>
    <s v=""/>
    <s v=""/>
    <s v="['17&amp;rsquor;|2:0|Andriy Rusol', '53&amp;rsquor;|3:0|Volodymyr Yezerskiy']"/>
    <s v="['55&amp;rsquor;|3:0|David Albelda|for Xabi Alonso', '55&amp;rsquor;|3:0|Raúl|for David Villa', '77&amp;rsquor;|3:0|Cesc Fàbregas|for Luis García']"/>
    <s v="['46&amp;rsquor;|2:0|Oleh Shelayev|for Oleh Husyev', '46&amp;rsquor;|2:0|Andriy Vorobey|for Andriy Husin', '64&amp;rsquor;|3:0|Serhiy Rebrov|for Ruslan Rotan']"/>
  </r>
  <r>
    <s v="Tunisia"/>
    <s v="Saudi Arabia"/>
    <n v="2"/>
    <m/>
    <m/>
    <n v="2"/>
    <m/>
    <m/>
    <s v="Roger Lemerre"/>
    <s v=""/>
    <s v="Marcos Paquetá"/>
    <s v=""/>
    <n v="66000"/>
    <s v="Allianz Arena, München"/>
    <s v=""/>
    <x v="5"/>
    <x v="117"/>
    <s v="2–2"/>
    <s v=""/>
    <s v=""/>
    <x v="4"/>
    <x v="4"/>
    <s v="Ziad Jaziri · 23|Radhi Jaïdi · 90+2"/>
    <s v="Yasser Al-Qahtani · 57|Sami Al-Jaber · 84"/>
    <s v="['23&amp;rsquor;|1:0|Ziad Jaziri', '90+2&amp;rsquor;|2:2|Radhi Jaïdi']"/>
    <s v="['57&amp;rsquor;|1:1|Yasser Al-Qahtani', '84&amp;rsquor;|1:2|Sami Al-Jaber']"/>
    <s v=""/>
    <s v=""/>
    <s v=""/>
    <s v=""/>
    <s v=""/>
    <s v=""/>
    <s v=""/>
    <s v=""/>
    <s v=""/>
    <s v=""/>
    <s v=""/>
    <s v=""/>
    <s v=""/>
    <s v=""/>
    <s v="['35&amp;rsquor;|1:0|Karim Haggui', '36&amp;rsquor;|1:0|Riadh Bouazizi', '65&amp;rsquor;|1:1|Adel Chedli', '79&amp;rsquor;|1:1|Yassine Chikhaoui']"/>
    <s v=""/>
    <s v="['55&amp;rsquor;|1:0|Mehdi Nafti|for Riadh Bouazizi', '69&amp;rsquor;|1:1|Kaies Ghodhbane|for Adel Chedli', '82&amp;rsquor;|1:1|Karim Essediri|for Yassine Chikhaoui']"/>
    <s v="['67&amp;rsquor;|1:1|Malek Mouath|for Nawaf Al-Temyat', '75&amp;rsquor;|1:1|Mohammed Ameen|for Mohammed Noor', '82&amp;rsquor;|1:1|Saad Al-Harthi|for Yasser Al-Qahtani']"/>
  </r>
  <r>
    <s v="Germany"/>
    <s v="Poland"/>
    <n v="1"/>
    <m/>
    <m/>
    <n v="0"/>
    <m/>
    <m/>
    <s v="Jürgen Klinsmann"/>
    <s v=""/>
    <s v="Paweł Janas"/>
    <s v=""/>
    <n v="65000"/>
    <s v="Signal Iduna Park, Dortmund"/>
    <s v=""/>
    <x v="5"/>
    <x v="117"/>
    <s v="1–0"/>
    <s v=""/>
    <s v=""/>
    <x v="4"/>
    <x v="4"/>
    <s v="Oliver Neuville · 90+1"/>
    <s v=""/>
    <s v="['90+1&amp;rsquor;|1:0|Oliver Neuville']"/>
    <s v=""/>
    <s v=""/>
    <s v=""/>
    <s v=""/>
    <s v=""/>
    <s v=""/>
    <s v=""/>
    <s v=""/>
    <s v=""/>
    <s v=""/>
    <s v=""/>
    <s v=""/>
    <s v=""/>
    <s v=""/>
    <s v="Radosław Sobolewski · 75"/>
    <s v="['58&amp;rsquor;|0:0|Michael Ballack', '68&amp;rsquor;|0:0|David Odonkor', '70&amp;rsquor;|0:0|Christoph Metzelder']"/>
    <s v="['3&amp;rsquor;|0:0|Jacek Krzynówek', '28&amp;rsquor;|0:0|Radosław Sobolewski', '89&amp;rsquor;|0:0|Artur Boruc']"/>
    <s v="['64&amp;rsquor;|0:0|David Odonkor|for Arne Friedrich', '71&amp;rsquor;|0:0|Oliver Neuville|for Lukas Podolski', '77&amp;rsquor;|0:0|Tim Borowski|for Bastian Schweinsteiger']"/>
    <s v="['77&amp;rsquor;|0:0|Mariusz Lewandowski|for Jacek Krzynówek', '83&amp;rsquor;|0:0|Dariusz Dudka|for Michał Żewłakow', '90&amp;rsquor;|0:0|Paweł Brożek|for Ireneusz Jeleń']"/>
  </r>
  <r>
    <s v="Korea Republic"/>
    <s v="Togo"/>
    <n v="2"/>
    <m/>
    <m/>
    <n v="1"/>
    <m/>
    <m/>
    <s v="Dick Advocaat"/>
    <s v=""/>
    <s v="Otto Pfister"/>
    <s v=""/>
    <n v="48000"/>
    <s v="Commerzbank-Arena, Frankfurt am Main"/>
    <s v=""/>
    <x v="5"/>
    <x v="118"/>
    <s v="2–1"/>
    <s v=""/>
    <s v=""/>
    <x v="4"/>
    <x v="4"/>
    <s v="Lee Chun-soo · 54|Ahn Jung-hwan · 72"/>
    <s v="Mohamed Kader · 31"/>
    <s v="['54&amp;rsquor;|1:1|Lee Chun-soo', '72&amp;rsquor;|2:1|Ahn Jung-hwan']"/>
    <s v="['31&amp;rsquor;|0:1|Mohamed Kader']"/>
    <s v=""/>
    <s v=""/>
    <s v=""/>
    <s v=""/>
    <s v=""/>
    <s v=""/>
    <s v=""/>
    <s v=""/>
    <s v=""/>
    <s v=""/>
    <s v=""/>
    <s v=""/>
    <s v=""/>
    <s v="Jean-Paul Abalo · 53"/>
    <s v="['41&amp;rsquor;|0:1|Kim Young-chul', '51&amp;rsquor;|0:1|Lee Chun-soo']"/>
    <s v="['23&amp;rsquor;|0:0|Jean-Paul Abalo', '24&amp;rsquor;|0:0|Alaixys Romao', '90+2&amp;rsquor;|2:1|Massamasso Tchangai']"/>
    <s v="['46&amp;rsquor;|0:1|Ahn Jung-hwan|for Kim Jin-kyu', '68&amp;rsquor;|1:1|Kim Nam-il|for Lee Eul-yong', '83&amp;rsquor;|2:1|Kim Sang-sik|for Cho Jae-jin']"/>
    <s v="['55&amp;rsquor;|1:1|Assimiou Touré|for Yao Junior Sènaya', '62&amp;rsquor;|1:1|Richmond Forson|for Ludovic Assemoassa', '86&amp;rsquor;|2:1|Yao Aziawonou|for Moustapha Salifou']"/>
  </r>
  <r>
    <s v="France"/>
    <s v="Switzerland"/>
    <n v="0"/>
    <m/>
    <m/>
    <n v="0"/>
    <m/>
    <m/>
    <s v="Raymond Domenech"/>
    <s v=""/>
    <s v="Köbi Kuhn"/>
    <s v=""/>
    <n v="52000"/>
    <s v="Mercedes-Benz Arena, Stuttgart"/>
    <s v=""/>
    <x v="5"/>
    <x v="118"/>
    <s v="0–0"/>
    <s v=""/>
    <s v=""/>
    <x v="4"/>
    <x v="4"/>
    <s v=""/>
    <s v=""/>
    <s v=""/>
    <s v=""/>
    <s v=""/>
    <s v=""/>
    <s v=""/>
    <s v=""/>
    <s v=""/>
    <s v=""/>
    <s v=""/>
    <s v=""/>
    <s v=""/>
    <s v=""/>
    <s v=""/>
    <s v=""/>
    <s v=""/>
    <s v=""/>
    <s v="['64&amp;rsquor;|0:0|Éric Abidal', '72&amp;rsquor;|0:0|Zinédine Zidane', '90+3&amp;rsquor;|0:0|Willy Sagnol']"/>
    <s v="['42&amp;rsquor;|0:0|Ludovic Magnin', '45&amp;rsquor;|0:0|Marco Streller', '56&amp;rsquor;|0:0|Philipp Degen', '72&amp;rsquor;|0:0|Ricardo Cabanas', '90+3&amp;rsquor;|0:0|Alexander Frei']"/>
    <s v="['70&amp;rsquor;|0:0|Louis Saha|for Franck Ribéry', '84&amp;rsquor;|0:0|Vikash Dhorasoo|for Sylvain Wiltord']"/>
    <s v="['56&amp;rsquor;|0:0|Daniel Gygax|for Marco Streller', '75&amp;rsquor;|0:0|Johan Djourou|for Patrick Müller', '82&amp;rsquor;|0:0|Xavier Margairaz|for Raphaël Wicky']"/>
  </r>
  <r>
    <s v="Brazil"/>
    <s v="Croatia"/>
    <n v="1"/>
    <m/>
    <m/>
    <n v="0"/>
    <m/>
    <m/>
    <s v="Carlos Alberto Parreira"/>
    <s v=""/>
    <s v="Zlatko Kranjčar"/>
    <s v=""/>
    <n v="72000"/>
    <s v="Olympiastadion Berlin, Berlin"/>
    <s v=""/>
    <x v="5"/>
    <x v="118"/>
    <s v="1–0"/>
    <s v=""/>
    <s v=""/>
    <x v="4"/>
    <x v="4"/>
    <s v="Kaká · 44"/>
    <s v=""/>
    <s v="['44&amp;rsquor;|1:0|Kaká']"/>
    <s v=""/>
    <s v=""/>
    <s v=""/>
    <s v=""/>
    <s v=""/>
    <s v=""/>
    <s v=""/>
    <s v=""/>
    <s v=""/>
    <s v=""/>
    <s v=""/>
    <s v=""/>
    <s v=""/>
    <s v=""/>
    <s v=""/>
    <s v="['42&amp;rsquor;|0:0|Emerson']"/>
    <s v="['32&amp;rsquor;|0:0|Niko Kovač', '67&amp;rsquor;|1:0|Robert Kovač', '90&amp;rsquor;|1:0|Igor Tudor']"/>
    <s v="['69&amp;rsquor;|1:0|Robinho|for Ronaldo']"/>
    <s v="['41&amp;rsquor;|0:0|Jerko Leko|for Niko Kovač', '56&amp;rsquor;|1:0|Ivica Olić|for Ivan Klasnić']"/>
  </r>
  <r>
    <s v="Australia"/>
    <s v="Japan"/>
    <n v="3"/>
    <m/>
    <m/>
    <n v="1"/>
    <m/>
    <m/>
    <s v="Guus Hiddink"/>
    <s v=""/>
    <s v="Zico"/>
    <s v=""/>
    <n v="46000"/>
    <s v="Fritz-Walter-Stadion, Kaiserslautern"/>
    <s v=""/>
    <x v="5"/>
    <x v="119"/>
    <s v="3–1"/>
    <s v=""/>
    <s v=""/>
    <x v="4"/>
    <x v="4"/>
    <s v="Tim Cahill · 84|Tim Cahill · 89|John Aloisi · 90+2"/>
    <s v="Shunsuke Nakamura · 26"/>
    <s v="['84&amp;rsquor;|1:1|Tim Cahill', '89&amp;rsquor;|2:1|Tim Cahill', '90+2&amp;rsquor;|3:1|John Aloisi']"/>
    <s v="['26&amp;rsquor;|0:1|Shunsuke Nakamura']"/>
    <s v=""/>
    <s v=""/>
    <s v=""/>
    <s v=""/>
    <s v=""/>
    <s v=""/>
    <s v=""/>
    <s v=""/>
    <s v=""/>
    <s v=""/>
    <s v=""/>
    <s v=""/>
    <s v=""/>
    <s v=""/>
    <s v="['33&amp;rsquor;|0:1|Vince Grella', '58&amp;rsquor;|0:1|Craig Moore', '69&amp;rsquor;|0:1|Tim Cahill', '78&amp;rsquor;|0:1|John Aloisi']"/>
    <s v="['31&amp;rsquor;|0:1|Tsuneyasu Miyamoto', '40&amp;rsquor;|0:1|Naohiro Takahara', '68&amp;rsquor;|0:1|Teruyuki Moniwa']"/>
    <s v="['53&amp;rsquor;|0:1|Tim Cahill|for Mark Bresciano', '61&amp;rsquor;|0:1|Joshua Kennedy|for Craig Moore', '75&amp;rsquor;|0:1|John Aloisi|for Luke Wilkshire']"/>
    <s v="['56&amp;rsquor;|0:1|Teruyuki Moniwa|for Keisuke Tsuboi', '79&amp;rsquor;|0:1|Shinji Ono|for Atsushi Yanagisawa', '90&amp;rsquor;|2:1|Masashi Oguro|for Teruyuki Moniwa']"/>
  </r>
  <r>
    <s v="United States"/>
    <s v="Czech Republic"/>
    <n v="0"/>
    <m/>
    <m/>
    <n v="3"/>
    <m/>
    <m/>
    <s v="Bruce Arena"/>
    <s v=""/>
    <s v="Karel Brückner"/>
    <s v=""/>
    <n v="52000"/>
    <s v="Veltins-Arena, Gelsenkirchen"/>
    <s v=""/>
    <x v="5"/>
    <x v="119"/>
    <s v="0–3"/>
    <s v=""/>
    <s v=""/>
    <x v="4"/>
    <x v="4"/>
    <s v=""/>
    <s v="Jan Koller · 5|Tomáš Rosický · 36|Tomáš Rosický · 76"/>
    <s v=""/>
    <s v="['5&amp;rsquor;|0:1|Jan Koller', '36&amp;rsquor;|0:2|Tomáš Rosický', '76&amp;rsquor;|0:3|Tomáš Rosický']"/>
    <s v=""/>
    <s v=""/>
    <s v=""/>
    <s v=""/>
    <s v=""/>
    <s v=""/>
    <s v=""/>
    <s v=""/>
    <s v=""/>
    <s v=""/>
    <s v=""/>
    <s v=""/>
    <s v=""/>
    <s v=""/>
    <s v="['5&amp;rsquor;|0:1|Oguchi Onyewu', '60&amp;rsquor;|0:2|Claudio Reyna']"/>
    <s v="['16&amp;rsquor;|0:1|David Rozehnal', '59&amp;rsquor;|0:2|Vratislav Lokvenc', '81&amp;rsquor;|0:3|Tomáš Rosický', '88&amp;rsquor;|0:3|Zdeněk Grygera']"/>
    <s v="[&quot;46&amp;rsquor;|0:2|John O'Brien|for Steve Cherundolo&quot;, '46&amp;rsquor;|0:2|Eddie Johnson|for Pablo Mastroeni', '77&amp;rsquor;|0:3|Josh Wolff|for Brian McBride']"/>
    <s v="['45&amp;rsquor;|0:2|Vratislav Lokvenc|for Jan Koller', '82&amp;rsquor;|0:3|Jan Polák|for Karel Poborský', '86&amp;rsquor;|0:3|Jiří Štajner|for Tomáš Rosický']"/>
  </r>
  <r>
    <s v="Italy"/>
    <s v="Ghana"/>
    <n v="2"/>
    <m/>
    <m/>
    <n v="0"/>
    <m/>
    <m/>
    <s v="Marcello Lippi"/>
    <s v=""/>
    <s v="Ratomir Dujković"/>
    <s v=""/>
    <n v="43000"/>
    <s v="HDI-Arena, Hannover"/>
    <s v=""/>
    <x v="5"/>
    <x v="119"/>
    <s v="2–0"/>
    <s v=""/>
    <s v=""/>
    <x v="4"/>
    <x v="4"/>
    <s v="Andrea Pirlo · 40|Vincenzo Iaquinta · 83"/>
    <s v=""/>
    <s v="['40&amp;rsquor;|1:0|Andrea Pirlo', '83&amp;rsquor;|2:0|Vincenzo Iaquinta']"/>
    <s v=""/>
    <s v=""/>
    <s v=""/>
    <s v=""/>
    <s v=""/>
    <s v=""/>
    <s v=""/>
    <s v=""/>
    <s v=""/>
    <s v=""/>
    <s v=""/>
    <s v=""/>
    <s v=""/>
    <s v=""/>
    <s v=""/>
    <s v="['10&amp;rsquor;|0:0|Daniele De Rossi', '62&amp;rsquor;|1:0|Mauro Camoranesi', '88&amp;rsquor;|2:0|Vincenzo Iaquinta']"/>
    <s v="['41&amp;rsquor;|1:0|Sulley Muntari', '65&amp;rsquor;|1:0|Asamoah Gyan']"/>
    <s v="['56&amp;rsquor;|1:0|Mauro Camoranesi|for Francesco Totti', '64&amp;rsquor;|1:0|Vincenzo Iaquinta|for Alberto Gilardino', '82&amp;rsquor;|1:0|Alessandro Del Piero|for Luca Toni']"/>
    <s v="['46&amp;rsquor;|1:0|Illiasu Shilla|for Emmanuel Pappoe', '68&amp;rsquor;|1:0|Razak Pimpong|for Matthew Amoah', '89&amp;rsquor;|2:0|Alex Tachie-Mensah|for Asamoah Gyan']"/>
  </r>
  <r>
    <s v="Serbia and Montenegro"/>
    <s v="Netherlands"/>
    <n v="0"/>
    <m/>
    <m/>
    <n v="1"/>
    <m/>
    <m/>
    <s v="Ilija Petković"/>
    <s v=""/>
    <s v="Marco van Basten"/>
    <s v=""/>
    <n v="37216"/>
    <s v="Red Bull Arena, Leipzig"/>
    <s v=""/>
    <x v="5"/>
    <x v="120"/>
    <s v="0–1"/>
    <s v=""/>
    <s v=""/>
    <x v="4"/>
    <x v="4"/>
    <s v=""/>
    <s v="Arjen Robben · 18"/>
    <s v=""/>
    <s v="['18&amp;rsquor;|0:1|Arjen Robben']"/>
    <s v=""/>
    <s v=""/>
    <s v=""/>
    <s v=""/>
    <s v=""/>
    <s v=""/>
    <s v=""/>
    <s v=""/>
    <s v=""/>
    <s v=""/>
    <s v=""/>
    <s v=""/>
    <s v=""/>
    <s v=""/>
    <s v="['34&amp;rsquor;|0:1|Dejan Stanković', '64&amp;rsquor;|0:1|Ognjen Koroman', '81&amp;rsquor;|0:1|Ivica Dragutinović', '90&amp;rsquor;|0:1|Goran Gavrančić']"/>
    <s v="['56&amp;rsquor;|0:1|Giovanni van Bronckhorst', '85&amp;rsquor;|0:1|Joris Mathijsen']"/>
    <s v="['43&amp;rsquor;|0:1|Ognjen Koroman|for Nenad Đorđević', '46&amp;rsquor;|0:1|Nikola Žigić|for Savo Milošević', '67&amp;rsquor;|0:1|Danijel Ljuboja|for Mateja Kežman']"/>
    <s v="['60&amp;rsquor;|0:1|Denny Landzaat|for Mark van Bommel', '69&amp;rsquor;|0:1|Dirk Kuyt|for Ruud van Nistelrooy', '86&amp;rsquor;|0:1|Khalid Boulahrouz|for Joris Mathijsen']"/>
  </r>
  <r>
    <s v="Mexico"/>
    <s v="IR Iran"/>
    <n v="3"/>
    <m/>
    <m/>
    <n v="1"/>
    <m/>
    <m/>
    <s v="Ricardo La Volpe"/>
    <s v=""/>
    <s v="Branko Ivanković"/>
    <s v=""/>
    <n v="41000"/>
    <s v="Max-Morlock-Stadion, Nürnberg"/>
    <s v=""/>
    <x v="5"/>
    <x v="120"/>
    <s v="3–1"/>
    <s v=""/>
    <s v=""/>
    <x v="4"/>
    <x v="4"/>
    <s v="Omar Bravo · 28|Omar Bravo · 76|Sinha · 79"/>
    <s v="Yahya Golmohammadi · 36"/>
    <s v="['28&amp;rsquor;|1:0|Omar Bravo', '76&amp;rsquor;|2:1|Omar Bravo', '79&amp;rsquor;|3:1|Sinha']"/>
    <s v="['36&amp;rsquor;|1:1|Yahya Golmohammadi']"/>
    <s v=""/>
    <s v=""/>
    <s v=""/>
    <s v=""/>
    <s v=""/>
    <s v=""/>
    <s v=""/>
    <s v=""/>
    <s v=""/>
    <s v=""/>
    <s v=""/>
    <s v=""/>
    <s v=""/>
    <s v=""/>
    <s v="['18&amp;rsquor;|0:0|Gerardo Torrado', '90+1&amp;rsquor;|3:1|Carlos Salcido']"/>
    <s v="['55&amp;rsquor;|1:1|Javad Nekounam']"/>
    <s v="['46&amp;rsquor;|1:1|Luis Ernesto Pérez|for Gerardo Torrado', '46&amp;rsquor;|1:1|Sinha|for Guillermo Franco', '52&amp;rsquor;|1:1|Francisco Fonseca|for Jared Borgetti']"/>
    <s v="['63&amp;rsquor;|1:1|Mehrzad Madanchi|for Ali Karimi', '81&amp;rsquor;|3:1|Arash Borhani|for Mohammad Nosrati']"/>
  </r>
  <r>
    <s v="Angola"/>
    <s v="Portugal"/>
    <n v="0"/>
    <m/>
    <m/>
    <n v="1"/>
    <m/>
    <m/>
    <s v="Oliveira Gonçalves"/>
    <s v=""/>
    <s v="Luiz Felipe Scolari"/>
    <s v=""/>
    <n v="45000"/>
    <s v="RheinEnergieSTADION, Köln"/>
    <s v=""/>
    <x v="5"/>
    <x v="120"/>
    <s v="0–1"/>
    <s v=""/>
    <s v=""/>
    <x v="4"/>
    <x v="4"/>
    <s v=""/>
    <s v="Pauleta · 4"/>
    <s v=""/>
    <s v="['4&amp;rsquor;|0:1|Pauleta']"/>
    <s v=""/>
    <s v=""/>
    <s v=""/>
    <s v=""/>
    <s v=""/>
    <s v=""/>
    <s v=""/>
    <s v=""/>
    <s v=""/>
    <s v=""/>
    <s v=""/>
    <s v=""/>
    <s v=""/>
    <s v=""/>
    <s v="['28&amp;rsquor;|0:1|Jamba', '45+3&amp;rsquor;|0:1|Locó', '52&amp;rsquor;|0:1|André Macanga']"/>
    <s v="['26&amp;rsquor;|0:1|Cristiano Ronaldo', '79&amp;rsquor;|0:1|Nuno Valente']"/>
    <s v="['60&amp;rsquor;|0:1|Mantorras|for Akwá', '70&amp;rsquor;|0:1|Édson Nobre|for Zé Kalanga', '80&amp;rsquor;|0:1|Miloy|for Paulo Figueiredo']"/>
    <s v="['60&amp;rsquor;|0:1|Costinha|for Cristiano Ronaldo', '72&amp;rsquor;|0:1|Maniche|for Petit', '83&amp;rsquor;|0:1|Hugo Viana|for Tiago Mendes']"/>
  </r>
  <r>
    <s v="England"/>
    <s v="Paraguay"/>
    <n v="1"/>
    <m/>
    <m/>
    <n v="0"/>
    <m/>
    <m/>
    <s v="Sven-Göran Eriksson"/>
    <s v=""/>
    <s v="Aníbal Ruiz"/>
    <s v=""/>
    <n v="48000"/>
    <s v="Commerzbank-Arena, Frankfurt am Main"/>
    <s v=""/>
    <x v="5"/>
    <x v="121"/>
    <s v="1–0"/>
    <s v=""/>
    <s v=""/>
    <x v="4"/>
    <x v="4"/>
    <s v=""/>
    <s v=""/>
    <s v=""/>
    <s v=""/>
    <s v="Carlos Gamarra (OG) · 3"/>
    <s v=""/>
    <s v=""/>
    <s v=""/>
    <s v=""/>
    <s v=""/>
    <s v=""/>
    <s v=""/>
    <s v=""/>
    <s v=""/>
    <s v=""/>
    <s v=""/>
    <s v=""/>
    <s v=""/>
    <s v="['19&amp;rsquor;|1:0|Steven Gerrard', '63&amp;rsquor;|1:0|Peter Crouch']"/>
    <s v="['22&amp;rsquor;|1:0|Nelson Valdez']"/>
    <s v="['56&amp;rsquor;|1:0|Stewart Downing|for Michael Owen', '83&amp;rsquor;|1:0|Owen Hargreaves|for Joe Cole']"/>
    <s v="['8&amp;rsquor;|1:0|Aldo Bobadilla|for Justo Villar', '68&amp;rsquor;|1:0|Nelson Cuevas|for Carlos Bonet', '82&amp;rsquor;|1:0|Jorge Martín Núñez|for Delio Toledo']"/>
  </r>
  <r>
    <s v="Trinidad and Tobago"/>
    <s v="Sweden"/>
    <n v="0"/>
    <m/>
    <m/>
    <n v="0"/>
    <m/>
    <m/>
    <s v="Leo Beenhakker"/>
    <s v=""/>
    <s v="Lars Lagerbäck"/>
    <s v=""/>
    <n v="62959"/>
    <s v="Signal Iduna Park, Dortmund"/>
    <s v=""/>
    <x v="5"/>
    <x v="121"/>
    <s v="0–0"/>
    <s v=""/>
    <s v=""/>
    <x v="4"/>
    <x v="4"/>
    <s v=""/>
    <s v=""/>
    <s v=""/>
    <s v=""/>
    <s v=""/>
    <s v=""/>
    <s v=""/>
    <s v=""/>
    <s v=""/>
    <s v=""/>
    <s v=""/>
    <s v=""/>
    <s v=""/>
    <s v=""/>
    <s v=""/>
    <s v=""/>
    <s v="Avery John · 46"/>
    <s v=""/>
    <s v="['15&amp;rsquor;|0:0|Avery John', '74&amp;rsquor;|0:0|Dwight Yorke']"/>
    <s v="['90&amp;rsquor;|0:0|Henrik Larsson']"/>
    <s v="['52&amp;rsquor;|0:0|Cornell Glen|for Collin Samuel', '66&amp;rsquor;|0:0|Aurtis Whitley|for Densill Theobald']"/>
    <s v="['62&amp;rsquor;|0:0|Marcus Allbäck|for Anders Svensson', '78&amp;rsquor;|0:0|Kim Källström|for Tobias Linderoth', '78&amp;rsquor;|0:0|Mattias Jonson|for Christian Wilhelmsson']"/>
  </r>
  <r>
    <s v="Argentina"/>
    <s v="Côte d'Ivoire"/>
    <n v="2"/>
    <m/>
    <m/>
    <n v="1"/>
    <m/>
    <m/>
    <s v="José Pékerman"/>
    <s v=""/>
    <s v="Henri Michel"/>
    <s v=""/>
    <n v="49480"/>
    <s v="Volksparkstadion, Hamburg"/>
    <s v=""/>
    <x v="5"/>
    <x v="121"/>
    <s v="2–1"/>
    <s v=""/>
    <s v=""/>
    <x v="4"/>
    <x v="4"/>
    <s v="Hernán Crespo · 24|Javier Saviola · 38"/>
    <s v="Didier Drogba · 82"/>
    <s v="['24&amp;rsquor;|1:0|Hernán Crespo', '38&amp;rsquor;|2:0|Javier Saviola']"/>
    <s v="['82&amp;rsquor;|2:1|Didier Drogba']"/>
    <s v=""/>
    <s v=""/>
    <s v=""/>
    <s v=""/>
    <s v=""/>
    <s v=""/>
    <s v=""/>
    <s v=""/>
    <s v=""/>
    <s v=""/>
    <s v=""/>
    <s v=""/>
    <s v=""/>
    <s v=""/>
    <s v="['41&amp;rsquor;|2:0|Javier Saviola', '48&amp;rsquor;|2:0|Gabriel Heinze', '81&amp;rsquor;|2:0|Lucho González']"/>
    <s v="['62&amp;rsquor;|2:0|Emmanuel Eboué', '90+1&amp;rsquor;|2:1|Didier Drogba']"/>
    <s v="['64&amp;rsquor;|2:0|Rodrigo Palacio|for Hernán Crespo', '75&amp;rsquor;|2:0|Lucho González|for Javier Saviola', '90&amp;rsquor;|2:1|Pablo Aimar|for Juan Román Riquelme']"/>
    <s v="['55&amp;rsquor;|2:0|Aruna Dindane|for Bonaventure Kalou', '62&amp;rsquor;|2:0|Bakari Koné|for Kanga Akalé', '77&amp;rsquor;|2:0|Arouna Koné|for Abdul Kader Keïta']"/>
  </r>
  <r>
    <s v="Germany"/>
    <s v="Costa Rica"/>
    <n v="4"/>
    <m/>
    <m/>
    <n v="2"/>
    <m/>
    <m/>
    <s v="Jürgen Klinsmann"/>
    <s v=""/>
    <s v="Alexandre Guimarães"/>
    <s v=""/>
    <n v="64950"/>
    <s v="Allianz Arena, München"/>
    <s v=""/>
    <x v="5"/>
    <x v="122"/>
    <s v="4–2"/>
    <s v=""/>
    <s v=""/>
    <x v="4"/>
    <x v="4"/>
    <s v="Philipp Lahm · 6|Miroslav Klose · 17|Miroslav Klose · 61|Torsten Frings · 87"/>
    <s v="Paulo Wanchope · 12|Paulo Wanchope · 73"/>
    <s v="['6&amp;rsquor;|1:0|Philipp Lahm', '17&amp;rsquor;|2:1|Miroslav Klose', '61&amp;rsquor;|3:1|Miroslav Klose', '87&amp;rsquor;|4:2|Torsten Frings']"/>
    <s v="['12&amp;rsquor;|1:1|Paulo Wanchope', '73&amp;rsquor;|3:2|Paulo Wanchope']"/>
    <s v=""/>
    <s v=""/>
    <s v=""/>
    <s v=""/>
    <s v=""/>
    <s v=""/>
    <s v=""/>
    <s v=""/>
    <s v=""/>
    <s v=""/>
    <s v=""/>
    <s v=""/>
    <s v=""/>
    <s v=""/>
    <s v=""/>
    <s v="['30&amp;rsquor;|2:1|Danny Fonseca']"/>
    <s v="['72&amp;rsquor;|3:1|Sebastian Kehl|for Tim Borowski', '79&amp;rsquor;|3:2|Oliver Neuville|for Miroslav Klose', '90&amp;rsquor;|4:2|David Odonkor|for Bernd Schneider']"/>
    <s v="['66&amp;rsquor;|3:1|Jervis Drummond|for Gilberto Martínez', '78&amp;rsquor;|3:2|Christian Bolaños|for Mauricio Solís', '90&amp;rsquor;|4:2|Randall Azofeifa|for Rónald Gómez']"/>
  </r>
  <r>
    <s v="Poland"/>
    <s v="Ecuador"/>
    <n v="0"/>
    <m/>
    <m/>
    <n v="2"/>
    <m/>
    <m/>
    <s v="Paweł Janas"/>
    <s v=""/>
    <s v="Luis Fernando Suárez"/>
    <s v=""/>
    <n v="52000"/>
    <s v="Veltins-Arena, Gelsenkirchen"/>
    <s v=""/>
    <x v="5"/>
    <x v="122"/>
    <s v="0–2"/>
    <s v=""/>
    <s v=""/>
    <x v="4"/>
    <x v="4"/>
    <s v=""/>
    <s v="Carlos Tenorio · 24|Agustín Delgado · 80"/>
    <s v=""/>
    <s v="['24&amp;rsquor;|0:1|Carlos Tenorio', '80&amp;rsquor;|0:2|Agustín Delgado']"/>
    <s v=""/>
    <s v=""/>
    <s v=""/>
    <s v=""/>
    <s v=""/>
    <s v=""/>
    <s v=""/>
    <s v=""/>
    <s v=""/>
    <s v=""/>
    <s v=""/>
    <s v=""/>
    <s v=""/>
    <s v=""/>
    <s v="['37&amp;rsquor;|0:1|Euzebiusz Smolarek']"/>
    <s v="['31&amp;rsquor;|0:1|Iván Hurtado', '70&amp;rsquor;|0:1|Édison Méndez']"/>
    <s v="['67&amp;rsquor;|0:1|Ireneusz Jeleń|for Radosław Sobolewski', '78&amp;rsquor;|0:1|Kamil Kosowski|for Jacek Krzynówek', '83&amp;rsquor;|0:2|Paweł Brożek|for Maciej Żurawski']"/>
    <s v="['65&amp;rsquor;|0:1|Iván Kaviedes|for Carlos Tenorio', '69&amp;rsquor;|0:1|Jorge Guagua|for Iván Hurtado', '83&amp;rsquor;|0:2|Patricio Urrutia|for Agustín Delgado']"/>
  </r>
  <r>
    <s v="Germany"/>
    <s v="Brazil"/>
    <n v="0"/>
    <m/>
    <m/>
    <n v="2"/>
    <m/>
    <m/>
    <s v="Rudi Völler"/>
    <s v=""/>
    <s v="Luiz Felipe Scolari"/>
    <s v=""/>
    <n v="69029"/>
    <s v="Nissan Stadium, Yokohama"/>
    <s v=""/>
    <x v="0"/>
    <x v="123"/>
    <s v="0–2"/>
    <s v=""/>
    <s v=""/>
    <x v="5"/>
    <x v="5"/>
    <s v=""/>
    <s v="Ronaldo · 67|Ronaldo · 79"/>
    <s v=""/>
    <s v="['67&amp;rsquor;|0:1|Ronaldo', '79&amp;rsquor;|0:2|Ronaldo']"/>
    <s v=""/>
    <s v=""/>
    <s v=""/>
    <s v=""/>
    <s v=""/>
    <s v=""/>
    <s v=""/>
    <s v=""/>
    <s v=""/>
    <s v=""/>
    <s v=""/>
    <s v=""/>
    <s v=""/>
    <s v=""/>
    <s v="['9&amp;rsquor;|0:0|Miroslav Klose']"/>
    <s v="['6&amp;rsquor;|0:0|Roque Júnior']"/>
    <s v="['74&amp;rsquor;|0:1|Oliver Bierhoff|for Miroslav Klose', '77&amp;rsquor;|0:1|Gerald Asamoah|for Jens Jeremies', '84&amp;rsquor;|0:2|Christian Ziege|for Marco Bode']"/>
    <s v="['85&amp;rsquor;|0:2|Juninho Paulista|for Ronaldinho', '90&amp;rsquor;|0:2|Denílson|for Ronaldo']"/>
  </r>
  <r>
    <s v="Korea Republic"/>
    <s v="Türkiye"/>
    <n v="2"/>
    <m/>
    <m/>
    <n v="3"/>
    <m/>
    <m/>
    <s v="Guus Hiddink"/>
    <s v=""/>
    <s v="Şenol Güneş"/>
    <s v=""/>
    <n v="63483"/>
    <s v="Daegu Main Stadium, Daegu"/>
    <s v=""/>
    <x v="1"/>
    <x v="124"/>
    <s v="2–3"/>
    <s v=""/>
    <s v=""/>
    <x v="5"/>
    <x v="5"/>
    <s v="Lee Eul-yong · 9|Song Chong-gug · 90+3"/>
    <s v="Hakan Şükür · 1|İlhan Mansız · 13|İlhan Mansız · 32"/>
    <s v="['9&amp;rsquor;|1:1|Lee Eul-yong', '90+3&amp;rsquor;|2:3|Song Chong-gug']"/>
    <s v="['1&amp;rsquor;|0:1|Hakan Şükür', '13&amp;rsquor;|1:2|İlhan Mansız', '32&amp;rsquor;|1:3|İlhan Mansız']"/>
    <s v=""/>
    <s v=""/>
    <s v=""/>
    <s v=""/>
    <s v=""/>
    <s v=""/>
    <s v=""/>
    <s v=""/>
    <s v=""/>
    <s v=""/>
    <s v=""/>
    <s v=""/>
    <s v=""/>
    <s v=""/>
    <s v="['23&amp;rsquor;|1:2|Lee Eul-yong']"/>
    <s v="['50&amp;rsquor;|1:3|Tugay Kerimoğlu', '83&amp;rsquor;|1:3|Rüştü Reçber']"/>
    <s v="['46&amp;rsquor;|1:3|Kim Tae-young|for Hong Myung-bo', '65&amp;rsquor;|1:3|Cha Du-ri|for Lee Eul-yong', '79&amp;rsquor;|1:3|Choi Tae-uk|for Seol Ki-hyeon']"/>
    <s v="['41&amp;rsquor;|1:3|Hakan Ünsal|for Emre Belözoğlu', '76&amp;rsquor;|1:3|Okan Buruk|for Ümit Davala', '86&amp;rsquor;|1:3|Tayfur Havutçu|for Yıldıray Baştürk']"/>
  </r>
  <r>
    <s v="Brazil"/>
    <s v="Türkiye"/>
    <n v="1"/>
    <m/>
    <m/>
    <n v="0"/>
    <m/>
    <m/>
    <s v="Luiz Felipe Scolari"/>
    <s v=""/>
    <s v="Şenol Güneş"/>
    <s v=""/>
    <n v="61058"/>
    <s v="Saitama Stadium 2002, Saitama"/>
    <s v=""/>
    <x v="2"/>
    <x v="125"/>
    <s v="1–0"/>
    <s v=""/>
    <s v=""/>
    <x v="5"/>
    <x v="5"/>
    <s v="Ronaldo · 49"/>
    <s v=""/>
    <s v="['49&amp;rsquor;|1:0|Ronaldo']"/>
    <s v=""/>
    <s v=""/>
    <s v=""/>
    <s v=""/>
    <s v=""/>
    <s v=""/>
    <s v=""/>
    <s v=""/>
    <s v=""/>
    <s v=""/>
    <s v=""/>
    <s v=""/>
    <s v=""/>
    <s v=""/>
    <s v=""/>
    <s v="['41&amp;rsquor;|0:0|Gilberto Silva']"/>
    <s v="['59&amp;rsquor;|1:0|Tugay Kerimoğlu', '90&amp;rsquor;|1:0|Hasan Şaş']"/>
    <s v="['68&amp;rsquor;|1:0|Luizão|for Ronaldo', '75&amp;rsquor;|1:0|Denílson|for Edílson', '85&amp;rsquor;|1:0|Juliano Belletti|for José Kléberson']"/>
    <s v="['62&amp;rsquor;|1:0|İlhan Mansız|for Emre Belözoğlu', '74&amp;rsquor;|1:0|Muzzy Izzet|for Ümit Davala', '88&amp;rsquor;|1:0|Arif Erdem|for Yıldıray Baştürk']"/>
  </r>
  <r>
    <s v="Germany"/>
    <s v="Korea Republic"/>
    <n v="1"/>
    <m/>
    <m/>
    <n v="0"/>
    <m/>
    <m/>
    <s v="Rudi Völler"/>
    <s v=""/>
    <s v="Guus Hiddink"/>
    <s v=""/>
    <n v="65625"/>
    <s v="Seoul World Cup Stadium, Seoul"/>
    <s v=""/>
    <x v="2"/>
    <x v="126"/>
    <s v="1–0"/>
    <s v=""/>
    <s v=""/>
    <x v="5"/>
    <x v="5"/>
    <s v="Michael Ballack · 75"/>
    <s v=""/>
    <s v="['75&amp;rsquor;|1:0|Michael Ballack']"/>
    <s v=""/>
    <s v=""/>
    <s v=""/>
    <s v=""/>
    <s v=""/>
    <s v=""/>
    <s v=""/>
    <s v=""/>
    <s v=""/>
    <s v=""/>
    <s v=""/>
    <s v=""/>
    <s v=""/>
    <s v=""/>
    <s v=""/>
    <s v="['71&amp;rsquor;|0:0|Michael Ballack', '85&amp;rsquor;|1:0|Oliver Neuville']"/>
    <s v="['90+4&amp;rsquor;|1:0|Lee Min-sung']"/>
    <s v="['70&amp;rsquor;|0:0|Oliver Bierhoff|for Miroslav Klose', '85&amp;rsquor;|1:0|Jens Jeremies|for Bernd Schneider', '88&amp;rsquor;|1:0|Gerald Asamoah|for Oliver Neuville']"/>
    <s v="['54&amp;rsquor;|0:0|Ahn Jung-hwan|for Hwang Sun-hong', '56&amp;rsquor;|0:0|Lee Min-sung|for Choi Jin-cheul', '80&amp;rsquor;|1:0|Seol Ki-hyeon|for Hong Myung-bo']"/>
  </r>
  <r>
    <s v="Spain"/>
    <s v="Korea Republic"/>
    <n v="0"/>
    <m/>
    <n v="3"/>
    <n v="0"/>
    <m/>
    <n v="5"/>
    <s v="José Antonio Camacho"/>
    <s v=""/>
    <s v="Guus Hiddink"/>
    <s v=""/>
    <n v="42114"/>
    <s v="Guus Hiddink Stadium, Gwangju"/>
    <s v=""/>
    <x v="3"/>
    <x v="127"/>
    <s v="(3) 0–0 (5)"/>
    <s v=""/>
    <s v="Korea Republic won on penalty kicks following extra time"/>
    <x v="5"/>
    <x v="5"/>
    <s v=""/>
    <s v=""/>
    <s v=""/>
    <s v=""/>
    <s v=""/>
    <s v=""/>
    <s v=""/>
    <s v=""/>
    <s v=""/>
    <s v=""/>
    <s v="['2|1:1|Fernando Hierro', '4|2:2|Rubén Baraja', '6|3:3|Xavi']"/>
    <s v="['1|0:1|Hwang Sun-hong', '3|1:2|Park Ji-sung', '5|2:3|Seol Ki-hyeon', '7|3:4|Ahn Jung-hwan', '9|3:5|Hong Myung-bo']"/>
    <s v="['8|3:4|Joaquín']"/>
    <s v=""/>
    <s v=""/>
    <s v=""/>
    <s v=""/>
    <s v=""/>
    <s v="['53&amp;rsquor;|0:0|Javier de Pedro', '111&amp;rsquor;|0:0|Fernando Morientes']"/>
    <s v="['52&amp;rsquor;|0:0|Yoo Sang-chul']"/>
    <s v="['70&amp;rsquor;|0:0|Gaizka Mendieta|for Javier de Pedro', '80&amp;rsquor;|0:0|Luis Enrique|for Juan Carlos Valerón', '93&amp;rsquor;|0:0|Xavi|for Iván Helguera']"/>
    <s v="['32&amp;rsquor;|0:0|Lee Eul-yong|for Kim Nam-il', '60&amp;rsquor;|0:0|Lee Chun-soo|for Yoo Sang-chul', '90&amp;rsquor;|0:0|Hwang Sun-hong|for Kim Tae-young']"/>
  </r>
  <r>
    <s v="Senegal"/>
    <s v="Türkiye"/>
    <n v="0"/>
    <m/>
    <m/>
    <n v="1"/>
    <m/>
    <m/>
    <s v="Bruno Metsu"/>
    <s v=""/>
    <s v="Şenol Güneş"/>
    <s v=""/>
    <n v="44233"/>
    <s v="Yanmar Stadium Nagai, Osaka"/>
    <s v=""/>
    <x v="3"/>
    <x v="127"/>
    <s v="0–1"/>
    <s v=""/>
    <s v="Required Extra Time"/>
    <x v="5"/>
    <x v="5"/>
    <s v=""/>
    <s v="İlhan Mansız · 94"/>
    <s v=""/>
    <s v="['94&amp;rsquor;|0:1|İlhan Mansız']"/>
    <s v=""/>
    <s v=""/>
    <s v=""/>
    <s v=""/>
    <s v=""/>
    <s v=""/>
    <s v=""/>
    <s v=""/>
    <s v=""/>
    <s v=""/>
    <s v=""/>
    <s v=""/>
    <s v=""/>
    <s v=""/>
    <s v="['12&amp;rsquor;|0:0|Omar Daf', '63&amp;rsquor;|0:0|Aliou Cissé']"/>
    <s v="['22&amp;rsquor;|0:0|Emre Belözoğlu', '87&amp;rsquor;|0:0|İlhan Mansız']"/>
    <s v=""/>
    <s v="['67&amp;rsquor;|0:0|İlhan Mansız|for Hakan Şükür', '91&amp;rsquor;|0:0|Arif Erdem|for Emre Belözoğlu']"/>
  </r>
  <r>
    <s v="England"/>
    <s v="Brazil"/>
    <n v="1"/>
    <m/>
    <m/>
    <n v="2"/>
    <m/>
    <m/>
    <s v="Sven-Göran Eriksson"/>
    <s v=""/>
    <s v="Luiz Felipe Scolari"/>
    <s v=""/>
    <n v="47436"/>
    <s v="Daejeon World Cup Stadium, Daejeon"/>
    <s v=""/>
    <x v="3"/>
    <x v="128"/>
    <s v="1–2"/>
    <s v=""/>
    <s v=""/>
    <x v="5"/>
    <x v="5"/>
    <s v="Michael Owen · 23"/>
    <s v="Rivaldo · 45+2|Ronaldinho · 50"/>
    <s v="['23&amp;rsquor;|1:0|Michael Owen']"/>
    <s v="['45+2&amp;rsquor;|1:1|Rivaldo', '50&amp;rsquor;|1:2|Ronaldinho']"/>
    <s v=""/>
    <s v=""/>
    <s v=""/>
    <s v=""/>
    <s v=""/>
    <s v=""/>
    <s v=""/>
    <s v=""/>
    <s v=""/>
    <s v=""/>
    <s v=""/>
    <s v="Ronaldinho · 57"/>
    <s v=""/>
    <s v=""/>
    <s v="['75&amp;rsquor;|1:2|Paul Scholes', '85&amp;rsquor;|1:2|Rio Ferdinand']"/>
    <s v=""/>
    <s v="['56&amp;rsquor;|1:2|Kieron Dyer|for Trevor Sinclair', '79&amp;rsquor;|1:2|Darius Vassell|for Michael Owen', '80&amp;rsquor;|1:2|Teddy Sheringham|for Andy Cole']"/>
    <s v="['70&amp;rsquor;|1:2|Edílson|for Ronaldo']"/>
  </r>
  <r>
    <s v="Germany"/>
    <s v="United States"/>
    <n v="1"/>
    <m/>
    <m/>
    <n v="0"/>
    <m/>
    <m/>
    <s v="Rudi Völler"/>
    <s v=""/>
    <s v="Bruce Arena"/>
    <s v=""/>
    <n v="37337"/>
    <s v="Munsu Cup Stadium, Ulsan"/>
    <s v=""/>
    <x v="3"/>
    <x v="128"/>
    <s v="1–0"/>
    <s v=""/>
    <s v=""/>
    <x v="5"/>
    <x v="5"/>
    <s v="Michael Ballack · 39"/>
    <s v=""/>
    <s v="['39&amp;rsquor;|1:0|Michael Ballack']"/>
    <s v=""/>
    <s v=""/>
    <s v=""/>
    <s v=""/>
    <s v=""/>
    <s v=""/>
    <s v=""/>
    <s v=""/>
    <s v=""/>
    <s v=""/>
    <s v=""/>
    <s v=""/>
    <s v=""/>
    <s v=""/>
    <s v=""/>
    <s v="['66&amp;rsquor;|1:0|Sebastian Kehl', '68&amp;rsquor;|1:0|Jens Jeremies']"/>
    <s v="['40&amp;rsquor;|1:0|Eddie Lewis', '41&amp;rsquor;|1:0|Eddie Pope', '68&amp;rsquor;|1:0|Claudio Reyna', '69&amp;rsquor;|1:0|Pablo Mastroeni', '70&amp;rsquor;|1:0|Gregg Berhalter']"/>
    <s v="['60&amp;rsquor;|1:0|Jens Jeremies|for Bernd Schneider', '80&amp;rsquor;|1:0|Marco Bode|for Oliver Neuville', '88&amp;rsquor;|1:0|Oliver Bierhoff|for Miroslav Klose']"/>
    <s v="['8&amp;rsquor;|0:0|Earnie Stewart|for Pablo Mastroeni', '58&amp;rsquor;|1:0|Clint Mathis|for Brian McBride', '65&amp;rsquor;|1:0|Cobi Jones|for Frankie Hejduk']"/>
  </r>
  <r>
    <s v="Japan"/>
    <s v="Türkiye"/>
    <n v="0"/>
    <m/>
    <m/>
    <n v="1"/>
    <m/>
    <m/>
    <s v="Philippe Troussier"/>
    <s v=""/>
    <s v="Şenol Güneş"/>
    <s v=""/>
    <n v="45666"/>
    <s v="Miyagi Stadium, Rifu"/>
    <s v=""/>
    <x v="4"/>
    <x v="129"/>
    <s v="0–1"/>
    <s v=""/>
    <s v=""/>
    <x v="5"/>
    <x v="5"/>
    <s v=""/>
    <s v="Ümit Davala · 12"/>
    <s v=""/>
    <s v="['12&amp;rsquor;|0:1|Ümit Davala']"/>
    <s v=""/>
    <s v=""/>
    <s v=""/>
    <s v=""/>
    <s v=""/>
    <s v=""/>
    <s v=""/>
    <s v=""/>
    <s v=""/>
    <s v=""/>
    <s v=""/>
    <s v=""/>
    <s v=""/>
    <s v=""/>
    <s v="['45&amp;rsquor;|0:1|Kazuyuki Toda']"/>
    <s v="['21&amp;rsquor;|0:1|Alpay Özalan', '44&amp;rsquor;|0:1|Ergün Penbe', '90+1&amp;rsquor;|0:1|Hakan Şükür']"/>
    <s v="['46&amp;rsquor;|0:1|Daisuke Ichikawa|for Junichi Inamoto', '46&amp;rsquor;|0:1|Takayuki Suzuki|for Alessandro Santos', '86&amp;rsquor;|0:1|Hiroaki Morishima|for Daisuke Ichikawa']"/>
    <s v="['74&amp;rsquor;|0:1|Nihat Kahveci|for Ümit Davala', '85&amp;rsquor;|0:1|Tayfur Havutçu|for Hasan Şaş', '90&amp;rsquor;|0:1|İlhan Mansız|for Yıldıray Baştürk']"/>
  </r>
  <r>
    <s v="Korea Republic"/>
    <s v="Italy"/>
    <n v="2"/>
    <m/>
    <m/>
    <n v="1"/>
    <m/>
    <m/>
    <s v="Guus Hiddink"/>
    <s v=""/>
    <s v="Giovanni Trapattoni"/>
    <s v=""/>
    <n v="38588"/>
    <s v="Daejeon World Cup Stadium, Daejeon"/>
    <s v=""/>
    <x v="4"/>
    <x v="129"/>
    <s v="2–1"/>
    <s v=""/>
    <s v="Required Extra Time"/>
    <x v="5"/>
    <x v="5"/>
    <s v="Seol Ki-hyeon · 88|Ahn Jung-hwan · 117"/>
    <s v="Christian Vieri · 18"/>
    <s v="['88&amp;rsquor;|1:1|Seol Ki-hyeon', '117&amp;rsquor;|2:1|Ahn Jung-hwan']"/>
    <s v="['18&amp;rsquor;|0:1|Christian Vieri']"/>
    <s v=""/>
    <s v=""/>
    <s v=""/>
    <s v=""/>
    <s v=""/>
    <s v=""/>
    <s v=""/>
    <s v=""/>
    <s v=""/>
    <s v=""/>
    <s v=""/>
    <s v=""/>
    <s v=""/>
    <s v="Francesco Totti · 103"/>
    <s v="['17&amp;rsquor;|0:0|Kim Tae-young', '80&amp;rsquor;|0:1|Song Chong-gug', '99&amp;rsquor;|1:1|Lee Chun-soo', '117&amp;rsquor;|1:1|Choi Jin-cheul']"/>
    <s v="['4&amp;rsquor;|0:0|Francesco Coco', '22&amp;rsquor;|0:1|Francesco Totti', '55&amp;rsquor;|0:1|Damiano Tommasi', '59&amp;rsquor;|0:1|Cristiano Zanetti']"/>
    <s v="['63&amp;rsquor;|0:1|Hwang Sun-hong|for Kim Tae-young', '68&amp;rsquor;|0:1|Lee Chun-soo|for Kim Nam-il', '83&amp;rsquor;|0:1|Cha Du-ri|for Hong Myung-bo']"/>
    <s v="['61&amp;rsquor;|0:1|Gennaro Gattuso|for Alessandro Del Piero', '72&amp;rsquor;|0:1|Angelo Di Livio|for Gianluca Zambrotta']"/>
  </r>
  <r>
    <s v="Mexico"/>
    <s v="United States"/>
    <n v="0"/>
    <m/>
    <m/>
    <n v="2"/>
    <m/>
    <m/>
    <s v="Javier Aguirre"/>
    <s v=""/>
    <s v="Bruce Arena"/>
    <s v=""/>
    <n v="36380"/>
    <s v="Jeonju World Cup Stadium, Jeonju"/>
    <s v=""/>
    <x v="4"/>
    <x v="130"/>
    <s v="0–2"/>
    <s v=""/>
    <s v=""/>
    <x v="5"/>
    <x v="5"/>
    <s v=""/>
    <s v="Brian McBride · 8|Landon Donovan · 65"/>
    <s v=""/>
    <s v="['8&amp;rsquor;|0:1|Brian McBride', '65&amp;rsquor;|0:2|Landon Donovan']"/>
    <s v=""/>
    <s v=""/>
    <s v=""/>
    <s v=""/>
    <s v=""/>
    <s v=""/>
    <s v=""/>
    <s v=""/>
    <s v=""/>
    <s v=""/>
    <s v="Rafael Márquez · 88"/>
    <s v=""/>
    <s v=""/>
    <s v=""/>
    <s v="['37&amp;rsquor;|0:1|Manuel Vidrio', '67&amp;rsquor;|0:2|Luis Hernández', '70&amp;rsquor;|0:2|Cuauhtémoc Blanco', '81&amp;rsquor;|0:2|Alberto García Aspe', '84&amp;rsquor;|0:2|Salvador Carmona']"/>
    <s v="['26&amp;rsquor;|0:1|Eddie Pope', '47&amp;rsquor;|0:1|Pablo Mastroeni', '50&amp;rsquor;|0:1|Josh Wolff', '53&amp;rsquor;|0:1|Gregg Berhalter', '83&amp;rsquor;|0:2|Brad Friedel']"/>
    <s v="['28&amp;rsquor;|0:1|Luis Hernández|for Ramón Morales', '46&amp;rsquor;|0:1|Sigifredo Mercado|for Manuel Vidrio', '78&amp;rsquor;|0:2|Alberto García Aspe|for Gerardo Torrado']"/>
    <s v="['59&amp;rsquor;|0:1|Earnie Stewart|for Josh Wolff', '79&amp;rsquor;|0:2|Cobi Jones|for Brian McBride', '90&amp;rsquor;|0:2|Carlos Llamosa|for Pablo Mastroeni']"/>
  </r>
  <r>
    <s v="Brazil"/>
    <s v="Belgium"/>
    <n v="2"/>
    <m/>
    <m/>
    <n v="0"/>
    <m/>
    <m/>
    <s v="Luiz Felipe Scolari"/>
    <s v=""/>
    <s v="Robert Waseige"/>
    <s v=""/>
    <n v="40440"/>
    <s v="NOEVIR Stadium Kobe, Kobe"/>
    <s v=""/>
    <x v="4"/>
    <x v="130"/>
    <s v="2–0"/>
    <s v=""/>
    <s v=""/>
    <x v="5"/>
    <x v="5"/>
    <s v="Rivaldo · 67|Ronaldo · 87"/>
    <s v=""/>
    <s v="['67&amp;rsquor;|1:0|Rivaldo', '87&amp;rsquor;|2:0|Ronaldo']"/>
    <s v=""/>
    <s v=""/>
    <s v=""/>
    <s v=""/>
    <s v=""/>
    <s v=""/>
    <s v=""/>
    <s v=""/>
    <s v=""/>
    <s v=""/>
    <s v=""/>
    <s v=""/>
    <s v=""/>
    <s v=""/>
    <s v=""/>
    <s v="['28&amp;rsquor;|0:0|Roberto Carlos']"/>
    <s v="['24&amp;rsquor;|0:0|Yves Vanderhaeghe']"/>
    <s v="['57&amp;rsquor;|0:0|Denílson|for Juninho Paulista', '81&amp;rsquor;|1:0|José Kléberson|for Ronaldinho', '90&amp;rsquor;|2:0|Ricardinho|for Rivaldo']"/>
    <s v="['72&amp;rsquor;|1:0|Wesley Sonck|for Jacky Peeters']"/>
  </r>
  <r>
    <s v="Sweden"/>
    <s v="Senegal"/>
    <n v="1"/>
    <m/>
    <m/>
    <n v="2"/>
    <m/>
    <m/>
    <s v="Lars Lagerbäck"/>
    <s v=""/>
    <s v="Bruno Metsu"/>
    <s v=""/>
    <n v="39747"/>
    <s v="Ōita Bank Dome, Ōita"/>
    <s v=""/>
    <x v="4"/>
    <x v="131"/>
    <s v="1–2"/>
    <s v=""/>
    <s v="Required Extra Time"/>
    <x v="5"/>
    <x v="5"/>
    <s v="Henrik Larsson · 11"/>
    <s v="Henri Camara · 37|Henri Camara · 104"/>
    <s v="['11&amp;rsquor;|1:0|Henrik Larsson']"/>
    <s v="['37&amp;rsquor;|1:1|Henri Camara', '104&amp;rsquor;|1:2|Henri Camara']"/>
    <s v=""/>
    <s v=""/>
    <s v=""/>
    <s v=""/>
    <s v=""/>
    <s v=""/>
    <s v=""/>
    <s v=""/>
    <s v=""/>
    <s v=""/>
    <s v=""/>
    <s v=""/>
    <s v=""/>
    <s v=""/>
    <s v=""/>
    <s v="['73&amp;rsquor;|1:1|Ferdinand Coly', '94&amp;rsquor;|1:1|Pape Thiaw']"/>
    <s v="['65&amp;rsquor;|1:1|Andreas Andersson|for Marcus Allbäck', '76&amp;rsquor;|1:1|Zlatan Ibrahimović|for Niclas Alexandersson', '99&amp;rsquor;|1:1|Mattias Jonson|for Magnus Svensson']"/>
    <s v="['66&amp;rsquor;|1:1|Habib Beye|for Pape Malick Diop']"/>
  </r>
  <r>
    <s v="Spain"/>
    <s v="Republic of Ireland"/>
    <n v="1"/>
    <m/>
    <n v="3"/>
    <n v="1"/>
    <m/>
    <n v="2"/>
    <s v="José Antonio Camacho"/>
    <s v=""/>
    <s v="Mick McCarthy"/>
    <s v=""/>
    <n v="38926"/>
    <s v="Suwon World Cup Stadium, Suwon"/>
    <s v=""/>
    <x v="4"/>
    <x v="131"/>
    <s v="(3) 1–1 (2)"/>
    <s v=""/>
    <s v="Spain won on penalty kicks following extra time"/>
    <x v="5"/>
    <x v="5"/>
    <s v="Fernando Morientes · 8"/>
    <s v=""/>
    <s v="['8&amp;rsquor;|1:0|Fernando Morientes']"/>
    <s v=""/>
    <s v=""/>
    <s v=""/>
    <s v=""/>
    <s v="Robbie Keane (P) · 90"/>
    <s v=""/>
    <s v=""/>
    <s v="['2|1:1|Fernando Hierro', '4|2:1|Rubén Baraja', '10|3:2|Gaizka Mendieta']"/>
    <s v="['1|0:1|Robbie Keane', '9|2:2|Steve Finnan']"/>
    <s v="['6|2:1|Juanfran', '8|2:1|Juan Carlos Valerón']"/>
    <s v="['3|1:1|Matt Holland', '5|2:1|David Connolly', '7|2:1|Kevin Kilbane']"/>
    <s v=""/>
    <s v=""/>
    <s v=""/>
    <s v=""/>
    <s v="['62&amp;rsquor;|1:0|Juanfran', '87&amp;rsquor;|1:0|Rubén Baraja', '89&amp;rsquor;|1:0|Fernando Hierro']"/>
    <s v=""/>
    <s v="['66&amp;rsquor;|1:0|Gaizka Mendieta|for Javier de Pedro', '72&amp;rsquor;|1:0|David Albelda|for Fernando Morientes', '80&amp;rsquor;|1:0|Albert Luque|for Raúl']"/>
    <s v="['50&amp;rsquor;|1:0|Kenny Cunningham|for Steve Staunton', '55&amp;rsquor;|1:0|Niall Quinn|for Gary Kelly', '82&amp;rsquor;|1:0|David Connolly|for Ian Harte']"/>
  </r>
  <r>
    <s v="Germany"/>
    <s v="Paraguay"/>
    <n v="1"/>
    <m/>
    <m/>
    <n v="0"/>
    <m/>
    <m/>
    <s v="Rudi Völler"/>
    <s v=""/>
    <s v="Cesare Maldini"/>
    <s v=""/>
    <n v="25176"/>
    <s v="Jeju World Cup Stadium, Jeju"/>
    <s v=""/>
    <x v="4"/>
    <x v="132"/>
    <s v="1–0"/>
    <s v=""/>
    <s v=""/>
    <x v="5"/>
    <x v="5"/>
    <s v="Oliver Neuville · 88"/>
    <s v=""/>
    <s v="['88&amp;rsquor;|1:0|Oliver Neuville']"/>
    <s v=""/>
    <s v=""/>
    <s v=""/>
    <s v=""/>
    <s v=""/>
    <s v=""/>
    <s v=""/>
    <s v=""/>
    <s v=""/>
    <s v=""/>
    <s v=""/>
    <s v=""/>
    <s v="Roberto Acuña · 90+2"/>
    <s v=""/>
    <s v=""/>
    <s v="['35&amp;rsquor;|0:0|Bernd Schneider', '71&amp;rsquor;|0:0|Frank Baumann', '90+2&amp;rsquor;|1:0|Michael Ballack']"/>
    <s v="['26&amp;rsquor;|0:0|Roberto Acuña', '50&amp;rsquor;|0:0|José Cardozo']"/>
    <s v="['46&amp;rsquor;|0:0|Frank Baumann|for Christoph Metzelder', '46&amp;rsquor;|0:0|Sebastian Kehl|for Marko Rehmer', '90&amp;rsquor;|1:0|Gerald Asamoah|for Oliver Neuville']"/>
    <s v="['29&amp;rsquor;|0:0|Jorge Luis Campos|for Roque Santa Cruz', '84&amp;rsquor;|0:0|Diego Gavilán|for Carlos Bonet', '90&amp;rsquor;|1:0|Nelson Cuevas|for Estanislao Struway']"/>
  </r>
  <r>
    <s v="Denmark"/>
    <s v="England"/>
    <n v="0"/>
    <m/>
    <m/>
    <n v="3"/>
    <m/>
    <m/>
    <s v="Morten Olsen"/>
    <s v=""/>
    <s v="Sven-Göran Eriksson"/>
    <s v=""/>
    <n v="40582"/>
    <s v="Denka Big Swan Stadium, Niigata"/>
    <s v=""/>
    <x v="4"/>
    <x v="132"/>
    <s v="0–3"/>
    <s v=""/>
    <s v=""/>
    <x v="5"/>
    <x v="5"/>
    <s v=""/>
    <s v="Rio Ferdinand · 5|Michael Owen · 22|Emile Heskey · 44"/>
    <s v=""/>
    <s v="['5&amp;rsquor;|0:1|Rio Ferdinand', '22&amp;rsquor;|0:2|Michael Owen', '44&amp;rsquor;|0:3|Emile Heskey']"/>
    <s v=""/>
    <s v=""/>
    <s v=""/>
    <s v=""/>
    <s v=""/>
    <s v=""/>
    <s v=""/>
    <s v=""/>
    <s v=""/>
    <s v=""/>
    <s v=""/>
    <s v=""/>
    <s v=""/>
    <s v=""/>
    <s v="['24&amp;rsquor;|0:2|Stig Tøfting']"/>
    <s v="['50&amp;rsquor;|0:3|Danny Mills']"/>
    <s v="['7&amp;rsquor;|0:1|Kasper Bøgelund|for Thomas Helveg', '58&amp;rsquor;|0:3|Claus Jensen|for Stig Tøfting']"/>
    <s v="['46&amp;rsquor;|0:3|Robbie Fowler|for Michael Owen', '49&amp;rsquor;|0:3|Kieron Dyer|for Paul Scholes', '69&amp;rsquor;|0:3|Teddy Sheringham|for Emile Heskey']"/>
  </r>
  <r>
    <s v="Tunisia"/>
    <s v="Japan"/>
    <n v="0"/>
    <m/>
    <m/>
    <n v="2"/>
    <m/>
    <m/>
    <s v="Ammar Souayah"/>
    <s v=""/>
    <s v="Philippe Troussier"/>
    <s v=""/>
    <n v="45213"/>
    <s v="Yanmar Stadium Nagai, Osaka"/>
    <s v=""/>
    <x v="5"/>
    <x v="133"/>
    <s v="0–2"/>
    <s v=""/>
    <s v=""/>
    <x v="5"/>
    <x v="5"/>
    <s v=""/>
    <s v="Hiroaki Morishima · 48|Hidetoshi Nakata · 75"/>
    <s v=""/>
    <s v="['48&amp;rsquor;|0:1|Hiroaki Morishima', '75&amp;rsquor;|0:2|Hidetoshi Nakata']"/>
    <s v=""/>
    <s v=""/>
    <s v=""/>
    <s v=""/>
    <s v=""/>
    <s v=""/>
    <s v=""/>
    <s v=""/>
    <s v=""/>
    <s v=""/>
    <s v=""/>
    <s v=""/>
    <s v=""/>
    <s v=""/>
    <s v="['21&amp;rsquor;|0:0|Riadh Bouazizi', '81&amp;rsquor;|0:2|Khaled Badra']"/>
    <s v=""/>
    <s v="['46&amp;rsquor;|0:0|Zoubeir Baya|for Mourad Melki', '61&amp;rsquor;|0:1|Imed Mhedhebi|for José Clayton', '78&amp;rsquor;|0:2|Ali Zitouni|for Raouf Bouzaiene']"/>
    <s v="['46&amp;rsquor;|0:0|Daisuke Ichikawa|for Junichi Inamoto', '46&amp;rsquor;|0:0|Hiroaki Morishima|for Atsushi Yanagisawa', '84&amp;rsquor;|0:2|Mitsuo Ogasawara|for Hidetoshi Nakata']"/>
  </r>
  <r>
    <s v="Belgium"/>
    <s v="Russia"/>
    <n v="3"/>
    <m/>
    <m/>
    <n v="2"/>
    <m/>
    <m/>
    <s v="Robert Waseige"/>
    <s v=""/>
    <s v="Oleg Romantsev"/>
    <s v=""/>
    <n v="46640"/>
    <s v="Shizuoka Stadium Ecopa, Fukuroi"/>
    <s v=""/>
    <x v="5"/>
    <x v="133"/>
    <s v="3–2"/>
    <s v=""/>
    <s v=""/>
    <x v="5"/>
    <x v="5"/>
    <s v="Johan Walem · 7|Wesley Sonck · 78|Marc Wilmots · 82"/>
    <s v="Vladimir Beschastnykh · 52|Dmitri Sychev · 88"/>
    <s v="['7&amp;rsquor;|1:0|Johan Walem', '78&amp;rsquor;|2:1|Wesley Sonck', '82&amp;rsquor;|3:1|Marc Wilmots']"/>
    <s v="['52&amp;rsquor;|1:1|Vladimir Beschastnykh', '88&amp;rsquor;|3:2|Dmitri Sychev']"/>
    <s v=""/>
    <s v=""/>
    <s v=""/>
    <s v=""/>
    <s v=""/>
    <s v=""/>
    <s v=""/>
    <s v=""/>
    <s v=""/>
    <s v=""/>
    <s v=""/>
    <s v=""/>
    <s v=""/>
    <s v=""/>
    <s v="['39&amp;rsquor;|1:0|Yves Vanderhaeghe']"/>
    <s v="['12&amp;rsquor;|1:0|Andrei Solomatin', '14&amp;rsquor;|1:0|Alexey Smertin', '64&amp;rsquor;|1:1|Dmitri Alenichev', '84&amp;rsquor;|3:1|Dmitri Sennikov']"/>
    <s v="['70&amp;rsquor;|1:1|Wesley Sonck|for Mbo Mpenza', '78&amp;rsquor;|1:1|Timmy Simons|for Gert Verheyen', '90&amp;rsquor;|3:2|Eric Van Meir|for Glen De Boeck']"/>
    <s v="['34&amp;rsquor;|1:0|Dmitri Sychev|for Alexey Smertin', '43&amp;rsquor;|1:0|Dmitri Sennikov|for Yuriy Nikiforov', '82&amp;rsquor;|2:1|Aleksandr Kerzhakov|for Valeri Karpin']"/>
  </r>
  <r>
    <s v="Portugal"/>
    <s v="Korea Republic"/>
    <n v="0"/>
    <m/>
    <m/>
    <n v="1"/>
    <m/>
    <m/>
    <s v="António Luís Alves Ribeiro Oliveira"/>
    <s v=""/>
    <s v="Guus Hiddink"/>
    <s v=""/>
    <n v="50239"/>
    <s v="Incheon Munhak Stadium, Incheon"/>
    <s v=""/>
    <x v="5"/>
    <x v="133"/>
    <s v="0–1"/>
    <s v=""/>
    <s v=""/>
    <x v="5"/>
    <x v="5"/>
    <s v=""/>
    <s v="Park Ji-sung · 70"/>
    <s v=""/>
    <s v="['70&amp;rsquor;|0:1|Park Ji-sung']"/>
    <s v=""/>
    <s v=""/>
    <s v=""/>
    <s v=""/>
    <s v=""/>
    <s v=""/>
    <s v=""/>
    <s v=""/>
    <s v=""/>
    <s v=""/>
    <s v="João Pinto · 27"/>
    <s v=""/>
    <s v="Beto · 66"/>
    <s v=""/>
    <s v="['22&amp;rsquor;|0:0|Beto', '83&amp;rsquor;|0:1|Jorge Costa']"/>
    <s v="['24&amp;rsquor;|0:0|Lee Young-pyo', '57&amp;rsquor;|0:0|Seol Ki-hyeon', '74&amp;rsquor;|0:1|Kim Nam-il', '90+3&amp;rsquor;|0:1|Ahn Jung-hwan']"/>
    <s v="['69&amp;rsquor;|0:0|Jorge Andrade|for Pauleta', '73&amp;rsquor;|0:1|Abel Xavier|for Rui Jorge', '77&amp;rsquor;|0:1|Nuno Gomes|for Petit']"/>
    <s v="['90&amp;rsquor;|0:1|Lee Chun-soo|for Ahn Jung-hwan']"/>
  </r>
  <r>
    <s v="Poland"/>
    <s v="United States"/>
    <n v="3"/>
    <m/>
    <m/>
    <n v="1"/>
    <m/>
    <m/>
    <s v="Jerzy Engel"/>
    <s v=""/>
    <s v="Bruce Arena"/>
    <s v=""/>
    <n v="26482"/>
    <s v="Daejeon World Cup Stadium, Daejeon"/>
    <s v=""/>
    <x v="5"/>
    <x v="133"/>
    <s v="3–1"/>
    <s v=""/>
    <s v=""/>
    <x v="5"/>
    <x v="5"/>
    <s v="Emmanuel Olisadebe · 3|Paweł Kryszałowicz · 5|Marcin Żewłakow · 66"/>
    <s v="Landon Donovan · 83"/>
    <s v="['3&amp;rsquor;|1:0|Emmanuel Olisadebe', '5&amp;rsquor;|2:0|Paweł Kryszałowicz', '66&amp;rsquor;|3:0|Marcin Żewłakow']"/>
    <s v="['83&amp;rsquor;|3:1|Landon Donovan']"/>
    <s v=""/>
    <s v=""/>
    <s v=""/>
    <s v=""/>
    <s v=""/>
    <s v=""/>
    <s v=""/>
    <s v=""/>
    <s v=""/>
    <s v=""/>
    <s v=""/>
    <s v=""/>
    <s v=""/>
    <s v=""/>
    <s v="['44&amp;rsquor;|2:0|Radosław Majdan', '46&amp;rsquor;|2:0|Marek Koźmiński', '63&amp;rsquor;|2:0|Cezary Kucharski', '86&amp;rsquor;|3:1|Emmanuel Olisadebe']"/>
    <s v="['72&amp;rsquor;|3:0|Frankie Hejduk']"/>
    <s v="['65&amp;rsquor;|2:0|Marcin Żewłakow|for Cezary Kucharski', '86&amp;rsquor;|3:1|Paweł Sibik|for Emmanuel Olisadebe', '89&amp;rsquor;|3:1|Tomasz Wałdoch|for Tomasz Kłos']"/>
    <s v="['36&amp;rsquor;|2:0|DaMarcus Beasley|for Jeff Agoos', '58&amp;rsquor;|2:0|Joe-Max Moore|for Brian McBride', '68&amp;rsquor;|3:0|Cobi Jones|for Earnie Stewart']"/>
  </r>
  <r>
    <s v="Costa Rica"/>
    <s v="Brazil"/>
    <n v="2"/>
    <m/>
    <m/>
    <n v="5"/>
    <m/>
    <m/>
    <s v="Alexandre Guimarães"/>
    <s v=""/>
    <s v="Luiz Felipe Scolari"/>
    <s v=""/>
    <n v="38524"/>
    <s v="Suwon World Cup Stadium, Suwon"/>
    <s v=""/>
    <x v="5"/>
    <x v="134"/>
    <s v="2–5"/>
    <s v=""/>
    <s v=""/>
    <x v="5"/>
    <x v="5"/>
    <s v="Paulo Wanchope · 39|Rónald Gómez · 56"/>
    <s v="Ronaldo · 10|Ronaldo · 13|Edmílson · 38|Rivaldo · 62|Júnior · 64"/>
    <s v="['39&amp;rsquor;|1:3|Paulo Wanchope', '56&amp;rsquor;|2:3|Rónald Gómez']"/>
    <s v="['10&amp;rsquor;|0:1|Ronaldo', '13&amp;rsquor;|0:2|Ronaldo', '38&amp;rsquor;|0:3|Edmílson', '62&amp;rsquor;|2:4|Rivaldo', '64&amp;rsquor;|2:5|Júnior']"/>
    <s v=""/>
    <s v=""/>
    <s v=""/>
    <s v=""/>
    <s v=""/>
    <s v=""/>
    <s v=""/>
    <s v=""/>
    <s v=""/>
    <s v=""/>
    <s v=""/>
    <s v=""/>
    <s v=""/>
    <s v=""/>
    <s v=""/>
    <s v="['90+3&amp;rsquor;|2:5|Cafú']"/>
    <s v="['46&amp;rsquor;|1:3|Steven Bryce|for Harold Wallace', '65&amp;rsquor;|2:5|Rolando Fonseca|for Mauricio Solís', '74&amp;rsquor;|2:5|Winston Parks|for Gilberto Martínez']"/>
    <s v="['57&amp;rsquor;|2:3|José Kléberson|for Edílson', '61&amp;rsquor;|2:3|Ricardinho|for Juninho Paulista', '72&amp;rsquor;|2:5|Kaká|for Rivaldo']"/>
  </r>
  <r>
    <s v="Türkiye"/>
    <s v="China PR"/>
    <n v="3"/>
    <m/>
    <m/>
    <n v="0"/>
    <m/>
    <m/>
    <s v="Şenol Güneş"/>
    <s v=""/>
    <s v="Bora Milutinović"/>
    <s v=""/>
    <n v="43605"/>
    <s v="Seoul World Cup Stadium, Seoul"/>
    <s v=""/>
    <x v="5"/>
    <x v="134"/>
    <s v="3–0"/>
    <s v=""/>
    <s v=""/>
    <x v="5"/>
    <x v="5"/>
    <s v="Hasan Şaş · 6|Bülent Korkmaz · 9|Ümit Davala · 85"/>
    <s v=""/>
    <s v="['6&amp;rsquor;|1:0|Hasan Şaş', '9&amp;rsquor;|2:0|Bülent Korkmaz', '85&amp;rsquor;|3:0|Ümit Davala']"/>
    <s v=""/>
    <s v=""/>
    <s v=""/>
    <s v=""/>
    <s v=""/>
    <s v=""/>
    <s v=""/>
    <s v=""/>
    <s v=""/>
    <s v=""/>
    <s v=""/>
    <s v=""/>
    <s v="Shao Jiayi · 58"/>
    <s v=""/>
    <s v=""/>
    <s v="['19&amp;rsquor;|2:0|Emre Aşık', '30&amp;rsquor;|2:0|Emre Belözoğlu', '81&amp;rsquor;|2:0|Hasan Şaş']"/>
    <s v="['45+1&amp;rsquor;|2:0|Yang Pu', '62&amp;rsquor;|2:0|Li Weifeng']"/>
    <s v="['35&amp;rsquor;|2:0|Ömer Çatkıç|for Rüştü Reçber', '70&amp;rsquor;|2:0|İlhan Mansız|for Yıldıray Baştürk', '84&amp;rsquor;|2:0|Tayfur Havutçu|for Tugay Kerimoğlu']"/>
    <s v="['46&amp;rsquor;|2:0|Shao Jiayi|for Wu Chengying', '73&amp;rsquor;|2:0|Qu Bo|for Hao Haidong', '73&amp;rsquor;|2:0|Yu Genwei|for Yang Chen']"/>
  </r>
  <r>
    <s v="Mexico"/>
    <s v="Italy"/>
    <n v="1"/>
    <m/>
    <m/>
    <n v="1"/>
    <m/>
    <m/>
    <s v="Javier Aguirre"/>
    <s v=""/>
    <s v="Giovanni Trapattoni"/>
    <s v=""/>
    <n v="39291"/>
    <s v="Ōita Bank Dome, Ōita"/>
    <s v=""/>
    <x v="5"/>
    <x v="134"/>
    <s v="1–1"/>
    <s v=""/>
    <s v=""/>
    <x v="5"/>
    <x v="5"/>
    <s v="Jared Borgetti · 34"/>
    <s v="Alessandro Del Piero · 85"/>
    <s v="['34&amp;rsquor;|1:0|Jared Borgetti']"/>
    <s v="['85&amp;rsquor;|1:1|Alessandro Del Piero']"/>
    <s v=""/>
    <s v=""/>
    <s v=""/>
    <s v=""/>
    <s v=""/>
    <s v=""/>
    <s v=""/>
    <s v=""/>
    <s v=""/>
    <s v=""/>
    <s v=""/>
    <s v=""/>
    <s v=""/>
    <s v=""/>
    <s v="['2&amp;rsquor;|0:0|Jesús Arellano', '84&amp;rsquor;|1:0|Óscar Pérez Rojas']"/>
    <s v="['5&amp;rsquor;|0:0|Fabio Cannavaro', '10&amp;rsquor;|0:0|Christian Panucci', '43&amp;rsquor;|1:0|Francesco Totti', '55&amp;rsquor;|1:0|Gianluca Zambrotta', '57&amp;rsquor;|1:0|Vincenzo Montella']"/>
    <s v="['76&amp;rsquor;|1:0|Gabriel Caballero|for Johan Rodríguez', '76&amp;rsquor;|1:0|Rafael García Torres|for Ramón Morales', '80&amp;rsquor;|1:0|Francisco Palencia|for Jared Borgetti']"/>
    <s v="['55&amp;rsquor;|1:0|Vincenzo Montella|for Filippo Inzaghi', '63&amp;rsquor;|1:0|Francesco Coco|for Christian Panucci', '78&amp;rsquor;|1:0|Alessandro Del Piero|for Francesco Totti']"/>
  </r>
  <r>
    <s v="Ecuador"/>
    <s v="Croatia"/>
    <n v="1"/>
    <m/>
    <m/>
    <n v="0"/>
    <m/>
    <m/>
    <s v="Hernán Darío Gómez"/>
    <s v=""/>
    <s v="Mirko Jozić"/>
    <s v=""/>
    <n v="65862"/>
    <s v="Nissan Stadium, Yokohama"/>
    <s v=""/>
    <x v="5"/>
    <x v="134"/>
    <s v="1–0"/>
    <s v=""/>
    <s v=""/>
    <x v="5"/>
    <x v="5"/>
    <s v="Édison Méndez · 48"/>
    <s v=""/>
    <s v="['48&amp;rsquor;|1:0|Édison Méndez']"/>
    <s v=""/>
    <s v=""/>
    <s v=""/>
    <s v=""/>
    <s v=""/>
    <s v=""/>
    <s v=""/>
    <s v=""/>
    <s v=""/>
    <s v=""/>
    <s v=""/>
    <s v=""/>
    <s v=""/>
    <s v=""/>
    <s v=""/>
    <s v="['86&amp;rsquor;|1:0|Cléber Chalá']"/>
    <s v="['72&amp;rsquor;|1:0|Stjepan Tomas', '90+2&amp;rsquor;|1:0|Josip Šimunić']"/>
    <s v="['40&amp;rsquor;|0:0|Álex Aguinaga|for Alfonso Obregón', '76&amp;rsquor;|1:0|Iván Kaviedes|for Carlos Tenorio']"/>
    <s v="['52&amp;rsquor;|1:0|Davor Vugrinec|for Dario Šimić', '59&amp;rsquor;|1:0|Jurica Vranješ|for Niko Kovač', '68&amp;rsquor;|1:0|Mario Stanić|for Daniel Šarić']"/>
  </r>
  <r>
    <s v="Sweden"/>
    <s v="Argentina"/>
    <n v="1"/>
    <m/>
    <m/>
    <n v="1"/>
    <m/>
    <m/>
    <s v="Lars Lagerbäck"/>
    <s v=""/>
    <s v="Marcelo Bielsa"/>
    <s v=""/>
    <n v="45777"/>
    <s v="Miyagi Stadium, Rifu"/>
    <s v=""/>
    <x v="5"/>
    <x v="135"/>
    <s v="1–1"/>
    <s v=""/>
    <s v=""/>
    <x v="5"/>
    <x v="5"/>
    <s v="Anders Svensson · 59"/>
    <s v="Hernán Crespo · 88"/>
    <s v="['59&amp;rsquor;|1:0|Anders Svensson']"/>
    <s v="['88&amp;rsquor;|1:1|Hernán Crespo']"/>
    <s v=""/>
    <s v=""/>
    <s v=""/>
    <s v=""/>
    <s v=""/>
    <s v=""/>
    <s v=""/>
    <s v=""/>
    <s v=""/>
    <s v=""/>
    <s v=""/>
    <s v=""/>
    <s v=""/>
    <s v=""/>
    <s v="['65&amp;rsquor;|1:0|Magnus Svensson', '78&amp;rsquor;|1:0|Henrik Larsson']"/>
    <s v="['55&amp;rsquor;|0:0|José Chamot', '58&amp;rsquor;|0:0|Matías Almeyda', '75&amp;rsquor;|1:0|Kily González']"/>
    <s v="['46&amp;rsquor;|0:0|Andreas Andersson|for Marcus Allbäck', '68&amp;rsquor;|1:0|Mattias Jonson|for Anders Svensson', '88&amp;rsquor;|1:0|Zlatan Ibrahimović|for Henrik Larsson']"/>
    <s v="['58&amp;rsquor;|0:0|Hernán Crespo|for Gabriel Batistuta', '63&amp;rsquor;|1:0|Juan Sebastián Verón|for Matías Almeyda', '63&amp;rsquor;|1:0|Kily González|for Juan Pablo Sorín']"/>
  </r>
  <r>
    <s v="Nigeria"/>
    <s v="England"/>
    <n v="0"/>
    <m/>
    <m/>
    <n v="0"/>
    <m/>
    <m/>
    <s v="Festus Onigbinde"/>
    <s v=""/>
    <s v="Sven-Göran Eriksson"/>
    <s v=""/>
    <n v="44864"/>
    <s v="Yanmar Stadium Nagai, Osaka"/>
    <s v=""/>
    <x v="5"/>
    <x v="135"/>
    <s v="0–0"/>
    <s v=""/>
    <s v=""/>
    <x v="5"/>
    <x v="5"/>
    <s v=""/>
    <s v=""/>
    <s v=""/>
    <s v=""/>
    <s v=""/>
    <s v=""/>
    <s v=""/>
    <s v=""/>
    <s v=""/>
    <s v=""/>
    <s v=""/>
    <s v=""/>
    <s v=""/>
    <s v=""/>
    <s v=""/>
    <s v=""/>
    <s v=""/>
    <s v=""/>
    <s v=""/>
    <s v=""/>
    <s v="['86&amp;rsquor;|0:0|Pius Ikedia|for Femi Opabunmi']"/>
    <s v="['69&amp;rsquor;|0:0|Teddy Sheringham|for Emile Heskey', '77&amp;rsquor;|0:0|Darius Vassell|for Michael Owen', '85&amp;rsquor;|0:0|Wayne Bridge|for Andy Cole']"/>
  </r>
  <r>
    <s v="South Africa"/>
    <s v="Spain"/>
    <n v="2"/>
    <m/>
    <m/>
    <n v="3"/>
    <m/>
    <m/>
    <s v="Jomo Sono"/>
    <s v=""/>
    <s v="José Antonio Camacho"/>
    <s v=""/>
    <n v="31024"/>
    <s v="Daejeon World Cup Stadium, Daejeon"/>
    <s v=""/>
    <x v="5"/>
    <x v="135"/>
    <s v="2–3"/>
    <s v=""/>
    <s v=""/>
    <x v="5"/>
    <x v="5"/>
    <s v="Benni McCarthy · 31|Lucas Radebe · 53"/>
    <s v="Raúl · 4|Gaizka Mendieta · 45+1|Raúl · 56"/>
    <s v="['31&amp;rsquor;|1:1|Benni McCarthy', '53&amp;rsquor;|2:2|Lucas Radebe']"/>
    <s v="['4&amp;rsquor;|0:1|Raúl', '45+1&amp;rsquor;|1:2|Gaizka Mendieta', '56&amp;rsquor;|2:3|Raúl']"/>
    <s v=""/>
    <s v=""/>
    <s v=""/>
    <s v=""/>
    <s v=""/>
    <s v=""/>
    <s v=""/>
    <s v=""/>
    <s v=""/>
    <s v=""/>
    <s v=""/>
    <s v=""/>
    <s v=""/>
    <s v=""/>
    <s v="['16&amp;rsquor;|0:1|Cyril Nzama', '67&amp;rsquor;|2:3|Bradley Carnell', '69&amp;rsquor;|2:3|Siyabonga Nomvethe', '81&amp;rsquor;|2:3|Aaron Mokoena']"/>
    <s v=""/>
    <s v="['74&amp;rsquor;|2:3|George Koumantarakis|for Siyabonga Nomvethe', '80&amp;rsquor;|2:3|Thabang Molefe|for Lucas Radebe', '83&amp;rsquor;|2:3|Jacob Lekgetho|for Quinton Fortune']"/>
    <s v="['53&amp;rsquor;|1:2|Sergio|for David Albelda', '77&amp;rsquor;|2:3|Albert Luque|for Fernando Morientes', '82&amp;rsquor;|2:3|Luis Enrique|for Raúl']"/>
  </r>
  <r>
    <s v="Slovenia"/>
    <s v="Paraguay"/>
    <n v="1"/>
    <m/>
    <m/>
    <n v="3"/>
    <m/>
    <m/>
    <s v="Srečko Katanec"/>
    <s v=""/>
    <s v="Cesare Maldini"/>
    <s v=""/>
    <n v="30176"/>
    <s v="Jeju World Cup Stadium, Jeju"/>
    <s v=""/>
    <x v="5"/>
    <x v="135"/>
    <s v="1–3"/>
    <s v=""/>
    <s v=""/>
    <x v="5"/>
    <x v="5"/>
    <s v="Milenko Ačimovič · 45+1"/>
    <s v="Nelson Cuevas · 65|Jorge Luis Campos · 73|Nelson Cuevas · 84"/>
    <s v="['45+1&amp;rsquor;|1:0|Milenko Ačimovič']"/>
    <s v="['65&amp;rsquor;|1:1|Nelson Cuevas', '73&amp;rsquor;|1:2|Jorge Luis Campos', '84&amp;rsquor;|1:3|Nelson Cuevas']"/>
    <s v=""/>
    <s v=""/>
    <s v=""/>
    <s v=""/>
    <s v=""/>
    <s v=""/>
    <s v=""/>
    <s v=""/>
    <s v=""/>
    <s v=""/>
    <s v="Nastja Čeh · 81"/>
    <s v=""/>
    <s v=""/>
    <s v="Carlos Paredes · 22"/>
    <s v="['16&amp;rsquor;|0:0|Miran Pavlin', '68&amp;rsquor;|1:1|Amir Karić', '69&amp;rsquor;|1:1|Mladen Rudonja', '79&amp;rsquor;|1:2|Željko Milinovič']"/>
    <s v="['4&amp;rsquor;|0:0|Carlos Paredes']"/>
    <s v="['40&amp;rsquor;|0:0|Mladen Rudonja|for Miran Pavlin', '62&amp;rsquor;|1:0|Nastja Čeh|for Milenko Ačimovič', '77&amp;rsquor;|1:2|Senad Tiganj|for Milan Osterc']"/>
    <s v="['53&amp;rsquor;|1:0|Jorge Luis Campos|for Guido Alvarenga', '61&amp;rsquor;|1:0|Nelson Cuevas|for José Cardozo', '90&amp;rsquor;|1:3|Juan Carlos Franco|for Nelson Cuevas']"/>
  </r>
  <r>
    <s v="Denmark"/>
    <s v="France"/>
    <n v="2"/>
    <m/>
    <m/>
    <n v="0"/>
    <m/>
    <m/>
    <s v="Morten Olsen"/>
    <s v=""/>
    <s v="Roger Lemerre"/>
    <s v=""/>
    <n v="48100"/>
    <s v="Incheon Munhak Stadium, Incheon"/>
    <s v=""/>
    <x v="5"/>
    <x v="136"/>
    <s v="2–0"/>
    <s v=""/>
    <s v=""/>
    <x v="5"/>
    <x v="5"/>
    <s v="Dennis Rommedahl · 22|Jon Dahl Tomasson · 67"/>
    <s v=""/>
    <s v="['22&amp;rsquor;|1:0|Dennis Rommedahl', '67&amp;rsquor;|2:0|Jon Dahl Tomasson']"/>
    <s v=""/>
    <s v=""/>
    <s v=""/>
    <s v=""/>
    <s v=""/>
    <s v=""/>
    <s v=""/>
    <s v=""/>
    <s v=""/>
    <s v=""/>
    <s v=""/>
    <s v=""/>
    <s v=""/>
    <s v=""/>
    <s v=""/>
    <s v="['27&amp;rsquor;|1:0|Christian Poulsen', '71&amp;rsquor;|2:0|Niclas Jensen']"/>
    <s v="['8&amp;rsquor;|0:0|Christophe Dugarry']"/>
    <s v="['46&amp;rsquor;|1:0|Jesper Grønkjær|for Martin Jørgensen', '76&amp;rsquor;|2:0|Kasper Bøgelund|for Christian Poulsen', '79&amp;rsquor;|2:0|Brian Steen Nielsen|for Stig Tøfting']"/>
    <s v="['54&amp;rsquor;|1:0|Djibril Cissé|for Christophe Dugarry', '71&amp;rsquor;|2:0|Johan Micoud|for Patrick Vieira', '83&amp;rsquor;|2:0|Youri Djorkaeff|for Sylvain Wiltord']"/>
  </r>
  <r>
    <s v="Senegal"/>
    <s v="Uruguay"/>
    <n v="3"/>
    <m/>
    <m/>
    <n v="3"/>
    <m/>
    <m/>
    <s v="Bruno Metsu"/>
    <s v=""/>
    <s v="Víctor Púa"/>
    <s v=""/>
    <n v="33681"/>
    <s v="Suwon World Cup Stadium, Suwon"/>
    <s v=""/>
    <x v="5"/>
    <x v="136"/>
    <s v="3–3"/>
    <s v=""/>
    <s v=""/>
    <x v="5"/>
    <x v="5"/>
    <s v="Khalilou Fadiga · 20|Papa Bouba Diop · 26|Papa Bouba Diop · 38"/>
    <s v="Richard Morales · 46|Diego Forlán · 69"/>
    <s v="['20&amp;rsquor;|1:0|Khalilou Fadiga', '26&amp;rsquor;|2:0|Papa Bouba Diop', '38&amp;rsquor;|3:0|Papa Bouba Diop']"/>
    <s v="['46&amp;rsquor;|3:1|Richard Morales', '69&amp;rsquor;|3:2|Diego Forlán']"/>
    <s v=""/>
    <s v=""/>
    <s v=""/>
    <s v="Álvaro Recoba (P) · 88"/>
    <s v=""/>
    <s v=""/>
    <s v=""/>
    <s v=""/>
    <s v=""/>
    <s v=""/>
    <s v=""/>
    <s v=""/>
    <s v=""/>
    <s v=""/>
    <s v="['2&amp;rsquor;|0:0|Henri Camara', '4&amp;rsquor;|0:0|Omar Daf', '39&amp;rsquor;|3:0|Ferdinand Coly', '69&amp;rsquor;|3:1|Papa Bouba Diop', '82&amp;rsquor;|3:2|El Hadji Diouf', '87&amp;rsquor;|3:2|Khalilou Fadiga', '87&amp;rsquor;|3:2|Habib Beye']"/>
    <s v="['8&amp;rsquor;|0:0|Marcelo Romero', '19&amp;rsquor;|0:0|Fabián Carini', '35&amp;rsquor;|2:0|Pablo García', '40&amp;rsquor;|3:0|Darío Rodríguez', '82&amp;rsquor;|3:2|Paolo Montero']"/>
    <s v="['63&amp;rsquor;|3:1|Habib Beye|for Ferdinand Coly', &quot;67&amp;rsquor;|3:1|Moussa N'Diaye|for Henri Camara&quot;, &quot;76&amp;rsquor;|3:2|Amdy Faye|for Alassane N'Dour&quot;]"/>
    <s v="['32&amp;rsquor;|2:0|Mario Regueiro|for Gonzalo Sorondo', '46&amp;rsquor;|3:1|Richard Morales|for Sebastián Abreu', '46&amp;rsquor;|3:1|Diego Forlán|for Marcelo Romero']"/>
  </r>
  <r>
    <s v="Saudi Arabia"/>
    <s v="Republic of Ireland"/>
    <n v="0"/>
    <m/>
    <m/>
    <n v="3"/>
    <m/>
    <m/>
    <s v="Nasser Al-Johar"/>
    <s v=""/>
    <s v="Mick McCarthy"/>
    <s v=""/>
    <n v="65320"/>
    <s v="Nissan Stadium, Yokohama"/>
    <s v=""/>
    <x v="5"/>
    <x v="136"/>
    <s v="0–3"/>
    <s v=""/>
    <s v=""/>
    <x v="5"/>
    <x v="5"/>
    <s v=""/>
    <s v="Robbie Keane · 7|Gary Breen · 61|Damien Duff · 87"/>
    <s v=""/>
    <s v="['7&amp;rsquor;|0:1|Robbie Keane', '61&amp;rsquor;|0:2|Gary Breen', '87&amp;rsquor;|0:3|Damien Duff']"/>
    <s v=""/>
    <s v=""/>
    <s v=""/>
    <s v=""/>
    <s v=""/>
    <s v=""/>
    <s v=""/>
    <s v=""/>
    <s v=""/>
    <s v=""/>
    <s v=""/>
    <s v=""/>
    <s v=""/>
    <s v=""/>
    <s v="['61&amp;rsquor;|0:1|Nawaf Al-Temyat']"/>
    <s v="['70&amp;rsquor;|0:2|Steve Staunton']"/>
    <s v="['67&amp;rsquor;|0:2|Mohammad Al-Shalhoub|for Abdulaziz Khathran', '68&amp;rsquor;|0:2|Abdullah Jumaan Al-Dosari|for Abdullah Zubromawi', '79&amp;rsquor;|0:2|Ahmed Dokhi|for Mohammed Al-Jahani']"/>
    <s v="['46&amp;rsquor;|0:1|Niall Quinn|for Ian Harte', '80&amp;rsquor;|0:2|Jason McAteer|for Gary Kelly', '89&amp;rsquor;|0:3|Lee Carsley|for Mark Kinsella']"/>
  </r>
  <r>
    <s v="Cameroon"/>
    <s v="Germany"/>
    <n v="0"/>
    <m/>
    <m/>
    <n v="2"/>
    <m/>
    <m/>
    <s v="Winfried Schäfer"/>
    <s v=""/>
    <s v="Rudi Völler"/>
    <s v=""/>
    <n v="47085"/>
    <s v="Shizuoka Stadium Ecopa, Fukuroi"/>
    <s v=""/>
    <x v="5"/>
    <x v="136"/>
    <s v="0–2"/>
    <s v=""/>
    <s v=""/>
    <x v="5"/>
    <x v="5"/>
    <s v=""/>
    <s v="Marco Bode · 50|Miroslav Klose · 79"/>
    <s v=""/>
    <s v="['50&amp;rsquor;|0:1|Marco Bode', '79&amp;rsquor;|0:2|Miroslav Klose']"/>
    <s v=""/>
    <s v=""/>
    <s v=""/>
    <s v=""/>
    <s v=""/>
    <s v=""/>
    <s v=""/>
    <s v=""/>
    <s v=""/>
    <s v=""/>
    <s v=""/>
    <s v=""/>
    <s v="Patrick Suffo · 77"/>
    <s v="Carsten Ramelow · 40"/>
    <s v="['8&amp;rsquor;|0:0|Marc-Vivien Foé', '42&amp;rsquor;|0:0|Rigobert Song', '44&amp;rsquor;|0:0|Bill Tchato', '56&amp;rsquor;|0:1|Geremi', '58&amp;rsquor;|0:1|Salomon Olembé', '60&amp;rsquor;|0:1|Patrick Suffo', '81&amp;rsquor;|0:2|Lauren']"/>
    <s v="['9&amp;rsquor;|0:0|Carsten Jancker', '29&amp;rsquor;|0:0|Dietmar Hamann', '31&amp;rsquor;|0:0|Michael Ballack', '37&amp;rsquor;|0:0|Carsten Ramelow', '42&amp;rsquor;|0:0|Oliver Kahn', '72&amp;rsquor;|0:1|Christian Ziege', '74&amp;rsquor;|0:1|Torsten Frings']"/>
    <s v="['53&amp;rsquor;|0:1|Patrick Suffo|for Bill Tchato', &quot;64&amp;rsquor;|0:1|Daniel N'Gom Kome|for Salomon Olembé&quot;, &quot;80&amp;rsquor;|0:2|Joseph-Désiré Job|for Patrick M'Boma&quot;]"/>
    <s v="['46&amp;rsquor;|0:0|Marco Bode|for Carsten Jancker', '80&amp;rsquor;|0:2|Jens Jeremies|for Bernd Schneider', '84&amp;rsquor;|0:2|Oliver Neuville|for Miroslav Klose']"/>
  </r>
  <r>
    <s v="Korea Republic"/>
    <s v="United States"/>
    <n v="1"/>
    <m/>
    <m/>
    <n v="1"/>
    <m/>
    <m/>
    <s v="Guus Hiddink"/>
    <s v=""/>
    <s v="Bruce Arena"/>
    <s v=""/>
    <n v="60778"/>
    <s v="Daegu Main Stadium, Daegu"/>
    <s v=""/>
    <x v="5"/>
    <x v="137"/>
    <s v="1–1"/>
    <s v=""/>
    <s v=""/>
    <x v="5"/>
    <x v="5"/>
    <s v="Ahn Jung-hwan · 78"/>
    <s v="Clint Mathis · 24"/>
    <s v="['78&amp;rsquor;|1:1|Ahn Jung-hwan']"/>
    <s v="['24&amp;rsquor;|0:1|Clint Mathis']"/>
    <s v=""/>
    <s v=""/>
    <s v=""/>
    <s v=""/>
    <s v=""/>
    <s v=""/>
    <s v=""/>
    <s v=""/>
    <s v=""/>
    <s v=""/>
    <s v=""/>
    <s v=""/>
    <s v=""/>
    <s v=""/>
    <s v="['80&amp;rsquor;|1:1|Hong Myung-bo']"/>
    <s v="['30&amp;rsquor;|0:1|Frankie Hejduk', '39&amp;rsquor;|0:1|Jeff Agoos']"/>
    <s v="['38&amp;rsquor;|0:1|Lee Chun-soo|for Park Ji-sung', '56&amp;rsquor;|0:1|Ahn Jung-hwan|for Hwang Sun-hong', '69&amp;rsquor;|0:1|Choi Yong-soo|for Yoo Sang-chul']"/>
    <s v="['75&amp;rsquor;|0:1|Eddie Lewis|for DaMarcus Beasley', '82&amp;rsquor;|1:1|Josh Wolff|for Clint Mathis']"/>
  </r>
  <r>
    <s v="Tunisia"/>
    <s v="Belgium"/>
    <n v="1"/>
    <m/>
    <m/>
    <n v="1"/>
    <m/>
    <m/>
    <s v="Ammar Souayah"/>
    <s v=""/>
    <s v="Robert Waseige"/>
    <s v=""/>
    <n v="39700"/>
    <s v="Ōita Bank Dome, Ōita"/>
    <s v=""/>
    <x v="5"/>
    <x v="137"/>
    <s v="1–1"/>
    <s v=""/>
    <s v=""/>
    <x v="5"/>
    <x v="5"/>
    <s v="Raouf Bouzaiene · 17"/>
    <s v="Marc Wilmots · 13"/>
    <s v="['17&amp;rsquor;|1:1|Raouf Bouzaiene']"/>
    <s v="['13&amp;rsquor;|0:1|Marc Wilmots']"/>
    <s v=""/>
    <s v=""/>
    <s v=""/>
    <s v=""/>
    <s v=""/>
    <s v=""/>
    <s v=""/>
    <s v=""/>
    <s v=""/>
    <s v=""/>
    <s v=""/>
    <s v=""/>
    <s v=""/>
    <s v=""/>
    <s v="['22&amp;rsquor;|1:1|Hassen Gabsi', '43&amp;rsquor;|1:1|Kaies Ghodhbane', '68&amp;rsquor;|1:1|Hatem Trabelsi', '69&amp;rsquor;|1:1|Mourad Melki']"/>
    <s v="['40&amp;rsquor;|1:1|Daniel Van Buyten']"/>
    <s v="['67&amp;rsquor;|1:1|Adel Sellimi|for Hassen Gabsi', '77&amp;rsquor;|1:1|Ali Zitouni|for Ziad Jaziri', '88&amp;rsquor;|1:1|Zoubeir Baya|for Mourad Melki']"/>
    <s v="['46&amp;rsquor;|1:1|Wesley Sonck|for Gert Verheyen', '46&amp;rsquor;|1:1|Sven Vermant|for Branko Strupar', '74&amp;rsquor;|1:1|Mbo Mpenza|for Timmy Simons']"/>
  </r>
  <r>
    <s v="Portugal"/>
    <s v="Poland"/>
    <n v="4"/>
    <m/>
    <m/>
    <n v="0"/>
    <m/>
    <m/>
    <s v="António Luís Alves Ribeiro Oliveira"/>
    <s v=""/>
    <s v="Jerzy Engel"/>
    <s v=""/>
    <n v="31000"/>
    <s v="Jeonju World Cup Stadium, Jeonju"/>
    <s v=""/>
    <x v="5"/>
    <x v="137"/>
    <s v="4–0"/>
    <s v=""/>
    <s v=""/>
    <x v="5"/>
    <x v="5"/>
    <s v="Pauleta · 14|Pauleta · 65|Pauleta · 77|Rui Costa · 88"/>
    <s v=""/>
    <s v="['14&amp;rsquor;|1:0|Pauleta', '65&amp;rsquor;|2:0|Pauleta', '77&amp;rsquor;|3:0|Pauleta', '88&amp;rsquor;|4:0|Rui Costa']"/>
    <s v=""/>
    <s v=""/>
    <s v=""/>
    <s v=""/>
    <s v=""/>
    <s v=""/>
    <s v=""/>
    <s v=""/>
    <s v=""/>
    <s v=""/>
    <s v=""/>
    <s v=""/>
    <s v=""/>
    <s v=""/>
    <s v=""/>
    <s v="['25&amp;rsquor;|1:0|Nuno Frechaut', '27&amp;rsquor;|1:0|Jorge Costa', '31&amp;rsquor;|1:0|Rui Costa']"/>
    <s v="['21&amp;rsquor;|1:0|Piotr Świerczewski', '39&amp;rsquor;|1:0|Arkadiusz Bąk']"/>
    <s v="['60&amp;rsquor;|1:0|Rui Costa|for João Pinto', '63&amp;rsquor;|1:0|Beto|for Nuno Frechaut', '69&amp;rsquor;|2:0|Capucho|for Sérgio Conceição']"/>
    <s v="['17&amp;rsquor;|1:0|Arkadiusz Bąk|for Radosław Kałużny', '56&amp;rsquor;|1:0|Marcin Żewłakow|for Maciej Żurawski', '71&amp;rsquor;|2:0|Tomasz Rząsa|for Michał Żewłakow']"/>
  </r>
  <r>
    <s v="Mexico"/>
    <s v="Ecuador"/>
    <n v="2"/>
    <m/>
    <m/>
    <n v="1"/>
    <m/>
    <m/>
    <s v="Javier Aguirre"/>
    <s v=""/>
    <s v="Hernán Darío Gómez"/>
    <s v=""/>
    <n v="45610"/>
    <s v="Sapporo Dome, Sapporo"/>
    <s v=""/>
    <x v="5"/>
    <x v="138"/>
    <s v="2–1"/>
    <s v=""/>
    <s v=""/>
    <x v="5"/>
    <x v="5"/>
    <s v="Jared Borgetti · 28|Gerardo Torrado · 57"/>
    <s v="Agustín Delgado · 5"/>
    <s v="['28&amp;rsquor;|1:1|Jared Borgetti', '57&amp;rsquor;|2:1|Gerardo Torrado']"/>
    <s v="['5&amp;rsquor;|0:1|Agustín Delgado']"/>
    <s v=""/>
    <s v=""/>
    <s v=""/>
    <s v=""/>
    <s v=""/>
    <s v=""/>
    <s v=""/>
    <s v=""/>
    <s v=""/>
    <s v=""/>
    <s v=""/>
    <s v=""/>
    <s v=""/>
    <s v=""/>
    <s v="['65&amp;rsquor;|2:1|Gerardo Torrado']"/>
    <s v="['15&amp;rsquor;|0:1|Iván Kaviedes', '27&amp;rsquor;|0:1|José Francisco Cevallos', '49&amp;rsquor;|1:1|Raúl Guerrón', '61&amp;rsquor;|2:1|Carlos Tenorio', '87&amp;rsquor;|2:1|Agustín Delgado']"/>
    <s v="['77&amp;rsquor;|2:1|Luis Hernández|for Jared Borgetti', '87&amp;rsquor;|2:1|Gabriel Caballero|for Johan Rodríguez', '90&amp;rsquor;|2:1|Sigifredo Mercado|for Cuauhtémoc Blanco']"/>
    <s v="['35&amp;rsquor;|1:1|Marlon Ayoví|for Edwin Tenorio', '53&amp;rsquor;|1:1|Carlos Tenorio|for Iván Kaviedes', '58&amp;rsquor;|2:1|Álex Aguinaga|for Alfonso Obregón']"/>
  </r>
  <r>
    <s v="Costa Rica"/>
    <s v="Türkiye"/>
    <n v="1"/>
    <m/>
    <m/>
    <n v="1"/>
    <m/>
    <m/>
    <s v="Alexandre Guimarães"/>
    <s v=""/>
    <s v="Şenol Güneş"/>
    <s v=""/>
    <n v="42299"/>
    <s v="Incheon Munhak Stadium, Incheon"/>
    <s v=""/>
    <x v="5"/>
    <x v="138"/>
    <s v="1–1"/>
    <s v=""/>
    <s v=""/>
    <x v="5"/>
    <x v="5"/>
    <s v="Winston Parks · 86"/>
    <s v="Emre Belözoğlu · 56"/>
    <s v="['86&amp;rsquor;|1:1|Winston Parks']"/>
    <s v="['56&amp;rsquor;|0:1|Emre Belözoğlu']"/>
    <s v=""/>
    <s v=""/>
    <s v=""/>
    <s v=""/>
    <s v=""/>
    <s v=""/>
    <s v=""/>
    <s v=""/>
    <s v=""/>
    <s v=""/>
    <s v=""/>
    <s v=""/>
    <s v=""/>
    <s v=""/>
    <s v="['24&amp;rsquor;|0:0|Gilberto Martínez', '43&amp;rsquor;|0:0|Carlos Castro Mora']"/>
    <s v="['20&amp;rsquor;|0:0|Emre Aşık', '45&amp;rsquor;|0:0|Tugay Kerimoğlu', '89&amp;rsquor;|1:1|Emre Belözoğlu']"/>
    <s v="['66&amp;rsquor;|0:1|Hernán Medford|for Walter Centeno', '77&amp;rsquor;|0:1|Steven Bryce|for Harold Wallace', '77&amp;rsquor;|0:1|Winston Parks|for Wilmer López']"/>
    <s v="['75&amp;rsquor;|0:1|İlhan Mansız|for Hakan Şükür', '79&amp;rsquor;|0:1|Nihat Kahveci|for Yıldıray Baştürk', '88&amp;rsquor;|1:1|Arif Erdem|for Tugay Kerimoğlu']"/>
  </r>
  <r>
    <s v="Japan"/>
    <s v="Russia"/>
    <n v="1"/>
    <m/>
    <m/>
    <n v="0"/>
    <m/>
    <m/>
    <s v="Philippe Troussier"/>
    <s v=""/>
    <s v="Oleg Romantsev"/>
    <s v=""/>
    <n v="66108"/>
    <s v="Nissan Stadium, Yokohama"/>
    <s v=""/>
    <x v="5"/>
    <x v="138"/>
    <s v="1–0"/>
    <s v=""/>
    <s v=""/>
    <x v="5"/>
    <x v="5"/>
    <s v="Junichi Inamoto · 51"/>
    <s v=""/>
    <s v="['51&amp;rsquor;|1:0|Junichi Inamoto']"/>
    <s v=""/>
    <s v=""/>
    <s v=""/>
    <s v=""/>
    <s v=""/>
    <s v=""/>
    <s v=""/>
    <s v=""/>
    <s v=""/>
    <s v=""/>
    <s v=""/>
    <s v=""/>
    <s v=""/>
    <s v=""/>
    <s v=""/>
    <s v="['15&amp;rsquor;|0:0|Tsuneyasu Miyamoto', '42&amp;rsquor;|0:0|Kōji Nakata', '90+1&amp;rsquor;|1:0|Masashi Nakayama']"/>
    <s v="['13&amp;rsquor;|0:0|Ruslan Pimenov', '38&amp;rsquor;|0:0|Andrei Solomatin', '60&amp;rsquor;|1:0|Dmitri Khokhlov']"/>
    <s v="['72&amp;rsquor;|1:0|Masashi Nakayama|for Takayuki Suzuki', '75&amp;rsquor;|1:0|Toshihiro Hattori|for Shinji Ono', '85&amp;rsquor;|1:0|Takashi Fukunishi|for Junichi Inamoto']"/>
    <s v="['46&amp;rsquor;|0:0|Dmitri Sychev|for Ruslan Pimenov', '52&amp;rsquor;|1:0|Dmitri Khokhlov|for Marat Izmailov', '57&amp;rsquor;|1:0|Vladimir Beschastnykh|for Alexey Smertin']"/>
  </r>
  <r>
    <s v="South Africa"/>
    <s v="Slovenia"/>
    <n v="1"/>
    <m/>
    <m/>
    <n v="0"/>
    <m/>
    <m/>
    <s v="Jomo Sono"/>
    <s v=""/>
    <s v="Srečko Katanec"/>
    <s v=""/>
    <n v="47226"/>
    <s v="Daegu Main Stadium, Daegu"/>
    <s v=""/>
    <x v="5"/>
    <x v="139"/>
    <s v="1–0"/>
    <s v=""/>
    <s v=""/>
    <x v="5"/>
    <x v="5"/>
    <s v="Siyabonga Nomvethe · 4"/>
    <s v=""/>
    <s v="['4&amp;rsquor;|1:0|Siyabonga Nomvethe']"/>
    <s v=""/>
    <s v=""/>
    <s v=""/>
    <s v=""/>
    <s v=""/>
    <s v=""/>
    <s v=""/>
    <s v=""/>
    <s v=""/>
    <s v=""/>
    <s v=""/>
    <s v=""/>
    <s v=""/>
    <s v=""/>
    <s v=""/>
    <s v="['12&amp;rsquor;|1:0|Lucas Radebe', '59&amp;rsquor;|1:0|Teboho Mokoena']"/>
    <s v="['35&amp;rsquor;|1:0|Muamer Vugdalić', '52&amp;rsquor;|1:0|Željko Milinovič', '62&amp;rsquor;|1:0|Aleš Čeh', '75&amp;rsquor;|1:0|Miran Pavlin']"/>
    <s v="['71&amp;rsquor;|1:0|Delron Buckley|for Siyabonga Nomvethe', '80&amp;rsquor;|1:0|George Koumantarakis|for Benni McCarthy', '84&amp;rsquor;|1:0|Jabu Mahlangu|for Quinton Fortune']"/>
    <s v="['41&amp;rsquor;|1:0|Milan Osterc|for Sebastjan Cimirotič', '60&amp;rsquor;|1:0|Nastja Čeh|for Milenko Ačimovič', '60&amp;rsquor;|1:0|Spasoje Bulajič|for Aleksander Knavs']"/>
  </r>
  <r>
    <s v="Italy"/>
    <s v="Croatia"/>
    <n v="1"/>
    <m/>
    <m/>
    <n v="2"/>
    <m/>
    <m/>
    <s v="Giovanni Trapattoni"/>
    <s v=""/>
    <s v="Mirko Jozić"/>
    <s v=""/>
    <n v="36472"/>
    <s v="Kashima Soccer Stadium, Kashima"/>
    <s v=""/>
    <x v="5"/>
    <x v="139"/>
    <s v="1–2"/>
    <s v=""/>
    <s v=""/>
    <x v="5"/>
    <x v="5"/>
    <s v="Christian Vieri · 55"/>
    <s v="Ivica Olić · 73|Milan Rapaić · 76"/>
    <s v="['55&amp;rsquor;|1:0|Christian Vieri']"/>
    <s v="['73&amp;rsquor;|1:1|Ivica Olić', '76&amp;rsquor;|1:2|Milan Rapaić']"/>
    <s v=""/>
    <s v=""/>
    <s v=""/>
    <s v=""/>
    <s v=""/>
    <s v=""/>
    <s v=""/>
    <s v=""/>
    <s v=""/>
    <s v=""/>
    <s v=""/>
    <s v=""/>
    <s v=""/>
    <s v=""/>
    <s v="['51&amp;rsquor;|0:0|Christian Vieri']"/>
    <s v="['39&amp;rsquor;|0:0|Robert Kovač']"/>
    <s v="['23&amp;rsquor;|0:0|Marco Materazzi|for Alessandro Nesta', '79&amp;rsquor;|1:2|Filippo Inzaghi|for Cristiano Doni']"/>
    <s v="['57&amp;rsquor;|1:0|Ivica Olić|for Davor Vugrinec', '62&amp;rsquor;|1:0|Jurica Vranješ|for Zvonimir Soldo', '79&amp;rsquor;|1:2|Dario Šimić|for Milan Rapaić']"/>
  </r>
  <r>
    <s v="Brazil"/>
    <s v="China PR"/>
    <n v="4"/>
    <m/>
    <m/>
    <n v="0"/>
    <m/>
    <m/>
    <s v="Luiz Felipe Scolari"/>
    <s v=""/>
    <s v="Bora Milutinović"/>
    <s v=""/>
    <n v="36750"/>
    <s v="Jeju World Cup Stadium, Jeju"/>
    <s v=""/>
    <x v="5"/>
    <x v="139"/>
    <s v="4–0"/>
    <s v=""/>
    <s v=""/>
    <x v="5"/>
    <x v="5"/>
    <s v="Roberto Carlos · 15|Rivaldo · 32|Ronaldo · 55"/>
    <s v=""/>
    <s v="['15&amp;rsquor;|1:0|Roberto Carlos', '32&amp;rsquor;|2:0|Rivaldo', '55&amp;rsquor;|4:0|Ronaldo']"/>
    <s v=""/>
    <s v=""/>
    <s v=""/>
    <s v="Ronaldinho (P) · 45"/>
    <s v=""/>
    <s v=""/>
    <s v=""/>
    <s v=""/>
    <s v=""/>
    <s v=""/>
    <s v=""/>
    <s v=""/>
    <s v=""/>
    <s v=""/>
    <s v=""/>
    <s v="['25&amp;rsquor;|1:0|Ronaldinho', '69&amp;rsquor;|4:0|Roque Júnior']"/>
    <s v=""/>
    <s v="['46&amp;rsquor;|3:0|Denílson|for Ronaldinho', '70&amp;rsquor;|4:0|Ricardinho|for Juninho Paulista', '72&amp;rsquor;|4:0|Edílson|for Ronaldo']"/>
    <s v="['62&amp;rsquor;|4:0|Yang Pu|for Ma Mingyu', '66&amp;rsquor;|4:0|Shao Jiayi|for Qi Hong', '75&amp;rsquor;|4:0|Qu Bo|for Hao Haidong']"/>
  </r>
  <r>
    <s v="Sweden"/>
    <s v="Nigeria"/>
    <n v="2"/>
    <m/>
    <m/>
    <n v="1"/>
    <m/>
    <m/>
    <s v="Tommy Söderberg"/>
    <s v=""/>
    <s v="Festus Onigbinde"/>
    <s v=""/>
    <n v="36194"/>
    <s v="NOEVIR Stadium Kobe, Kobe"/>
    <s v=""/>
    <x v="5"/>
    <x v="140"/>
    <s v="2–1"/>
    <s v=""/>
    <s v=""/>
    <x v="5"/>
    <x v="5"/>
    <s v="Henrik Larsson · 35"/>
    <s v="Julius Aghahowa · 27"/>
    <s v="['35&amp;rsquor;|1:1|Henrik Larsson']"/>
    <s v="['27&amp;rsquor;|0:1|Julius Aghahowa']"/>
    <s v=""/>
    <s v=""/>
    <s v="Henrik Larsson (P) · 63"/>
    <s v=""/>
    <s v=""/>
    <s v=""/>
    <s v=""/>
    <s v=""/>
    <s v=""/>
    <s v=""/>
    <s v=""/>
    <s v=""/>
    <s v=""/>
    <s v=""/>
    <s v="['31&amp;rsquor;|0:1|Johan Mjällby', '69&amp;rsquor;|2:1|Niclas Alexandersson']"/>
    <s v="['80&amp;rsquor;|2:1|Taribo West']"/>
    <s v="['64&amp;rsquor;|2:1|Andreas Andersson|for Marcus Allbäck', '83&amp;rsquor;|2:1|Magnus Svensson|for Anders Svensson']"/>
    <s v="['65&amp;rsquor;|2:1|Nwankwo Kanu|for Celestine Babayaro', '70&amp;rsquor;|2:1|Pius Ikedia|for Bartholomew Ogbeche']"/>
  </r>
  <r>
    <s v="Spain"/>
    <s v="Paraguay"/>
    <n v="3"/>
    <m/>
    <m/>
    <n v="1"/>
    <m/>
    <m/>
    <s v="José Antonio Camacho"/>
    <s v=""/>
    <s v="Cesare Maldini"/>
    <s v=""/>
    <n v="24000"/>
    <s v="Jeonju World Cup Stadium, Jeonju"/>
    <s v=""/>
    <x v="5"/>
    <x v="140"/>
    <s v="3–1"/>
    <s v=""/>
    <s v=""/>
    <x v="5"/>
    <x v="5"/>
    <s v="Fernando Morientes · 53|Fernando Morientes · 69"/>
    <s v=""/>
    <s v="['53&amp;rsquor;|1:1|Fernando Morientes', '69&amp;rsquor;|2:1|Fernando Morientes']"/>
    <s v=""/>
    <s v=""/>
    <s v="Carles Puyol (OG) · 10"/>
    <s v="Fernando Hierro (P) · 83"/>
    <s v=""/>
    <s v=""/>
    <s v=""/>
    <s v=""/>
    <s v=""/>
    <s v=""/>
    <s v=""/>
    <s v=""/>
    <s v=""/>
    <s v=""/>
    <s v=""/>
    <s v="['9&amp;rsquor;|0:0|Rubén Baraja']"/>
    <s v="['44&amp;rsquor;|0:1|Francisco Arce', '60&amp;rsquor;|1:1|Diego Gavilán', '80&amp;rsquor;|2:1|Roque Santa Cruz']"/>
    <s v="['46&amp;rsquor;|0:1|Iván Helguera|for Luis Enrique', '46&amp;rsquor;|0:1|Fernando Morientes|for Diego Tristán', '85&amp;rsquor;|3:1|Xavi|for Juan Carlos Valerón']"/>
    <s v="['63&amp;rsquor;|1:1|Jorge Luis Campos|for José Cardozo', '78&amp;rsquor;|2:1|Estanislao Struway|for Denis Caniza']"/>
  </r>
  <r>
    <s v="Argentina"/>
    <s v="England"/>
    <n v="0"/>
    <m/>
    <m/>
    <n v="1"/>
    <m/>
    <m/>
    <s v="Marcelo Bielsa"/>
    <s v=""/>
    <s v="Sven-Göran Eriksson"/>
    <s v=""/>
    <n v="35927"/>
    <s v="Sapporo Dome, Sapporo"/>
    <s v=""/>
    <x v="5"/>
    <x v="140"/>
    <s v="0–1"/>
    <s v=""/>
    <s v=""/>
    <x v="5"/>
    <x v="5"/>
    <s v=""/>
    <s v=""/>
    <s v=""/>
    <s v=""/>
    <s v=""/>
    <s v=""/>
    <s v=""/>
    <s v="David Beckham (P) · 44"/>
    <s v=""/>
    <s v=""/>
    <s v=""/>
    <s v=""/>
    <s v=""/>
    <s v=""/>
    <s v=""/>
    <s v=""/>
    <s v=""/>
    <s v=""/>
    <s v="['13&amp;rsquor;|0:0|Gabriel Batistuta']"/>
    <s v="['29&amp;rsquor;|0:0|Ashley Cole', '50&amp;rsquor;|0:1|Emile Heskey']"/>
    <s v="['46&amp;rsquor;|0:1|Pablo Aimar|for Juan Sebastián Verón', '60&amp;rsquor;|0:1|Hernán Crespo|for Gabriel Batistuta', '64&amp;rsquor;|0:1|Claudio López|for Kily González']"/>
    <s v="['19&amp;rsquor;|0:0|Trevor Sinclair|for Owen Hargreaves', '54&amp;rsquor;|0:1|Teddy Sheringham|for Emile Heskey', '80&amp;rsquor;|0:1|Wayne Bridge|for Michael Owen']"/>
  </r>
  <r>
    <s v="Denmark"/>
    <s v="Senegal"/>
    <n v="1"/>
    <m/>
    <m/>
    <n v="1"/>
    <m/>
    <m/>
    <s v="Morten Olsen"/>
    <s v=""/>
    <s v="Bruno Metsu"/>
    <s v=""/>
    <n v="43500"/>
    <s v="Daegu Main Stadium, Daegu"/>
    <s v=""/>
    <x v="5"/>
    <x v="141"/>
    <s v="1–1"/>
    <s v=""/>
    <s v=""/>
    <x v="5"/>
    <x v="5"/>
    <s v=""/>
    <s v="Salif Diao · 52"/>
    <s v=""/>
    <s v="['52&amp;rsquor;|1:1|Salif Diao']"/>
    <s v=""/>
    <s v=""/>
    <s v="Jon Dahl Tomasson (P) · 16"/>
    <s v=""/>
    <s v=""/>
    <s v=""/>
    <s v=""/>
    <s v=""/>
    <s v=""/>
    <s v=""/>
    <s v=""/>
    <s v=""/>
    <s v=""/>
    <s v="Salif Diao · 80"/>
    <s v="['7&amp;rsquor;|0:0|Ebbe Sand', '20&amp;rsquor;|1:0|Jon Dahl Tomasson', '82&amp;rsquor;|1:1|Thomas Helveg', '84&amp;rsquor;|1:1|Christian Poulsen']"/>
    <s v="['10&amp;rsquor;|0:0|Khalilou Fadiga', '62&amp;rsquor;|1:1|Salif Diao']"/>
    <s v="['50&amp;rsquor;|1:0|Martin Jørgensen|for Jesper Grønkjær', '62&amp;rsquor;|1:1|Christian Poulsen|for Thomas Gravesen', '89&amp;rsquor;|1:1|Peter Løvenkrands|for Dennis Rommedahl']"/>
    <s v="['46&amp;rsquor;|1:0|Henri Camara|for Pape Sarr', &quot;46&amp;rsquor;|1:0|Souleymane Camara|for Moussa N'Diaye&quot;, '83&amp;rsquor;|1:1|Habib Beye|for Souleymane Camara']"/>
  </r>
  <r>
    <s v="Cameroon"/>
    <s v="Saudi Arabia"/>
    <n v="1"/>
    <m/>
    <m/>
    <n v="0"/>
    <m/>
    <m/>
    <s v="Winfried Schäfer"/>
    <s v=""/>
    <s v="Nasser Al-Johar"/>
    <s v=""/>
    <n v="52328"/>
    <s v="Saitama Stadium 2002, Saitama"/>
    <s v=""/>
    <x v="5"/>
    <x v="141"/>
    <s v="1–0"/>
    <s v=""/>
    <s v=""/>
    <x v="5"/>
    <x v="5"/>
    <s v="Samuel Eto'o · 66"/>
    <s v=""/>
    <s v="[&quot;66&amp;rsquor;|1:0|Samuel Eto'o&quot;]"/>
    <s v=""/>
    <s v=""/>
    <s v=""/>
    <s v=""/>
    <s v=""/>
    <s v=""/>
    <s v=""/>
    <s v=""/>
    <s v=""/>
    <s v=""/>
    <s v=""/>
    <s v=""/>
    <s v=""/>
    <s v=""/>
    <s v=""/>
    <s v="['10&amp;rsquor;|0:0|Pierre Womé']"/>
    <s v="['59&amp;rsquor;|0:0|Al Hasan Al-Yami']"/>
    <s v="[&quot;46&amp;rsquor;|0:0|Salomon Olembé|for Daniel N'Gom Kome&quot;, &quot;74&amp;rsquor;|1:0|Pius Ndiefi|for Patrick M'Boma&quot;, '84&amp;rsquor;|1:0|Pierre Njanka|for Pierre Womé']"/>
    <s v="['35&amp;rsquor;|0:0|Al Hasan Al-Yami|for Obeid Al-Dosari', '72&amp;rsquor;|1:0|Abdullah Jumaan Al-Dosari|for Abdullah Zubromawi', '86&amp;rsquor;|1:0|Mohammed Noor|for Abdulaziz Khathran']"/>
  </r>
  <r>
    <s v="France"/>
    <s v="Uruguay"/>
    <n v="0"/>
    <m/>
    <m/>
    <n v="0"/>
    <m/>
    <m/>
    <s v="Roger Lemerre"/>
    <s v=""/>
    <s v="Víctor Púa"/>
    <s v=""/>
    <n v="38070"/>
    <s v="Busan Sport Complex Asiad Stadium, Busan"/>
    <s v=""/>
    <x v="5"/>
    <x v="141"/>
    <s v="0–0"/>
    <s v=""/>
    <s v=""/>
    <x v="5"/>
    <x v="5"/>
    <s v=""/>
    <s v=""/>
    <s v=""/>
    <s v=""/>
    <s v=""/>
    <s v=""/>
    <s v=""/>
    <s v=""/>
    <s v=""/>
    <s v=""/>
    <s v=""/>
    <s v=""/>
    <s v=""/>
    <s v=""/>
    <s v="Thierry Henry · 25"/>
    <s v=""/>
    <s v=""/>
    <s v=""/>
    <s v="['45+2&amp;rsquor;|0:0|Emmanuel Petit']"/>
    <s v="['11&amp;rsquor;|0:0|Pablo García', '45+2&amp;rsquor;|0:0|Sebastián Abreu', '45+3&amp;rsquor;|0:0|Marcelo Romero', '47&amp;rsquor;|0:0|Darío Silva']"/>
    <s v="['16&amp;rsquor;|0:0|Vincent Candela|for Frank Leboeuf', '81&amp;rsquor;|0:0|Djibril Cissé|for David Trezeguet', '90&amp;rsquor;|0:0|Christophe Dugarry|for Sylvain Wiltord']"/>
    <s v="['60&amp;rsquor;|0:0|Federico Magallanes|for Darío Silva', '71&amp;rsquor;|0:0|Gonzalo de los Santos|for Marcelo Romero', '72&amp;rsquor;|0:0|Gianni Guigou|for Darío Rodríguez']"/>
  </r>
  <r>
    <s v="Russia"/>
    <s v="Tunisia"/>
    <n v="2"/>
    <m/>
    <m/>
    <n v="0"/>
    <m/>
    <m/>
    <s v="Oleg Romantsev"/>
    <s v=""/>
    <s v="Ammar Souayah"/>
    <s v=""/>
    <n v="30957"/>
    <s v="NOEVIR Stadium Kobe, Kobe"/>
    <s v=""/>
    <x v="5"/>
    <x v="142"/>
    <s v="2–0"/>
    <s v=""/>
    <s v=""/>
    <x v="5"/>
    <x v="5"/>
    <s v="Yegor Titov · 59"/>
    <s v=""/>
    <s v="['59&amp;rsquor;|1:0|Yegor Titov']"/>
    <s v=""/>
    <s v=""/>
    <s v=""/>
    <s v="Valeri Karpin (P) · 64"/>
    <s v=""/>
    <s v=""/>
    <s v=""/>
    <s v=""/>
    <s v=""/>
    <s v=""/>
    <s v=""/>
    <s v=""/>
    <s v=""/>
    <s v=""/>
    <s v=""/>
    <s v="['27&amp;rsquor;|0:0|Igor Semshov', '88&amp;rsquor;|2:0|Dmitri Alenichev']"/>
    <s v="['50&amp;rsquor;|0:0|Hassen Gabsi', '75&amp;rsquor;|2:0|Ziad Jaziri']"/>
    <s v="['46&amp;rsquor;|0:0|Dmitri Khokhlov|for Igor Semshov', '55&amp;rsquor;|0:0|Dmitri Sychev|for Vladimir Beschastnykh', '78&amp;rsquor;|2:0|Dmitri Alenichev|for Marat Izmailov']"/>
    <s v="['67&amp;rsquor;|2:0|Imed Mhedhebi|for Adel Sellimi', '67&amp;rsquor;|2:0|Zoubeir Baya|for Hassen Gabsi', '84&amp;rsquor;|2:0|Ali Zitouni|for Khaled Badra']"/>
  </r>
  <r>
    <s v="United States"/>
    <s v="Portugal"/>
    <n v="3"/>
    <m/>
    <m/>
    <n v="2"/>
    <m/>
    <m/>
    <s v="Bruce Arena"/>
    <s v=""/>
    <s v="António Luís Alves Ribeiro Oliveira"/>
    <s v=""/>
    <n v="37306"/>
    <s v="Suwon World Cup Stadium, Suwon"/>
    <s v=""/>
    <x v="5"/>
    <x v="142"/>
    <s v="3–2"/>
    <s v=""/>
    <s v=""/>
    <x v="5"/>
    <x v="5"/>
    <s v="John O'Brien · 4|Brian McBride · 36"/>
    <s v="Beto · 39"/>
    <s v="[&quot;4&amp;rsquor;|1:0|John O'Brien&quot;, '36&amp;rsquor;|3:0|Brian McBride']"/>
    <s v="['39&amp;rsquor;|3:1|Beto']"/>
    <s v="Jorge Costa (OG) · 29"/>
    <s v="Jeff Agoos (OG) · 71"/>
    <s v=""/>
    <s v=""/>
    <s v=""/>
    <s v=""/>
    <s v=""/>
    <s v=""/>
    <s v=""/>
    <s v=""/>
    <s v=""/>
    <s v=""/>
    <s v=""/>
    <s v=""/>
    <s v="['90+2&amp;rsquor;|3:2|DaMarcus Beasley']"/>
    <s v="['34&amp;rsquor;|2:0|Beto', '52&amp;rsquor;|3:1|Petit']"/>
    <s v="['46&amp;rsquor;|3:1|Cobi Jones|for Earnie Stewart', '75&amp;rsquor;|3:2|Joe-Max Moore|for Landon Donovan', '80&amp;rsquor;|3:2|Carlos Llamosa|for Eddie Pope']"/>
    <s v="['69&amp;rsquor;|3:1|Paulo Bento|for Rui Jorge', '73&amp;rsquor;|3:2|Jorge Andrade|for Jorge Costa', '80&amp;rsquor;|3:2|Nuno Gomes|for Rui Costa']"/>
  </r>
  <r>
    <s v="Germany"/>
    <s v="Republic of Ireland"/>
    <n v="1"/>
    <m/>
    <m/>
    <n v="1"/>
    <m/>
    <m/>
    <s v="Rudi Völler"/>
    <s v=""/>
    <s v="Mick McCarthy"/>
    <s v=""/>
    <n v="35854"/>
    <s v="Kashima Soccer Stadium, Kashima"/>
    <s v=""/>
    <x v="5"/>
    <x v="142"/>
    <s v="1–1"/>
    <s v=""/>
    <s v=""/>
    <x v="5"/>
    <x v="5"/>
    <s v="Miroslav Klose · 19"/>
    <s v="Robbie Keane · 90+2"/>
    <s v="['19&amp;rsquor;|1:0|Miroslav Klose']"/>
    <s v="['90+2&amp;rsquor;|1:1|Robbie Keane']"/>
    <s v=""/>
    <s v=""/>
    <s v=""/>
    <s v=""/>
    <s v=""/>
    <s v=""/>
    <s v=""/>
    <s v=""/>
    <s v=""/>
    <s v=""/>
    <s v=""/>
    <s v=""/>
    <s v=""/>
    <s v=""/>
    <s v=""/>
    <s v=""/>
    <s v="['75&amp;rsquor;|1:0|Oliver Bierhoff|for Carsten Jancker', '85&amp;rsquor;|1:0|Marco Bode|for Miroslav Klose', '89&amp;rsquor;|1:0|Jens Jeremies|for Bernd Schneider']"/>
    <s v="['73&amp;rsquor;|1:0|Steven Reid|for Gary Kelly', '73&amp;rsquor;|1:0|Niall Quinn|for Ian Harte', '87&amp;rsquor;|1:0|Kenny Cunningham|for Steve Staunton']"/>
  </r>
  <r>
    <s v="China PR"/>
    <s v="Costa Rica"/>
    <n v="0"/>
    <m/>
    <m/>
    <n v="2"/>
    <m/>
    <m/>
    <s v="Bora Milutinović"/>
    <s v=""/>
    <s v="Alexandre Guimarães"/>
    <s v=""/>
    <n v="27217"/>
    <s v="Guus Hiddink Stadium, Gwangju"/>
    <s v=""/>
    <x v="5"/>
    <x v="143"/>
    <s v="0–2"/>
    <s v=""/>
    <s v=""/>
    <x v="5"/>
    <x v="5"/>
    <s v=""/>
    <s v="Rónald Gómez · 61|Mauricio Wright · 65"/>
    <s v=""/>
    <s v="['61&amp;rsquor;|0:1|Rónald Gómez', '65&amp;rsquor;|0:2|Mauricio Wright']"/>
    <s v=""/>
    <s v=""/>
    <s v=""/>
    <s v=""/>
    <s v=""/>
    <s v=""/>
    <s v=""/>
    <s v=""/>
    <s v=""/>
    <s v=""/>
    <s v=""/>
    <s v=""/>
    <s v=""/>
    <s v=""/>
    <s v="['60&amp;rsquor;|0:0|Li Tie', '72&amp;rsquor;|0:2|Xu Yunlong', '77&amp;rsquor;|0:2|Li Xiaopeng']"/>
    <s v="['15&amp;rsquor;|0:0|Luis Marín', '17&amp;rsquor;|0:0|Hernán Medford', '79&amp;rsquor;|0:2|Rónald Gómez', '85&amp;rsquor;|0:2|Walter Centeno']"/>
    <s v="['26&amp;rsquor;|0:0|Qu Bo|for Sun Jihai', '66&amp;rsquor;|0:2|Su Maozhen|for Yang Chen', '74&amp;rsquor;|0:2|Yu Genwei|for Fan Zhiyi']"/>
    <s v="['57&amp;rsquor;|0:0|Hernán Medford|for Rolando Fonseca', '70&amp;rsquor;|0:2|Steven Bryce|for Harold Wallace', '80&amp;rsquor;|0:2|Wilmer López|for Paulo Wanchope']"/>
  </r>
  <r>
    <s v="Japan"/>
    <s v="Belgium"/>
    <n v="2"/>
    <m/>
    <m/>
    <n v="2"/>
    <m/>
    <m/>
    <s v="Philippe Troussier"/>
    <s v=""/>
    <s v="Robert Waseige"/>
    <s v=""/>
    <n v="55256"/>
    <s v="Saitama Stadium 2002, Saitama"/>
    <s v=""/>
    <x v="5"/>
    <x v="143"/>
    <s v="2–2"/>
    <s v=""/>
    <s v=""/>
    <x v="5"/>
    <x v="5"/>
    <s v="Takayuki Suzuki · 59|Junichi Inamoto · 67"/>
    <s v="Marc Wilmots · 57|Peter Van der Heyden · 75"/>
    <s v="['59&amp;rsquor;|1:1|Takayuki Suzuki', '67&amp;rsquor;|2:1|Junichi Inamoto']"/>
    <s v="['57&amp;rsquor;|0:1|Marc Wilmots', '75&amp;rsquor;|2:2|Peter Van der Heyden']"/>
    <s v=""/>
    <s v=""/>
    <s v=""/>
    <s v=""/>
    <s v=""/>
    <s v=""/>
    <s v=""/>
    <s v=""/>
    <s v=""/>
    <s v=""/>
    <s v=""/>
    <s v=""/>
    <s v=""/>
    <s v=""/>
    <s v="['31&amp;rsquor;|0:0|Kazuyuki Toda', '54&amp;rsquor;|0:0|Junichi Inamoto']"/>
    <s v="['21&amp;rsquor;|0:0|Peter Van der Heyden', '62&amp;rsquor;|1:1|Gert Verheyen', '82&amp;rsquor;|2:2|Eric Van Meir']"/>
    <s v="['64&amp;rsquor;|1:1|Alessandro Santos|for Shinji Ono', '68&amp;rsquor;|2:1|Hiroaki Morishima|for Takayuki Suzuki', '71&amp;rsquor;|2:1|Tsuneyasu Miyamoto|for Ryuzo Morioka']"/>
    <s v="['68&amp;rsquor;|2:1|Wesley Sonck|for Johan Walem', '83&amp;rsquor;|2:2|Branko Strupar|for Gert Verheyen']"/>
  </r>
  <r>
    <s v="Korea Republic"/>
    <s v="Poland"/>
    <n v="2"/>
    <m/>
    <m/>
    <n v="0"/>
    <m/>
    <m/>
    <s v="Guus Hiddink"/>
    <s v=""/>
    <s v="Jerzy Engel"/>
    <s v=""/>
    <n v="48760"/>
    <s v="Busan Sport Complex Asiad Stadium, Busan"/>
    <s v=""/>
    <x v="5"/>
    <x v="143"/>
    <s v="2–0"/>
    <s v=""/>
    <s v=""/>
    <x v="5"/>
    <x v="5"/>
    <s v="Hwang Sun-hong · 26|Yoo Sang-chul · 53"/>
    <s v=""/>
    <s v="['26&amp;rsquor;|1:0|Hwang Sun-hong', '53&amp;rsquor;|2:0|Yoo Sang-chul']"/>
    <s v=""/>
    <s v=""/>
    <s v=""/>
    <s v=""/>
    <s v=""/>
    <s v=""/>
    <s v=""/>
    <s v=""/>
    <s v=""/>
    <s v=""/>
    <s v=""/>
    <s v=""/>
    <s v=""/>
    <s v=""/>
    <s v=""/>
    <s v="['70&amp;rsquor;|2:0|Park Ji-sung', '90&amp;rsquor;|2:0|Cha Du-ri']"/>
    <s v="['31&amp;rsquor;|1:0|Jacek Krzynówek', '79&amp;rsquor;|2:0|Tomasz Hajto', '84&amp;rsquor;|2:0|Piotr Świerczewski']"/>
    <s v="['50&amp;rsquor;|1:0|Ahn Jung-hwan|for Hwang Sun-hong', '61&amp;rsquor;|2:0|Lee Chun-soo|for Yoo Sang-chul', '89&amp;rsquor;|2:0|Cha Du-ri|for Seol Ki-hyeon']"/>
    <s v="['46&amp;rsquor;|1:0|Paweł Kryszałowicz|for Maciej Żurawski', '50&amp;rsquor;|1:0|Tomasz Kłos|for Jacek Bąk', '64&amp;rsquor;|2:0|Marcin Żewłakow|for Radosław Kałużny']"/>
  </r>
  <r>
    <s v="Croatia"/>
    <s v="Mexico"/>
    <n v="0"/>
    <m/>
    <m/>
    <n v="1"/>
    <m/>
    <m/>
    <s v="Mirko Jozić"/>
    <s v=""/>
    <s v="Javier Aguirre"/>
    <s v=""/>
    <n v="32239"/>
    <s v="Denka Big Swan Stadium, Niigata"/>
    <s v=""/>
    <x v="5"/>
    <x v="144"/>
    <s v="0–1"/>
    <s v=""/>
    <s v=""/>
    <x v="5"/>
    <x v="5"/>
    <s v=""/>
    <s v=""/>
    <s v=""/>
    <s v=""/>
    <s v=""/>
    <s v=""/>
    <s v=""/>
    <s v="Cuauhtémoc Blanco (P) · 60"/>
    <s v=""/>
    <s v=""/>
    <s v=""/>
    <s v=""/>
    <s v=""/>
    <s v=""/>
    <s v="Boris Živković · 59"/>
    <s v=""/>
    <s v=""/>
    <s v=""/>
    <s v=""/>
    <s v=""/>
    <s v="['46&amp;rsquor;|0:0|Milan Rapaić|for Robert Prosinečki', '64&amp;rsquor;|0:1|Daniel Šarić|for Davor Šuker', '67&amp;rsquor;|0:1|Mario Stanić|for Alen Bokšić']"/>
    <s v="['68&amp;rsquor;|0:1|Luis Hernández|for Jared Borgetti', '79&amp;rsquor;|0:1|Francisco Palencia|for Cuauhtémoc Blanco']"/>
  </r>
  <r>
    <s v="Brazil"/>
    <s v="Türkiye"/>
    <n v="2"/>
    <m/>
    <m/>
    <n v="1"/>
    <m/>
    <m/>
    <s v="Luiz Felipe Scolari"/>
    <s v=""/>
    <s v="Şenol Güneş"/>
    <s v=""/>
    <n v="33842"/>
    <s v="Munsu Cup Stadium, Ulsan"/>
    <s v=""/>
    <x v="5"/>
    <x v="144"/>
    <s v="2–1"/>
    <s v=""/>
    <s v=""/>
    <x v="5"/>
    <x v="5"/>
    <s v="Ronaldo · 50"/>
    <s v="Hasan Şaş · 45+2"/>
    <s v="['50&amp;rsquor;|1:1|Ronaldo']"/>
    <s v="['45+2&amp;rsquor;|0:1|Hasan Şaş']"/>
    <s v=""/>
    <s v=""/>
    <s v="Rivaldo (P) · 87"/>
    <s v=""/>
    <s v=""/>
    <s v=""/>
    <s v=""/>
    <s v=""/>
    <s v=""/>
    <s v=""/>
    <s v=""/>
    <s v=""/>
    <s v=""/>
    <s v="Alpay Özalan · 86|Hakan Ünsal · 90+4"/>
    <s v="['73&amp;rsquor;|1:1|Denílson']"/>
    <s v="['21&amp;rsquor;|0:0|Fatih Akyel', '24&amp;rsquor;|0:0|Hakan Ünsal', '44&amp;rsquor;|0:0|Alpay Özalan']"/>
    <s v="['67&amp;rsquor;|1:1|Denílson|for Ronaldinho', '72&amp;rsquor;|1:1|Vampeta|for Juninho Paulista', '73&amp;rsquor;|1:1|Luizão|for Ronaldo']"/>
    <s v="['66&amp;rsquor;|1:1|İlhan Mansız|for Bülent Korkmaz', '66&amp;rsquor;|1:1|Ümit Davala|for Yıldıray Baştürk', '88&amp;rsquor;|2:1|Arif Erdem|for Tugay Kerimoğlu']"/>
  </r>
  <r>
    <s v="Italy"/>
    <s v="Ecuador"/>
    <n v="2"/>
    <m/>
    <m/>
    <n v="0"/>
    <m/>
    <m/>
    <s v="Giovanni Trapattoni"/>
    <s v=""/>
    <s v="Hernán Darío Gómez"/>
    <s v=""/>
    <n v="31081"/>
    <s v="Sapporo Dome, Sapporo"/>
    <s v=""/>
    <x v="5"/>
    <x v="144"/>
    <s v="2–0"/>
    <s v=""/>
    <s v=""/>
    <x v="5"/>
    <x v="5"/>
    <s v="Christian Vieri · 7|Christian Vieri · 27"/>
    <s v=""/>
    <s v="['7&amp;rsquor;|1:0|Christian Vieri', '27&amp;rsquor;|2:0|Christian Vieri']"/>
    <s v=""/>
    <s v=""/>
    <s v=""/>
    <s v=""/>
    <s v=""/>
    <s v=""/>
    <s v=""/>
    <s v=""/>
    <s v=""/>
    <s v=""/>
    <s v=""/>
    <s v=""/>
    <s v=""/>
    <s v=""/>
    <s v=""/>
    <s v="['81&amp;rsquor;|2:0|Fabio Cannavaro']"/>
    <s v="['14&amp;rsquor;|1:0|Augusto Porozo', '49&amp;rsquor;|2:0|Ulises de la Cruz', '54&amp;rsquor;|2:0|Cléber Chalá']"/>
    <s v="['64&amp;rsquor;|2:0|Angelo Di Livio|for Cristiano Doni', '69&amp;rsquor;|2:0|Gennaro Gattuso|for Luigi Di Biagio', '74&amp;rsquor;|2:0|Alessandro Del Piero|for Francesco Totti']"/>
    <s v="['46&amp;rsquor;|2:0|Carlos Tenorio|for Álex Aguinaga', '59&amp;rsquor;|2:0|Marlon Ayoví|for Edwin Tenorio', '85&amp;rsquor;|2:0|Nicolás Asencio|for Cléber Chalá']"/>
  </r>
  <r>
    <s v="Argentina"/>
    <s v="Nigeria"/>
    <n v="1"/>
    <m/>
    <m/>
    <n v="0"/>
    <m/>
    <m/>
    <s v="Marcelo Bielsa"/>
    <s v=""/>
    <s v="Festus Onigbinde"/>
    <s v=""/>
    <n v="34050"/>
    <s v="Kashima Soccer Stadium, Kashima"/>
    <s v=""/>
    <x v="5"/>
    <x v="145"/>
    <s v="1–0"/>
    <s v=""/>
    <s v=""/>
    <x v="5"/>
    <x v="5"/>
    <s v="Gabriel Batistuta · 63"/>
    <s v=""/>
    <s v="['63&amp;rsquor;|1:0|Gabriel Batistuta']"/>
    <s v=""/>
    <s v=""/>
    <s v=""/>
    <s v=""/>
    <s v=""/>
    <s v=""/>
    <s v=""/>
    <s v=""/>
    <s v=""/>
    <s v=""/>
    <s v=""/>
    <s v=""/>
    <s v=""/>
    <s v=""/>
    <s v=""/>
    <s v="['51&amp;rsquor;|0:0|Walter Samuel', '90&amp;rsquor;|1:0|Diego Simeone']"/>
    <s v="['73&amp;rsquor;|1:0|Efe Sodje']"/>
    <s v="['46&amp;rsquor;|0:0|Kily González|for Claudio López', '78&amp;rsquor;|1:0|Pablo Aimar|for Juan Sebastián Verón', '81&amp;rsquor;|1:0|Hernán Crespo|for Gabriel Batistuta']"/>
    <s v="['48&amp;rsquor;|0:0|Pius Ikedia|for Nwankwo Kanu', '73&amp;rsquor;|1:0|Justice Christopher|for Efe Sodje']"/>
  </r>
  <r>
    <s v="Paraguay"/>
    <s v="South Africa"/>
    <n v="2"/>
    <m/>
    <m/>
    <n v="2"/>
    <m/>
    <m/>
    <s v="Cesare Maldini"/>
    <s v=""/>
    <s v="Jomo Sono"/>
    <s v=""/>
    <n v="25186"/>
    <s v="Busan Sport Complex Asiad Stadium, Busan"/>
    <s v=""/>
    <x v="5"/>
    <x v="145"/>
    <s v="2–2"/>
    <s v=""/>
    <s v=""/>
    <x v="5"/>
    <x v="5"/>
    <s v="Roque Santa Cruz · 39|Francisco Arce · 55"/>
    <s v="Teboho Mokoena · 63"/>
    <s v="['39&amp;rsquor;|1:0|Roque Santa Cruz', '55&amp;rsquor;|2:0|Francisco Arce']"/>
    <s v="['63&amp;rsquor;|2:1|Teboho Mokoena']"/>
    <s v=""/>
    <s v=""/>
    <s v=""/>
    <s v="Quinton Fortune (P) · 90+1"/>
    <s v=""/>
    <s v=""/>
    <s v=""/>
    <s v=""/>
    <s v=""/>
    <s v=""/>
    <s v=""/>
    <s v=""/>
    <s v=""/>
    <s v=""/>
    <s v="['35&amp;rsquor;|0:0|Julio César Cáceres', '65&amp;rsquor;|2:1|Denis Caniza', '90&amp;rsquor;|2:1|Ricardo Tavarelli', '90+3&amp;rsquor;|2:2|Juan Carlos Franco']"/>
    <s v="['3&amp;rsquor;|0:0|Aaron Mokoena', '9&amp;rsquor;|0:0|Pierre Issa', '38&amp;rsquor;|0:0|Benni McCarthy', '45+2&amp;rsquor;|1:0|Sibusiso Zuma']"/>
    <s v="['66&amp;rsquor;|2:1|Diego Gavilán|for Guido Alvarenga', '72&amp;rsquor;|2:1|Gustavo Morínigo|for Jorge Luis Campos', '86&amp;rsquor;|2:1|Juan Carlos Franco|for Estanislao Struway']"/>
    <s v="['27&amp;rsquor;|0:0|MacDonald Mukansi|for Pierre Issa', '78&amp;rsquor;|2:1|George Koumantarakis|for Benni McCarthy']"/>
  </r>
  <r>
    <s v="England"/>
    <s v="Sweden"/>
    <n v="1"/>
    <m/>
    <m/>
    <n v="1"/>
    <m/>
    <m/>
    <s v="Sven-Göran Eriksson"/>
    <s v=""/>
    <s v="Tommy Söderberg"/>
    <s v=""/>
    <n v="52721"/>
    <s v="Saitama Stadium 2002, Saitama"/>
    <s v=""/>
    <x v="5"/>
    <x v="145"/>
    <s v="1–1"/>
    <s v=""/>
    <s v=""/>
    <x v="5"/>
    <x v="5"/>
    <s v="Sol Campbell · 24"/>
    <s v="Niclas Alexandersson · 59"/>
    <s v="['24&amp;rsquor;|1:0|Sol Campbell']"/>
    <s v="['59&amp;rsquor;|1:1|Niclas Alexandersson']"/>
    <s v=""/>
    <s v=""/>
    <s v=""/>
    <s v=""/>
    <s v=""/>
    <s v=""/>
    <s v=""/>
    <s v=""/>
    <s v=""/>
    <s v=""/>
    <s v=""/>
    <s v=""/>
    <s v=""/>
    <s v=""/>
    <s v="['12&amp;rsquor;|0:0|Sol Campbell']"/>
    <s v="['45+2&amp;rsquor;|1:0|Marcus Allbäck', '73&amp;rsquor;|1:1|Andreas Jakobsson']"/>
    <s v="['63&amp;rsquor;|1:1|Kieron Dyer|for David Beckham', '74&amp;rsquor;|1:1|Joe Cole|for Darius Vassell']"/>
    <s v="['56&amp;rsquor;|1:0|Anders Svensson|for Magnus Svensson', '80&amp;rsquor;|1:1|Andreas Andersson|for Marcus Allbäck']"/>
  </r>
  <r>
    <s v="Spain"/>
    <s v="Slovenia"/>
    <n v="3"/>
    <m/>
    <m/>
    <n v="1"/>
    <m/>
    <m/>
    <s v="José Antonio Camacho"/>
    <s v=""/>
    <s v="Srečko Katanec"/>
    <s v=""/>
    <n v="28588"/>
    <s v="Guus Hiddink Stadium, Gwangju"/>
    <s v=""/>
    <x v="5"/>
    <x v="145"/>
    <s v="3–1"/>
    <s v=""/>
    <s v=""/>
    <x v="5"/>
    <x v="5"/>
    <s v="Raúl · 44|Juan Carlos Valerón · 74"/>
    <s v="Sebastjan Cimirotič · 82"/>
    <s v="['44&amp;rsquor;|1:0|Raúl', '74&amp;rsquor;|2:0|Juan Carlos Valerón']"/>
    <s v="['82&amp;rsquor;|2:1|Sebastjan Cimirotič']"/>
    <s v=""/>
    <s v=""/>
    <s v="Fernando Hierro (P) · 87"/>
    <s v=""/>
    <s v=""/>
    <s v=""/>
    <s v=""/>
    <s v=""/>
    <s v=""/>
    <s v=""/>
    <s v=""/>
    <s v=""/>
    <s v=""/>
    <s v=""/>
    <s v="['36&amp;rsquor;|0:0|Juan Carlos Valerón']"/>
    <s v="['45+1&amp;rsquor;|1:0|Amir Karić', '65&amp;rsquor;|1:0|Sebastjan Cimirotič']"/>
    <s v="['67&amp;rsquor;|1:0|Fernando Morientes|for Diego Tristán', '74&amp;rsquor;|1:0|Iván Helguera|for Luis Enrique', '82&amp;rsquor;|2:0|Enrique Romero|for Juanfran']"/>
    <s v="['57&amp;rsquor;|1:0|Sebastjan Cimirotič|for Milan Osterc', '63&amp;rsquor;|1:0|Milenko Ačimovič|for Zlatko Zahovič', '77&amp;rsquor;|2:0|Saša Gajser|for Džoni Novak']"/>
  </r>
  <r>
    <s v="Republic of Ireland"/>
    <s v="Cameroon"/>
    <n v="1"/>
    <m/>
    <m/>
    <n v="1"/>
    <m/>
    <m/>
    <s v="Mick McCarthy"/>
    <s v=""/>
    <s v="Winfried Schäfer"/>
    <s v=""/>
    <n v="33679"/>
    <s v="Denka Big Swan Stadium, Niigata"/>
    <s v=""/>
    <x v="5"/>
    <x v="146"/>
    <s v="1–1"/>
    <s v=""/>
    <s v=""/>
    <x v="5"/>
    <x v="5"/>
    <s v="Matt Holland · 52"/>
    <s v="Patrick M'Boma · 39"/>
    <s v="['52&amp;rsquor;|1:1|Matt Holland']"/>
    <s v="[&quot;39&amp;rsquor;|0:1|Patrick M'Boma&quot;]"/>
    <s v=""/>
    <s v=""/>
    <s v=""/>
    <s v=""/>
    <s v=""/>
    <s v=""/>
    <s v=""/>
    <s v=""/>
    <s v=""/>
    <s v=""/>
    <s v=""/>
    <s v=""/>
    <s v=""/>
    <s v=""/>
    <s v="['30&amp;rsquor;|0:0|Jason McAteer', '51&amp;rsquor;|0:1|Steve Finnan', '82&amp;rsquor;|1:1|Steven Reid']"/>
    <s v="['89&amp;rsquor;|1:1|Raymond Kalla']"/>
    <s v="['46&amp;rsquor;|0:1|Steve Finnan|for Jason McAteer', '77&amp;rsquor;|1:1|Steven Reid|for Ian Harte']"/>
    <s v="[&quot;69&amp;rsquor;|1:1|Patrick Suffo|for Patrick M'Boma&quot;]"/>
  </r>
  <r>
    <s v="Uruguay"/>
    <s v="Denmark"/>
    <n v="1"/>
    <m/>
    <m/>
    <n v="2"/>
    <m/>
    <m/>
    <s v="Víctor Púa"/>
    <s v=""/>
    <s v="Morten Olsen"/>
    <s v=""/>
    <n v="30157"/>
    <s v="Munsu Cup Stadium, Ulsan"/>
    <s v=""/>
    <x v="5"/>
    <x v="146"/>
    <s v="1–2"/>
    <s v=""/>
    <s v=""/>
    <x v="5"/>
    <x v="5"/>
    <s v="Darío Rodríguez · 47"/>
    <s v="Jon Dahl Tomasson · 45|Jon Dahl Tomasson · 83"/>
    <s v="['47&amp;rsquor;|1:1|Darío Rodríguez']"/>
    <s v="['45&amp;rsquor;|0:1|Jon Dahl Tomasson', '83&amp;rsquor;|1:2|Jon Dahl Tomasson']"/>
    <s v=""/>
    <s v=""/>
    <s v=""/>
    <s v=""/>
    <s v=""/>
    <s v=""/>
    <s v=""/>
    <s v=""/>
    <s v=""/>
    <s v=""/>
    <s v=""/>
    <s v=""/>
    <s v=""/>
    <s v=""/>
    <s v="['25&amp;rsquor;|0:0|Gustavo Méndez']"/>
    <s v="['34&amp;rsquor;|0:0|Jan Heintze', '51&amp;rsquor;|1:1|Martin Laursen']"/>
    <s v="['80&amp;rsquor;|1:1|Mario Regueiro|for Álvaro Recoba', '87&amp;rsquor;|1:2|Federico Magallanes|for Darío Rodríguez', '88&amp;rsquor;|1:2|Richard Morales|for Sebastián Abreu']"/>
    <s v="['58&amp;rsquor;|1:1|Niclas Jensen|for Jan Heintze', '70&amp;rsquor;|1:1|Martin Jørgensen|for Jesper Grønkjær', '89&amp;rsquor;|1:2|Christian Poulsen|for Ebbe Sand']"/>
  </r>
  <r>
    <s v="Germany"/>
    <s v="Saudi Arabia"/>
    <n v="8"/>
    <m/>
    <m/>
    <n v="0"/>
    <m/>
    <m/>
    <s v="Rudi Völler"/>
    <s v=""/>
    <s v="Nasser Al-Johar"/>
    <s v=""/>
    <n v="32218"/>
    <s v="Sapporo Dome, Sapporo"/>
    <s v=""/>
    <x v="5"/>
    <x v="146"/>
    <s v="8–0"/>
    <s v=""/>
    <s v=""/>
    <x v="5"/>
    <x v="5"/>
    <s v="Miroslav Klose · 20|Miroslav Klose · 25|Michael Ballack · 40|Carsten Jancker · 45+1|Miroslav Klose · 70|Thomas Linke · 72|Oliver Bierhoff · 84|Bernd Schneider · 90+2"/>
    <s v=""/>
    <s v="['20&amp;rsquor;|1:0|Miroslav Klose', '25&amp;rsquor;|2:0|Miroslav Klose', '40&amp;rsquor;|3:0|Michael Ballack', '45+1&amp;rsquor;|4:0|Carsten Jancker', '70&amp;rsquor;|5:0|Miroslav Klose', '72&amp;rsquor;|6:0|Thomas Linke', '84&amp;rsquor;|7:0|Oliver Bierhoff', '90+2&amp;rsquor;|8:0|Bernd Schneider']"/>
    <s v=""/>
    <s v=""/>
    <s v=""/>
    <s v=""/>
    <s v=""/>
    <s v=""/>
    <s v=""/>
    <s v=""/>
    <s v=""/>
    <s v=""/>
    <s v=""/>
    <s v=""/>
    <s v=""/>
    <s v=""/>
    <s v=""/>
    <s v="['43&amp;rsquor;|3:0|Christian Ziege', '83&amp;rsquor;|6:0|Dietmar Hamann']"/>
    <s v="['90+1&amp;rsquor;|7:0|Mohammed Noor']"/>
    <s v="['46&amp;rsquor;|4:0|Jens Jeremies|for Carsten Ramelow', '67&amp;rsquor;|4:0|Oliver Bierhoff|for Carsten Jancker', '76&amp;rsquor;|6:0|Oliver Neuville|for Miroslav Klose']"/>
    <s v="['46&amp;rsquor;|4:0|Abdulaziz Khathran|for Nawaf Al-Temyat', '46&amp;rsquor;|4:0|Ibrahim Al-Shahrani|for Khamis Al-Dosari', '77&amp;rsquor;|6:0|Abdullah Jumaan Al-Dosari|for Al Hasan Al-Yami']"/>
  </r>
  <r>
    <s v="France"/>
    <s v="Senegal"/>
    <n v="0"/>
    <m/>
    <m/>
    <n v="1"/>
    <m/>
    <m/>
    <s v="Roger Lemerre"/>
    <s v=""/>
    <s v="Bruno Metsu"/>
    <s v=""/>
    <n v="62561"/>
    <s v="Seoul World Cup Stadium, Seoul"/>
    <s v=""/>
    <x v="5"/>
    <x v="147"/>
    <s v="0–1"/>
    <s v=""/>
    <s v=""/>
    <x v="5"/>
    <x v="5"/>
    <s v=""/>
    <s v="Pape Malick Diop · 30"/>
    <s v=""/>
    <s v="['30&amp;rsquor;|0:1|Pape Malick Diop']"/>
    <s v=""/>
    <s v=""/>
    <s v=""/>
    <s v=""/>
    <s v=""/>
    <s v=""/>
    <s v=""/>
    <s v=""/>
    <s v=""/>
    <s v=""/>
    <s v=""/>
    <s v=""/>
    <s v=""/>
    <s v=""/>
    <s v="['45+2&amp;rsquor;|0:1|Emmanuel Petit']"/>
    <s v="['51&amp;rsquor;|0:1|Aliou Cissé']"/>
    <s v="['60&amp;rsquor;|0:1|Christophe Dugarry|for Youri Djorkaeff', '81&amp;rsquor;|0:1|Djibril Cissé|for Sylvain Wiltord']"/>
    <s v=""/>
  </r>
  <r>
    <s v="Brazil"/>
    <s v="France"/>
    <n v="0"/>
    <m/>
    <m/>
    <n v="3"/>
    <m/>
    <m/>
    <s v="Mário Zagallo"/>
    <s v=""/>
    <s v="Aimé Jacquet"/>
    <s v=""/>
    <n v="80000"/>
    <s v="Stade de France, Paris"/>
    <s v=""/>
    <x v="0"/>
    <x v="148"/>
    <s v="0–3"/>
    <s v=""/>
    <s v=""/>
    <x v="6"/>
    <x v="6"/>
    <s v=""/>
    <s v="Zinédine Zidane · 27|Zinédine Zidane · 45|Emmanuel Petit · 90"/>
    <s v=""/>
    <s v="['27&amp;rsquor;|0:1|Zinédine Zidane|Assist:|Emmanuel Petit', '45&amp;rsquor;|0:2|Zinédine Zidane|Assist:|Youri Djorkaeff', '90&amp;rsquor;|0:3|Emmanuel Petit|Assist:|Patrick Vieira']"/>
    <s v=""/>
    <s v=""/>
    <s v=""/>
    <s v=""/>
    <s v=""/>
    <s v=""/>
    <s v=""/>
    <s v=""/>
    <s v=""/>
    <s v=""/>
    <s v=""/>
    <s v=""/>
    <s v=""/>
    <s v="Marcel Desailly · 68"/>
    <s v="['33&amp;rsquor;|0:1|Júnior Baiano']"/>
    <s v="['39&amp;rsquor;|0:1|Didier Deschamps', '48&amp;rsquor;|0:2|Marcel Desailly', '56&amp;rsquor;|0:2|Christian Karembeu']"/>
    <s v="['46&amp;rsquor;|0:2|Denílson Custódio Machado|for Leonardo Araújo', '73&amp;rsquor;|0:2|Edmundo|for César Sampaio']"/>
    <s v="['57&amp;rsquor;|0:2|Alain Boghossian|for Christian Karembeu', &quot;66&amp;rsquor;|0:2|Christophe Dugarry|for Stéphane Guivarc'h&quot;, '74&amp;rsquor;|0:2|Patrick Vieira|for Youri Djorkaeff']"/>
  </r>
  <r>
    <s v="Netherlands"/>
    <s v="Croatia"/>
    <n v="1"/>
    <m/>
    <m/>
    <n v="2"/>
    <m/>
    <m/>
    <s v="Guus Hiddink"/>
    <s v=""/>
    <s v="Miroslav Blažević"/>
    <s v=""/>
    <n v="44000"/>
    <s v="Parc des Princes, Paris"/>
    <s v=""/>
    <x v="1"/>
    <x v="149"/>
    <s v="1–2"/>
    <s v=""/>
    <s v=""/>
    <x v="6"/>
    <x v="6"/>
    <s v="Boudewijn Zenden · 21"/>
    <s v="Robert Prosinečki · 13|Davor Šuker · 35"/>
    <s v="['21&amp;rsquor;|1:1|Boudewijn Zenden']"/>
    <s v="['13&amp;rsquor;|0:1|Robert Prosinečki|Assist:|Robert Jarni', '35&amp;rsquor;|1:2|Davor Šuker|Assist:|Zvonimir Boban']"/>
    <s v=""/>
    <s v=""/>
    <s v=""/>
    <s v=""/>
    <s v=""/>
    <s v=""/>
    <s v=""/>
    <s v=""/>
    <s v=""/>
    <s v=""/>
    <s v=""/>
    <s v=""/>
    <s v=""/>
    <s v=""/>
    <s v="['89&amp;rsquor;|1:2|Wim Jonk', '89&amp;rsquor;|1:2|Edgar Davids']"/>
    <s v="['34&amp;rsquor;|1:1|Krunoslav Jurčić', '52&amp;rsquor;|1:2|Igor Štimac', '69&amp;rsquor;|1:2|Aljoša Asanović', '74&amp;rsquor;|1:2|Mario Stanić']"/>
    <s v="['46&amp;rsquor;|1:2|Marc Overmars|for Phillip Cocu', '58&amp;rsquor;|1:2|Pierre van Hooijdonk|for Dennis Bergkamp']"/>
    <s v="['79&amp;rsquor;|1:2|Goran Vlaović|for Robert Prosinečki', '86&amp;rsquor;|1:2|Igor Tudor|for Zvonimir Boban']"/>
  </r>
  <r>
    <s v="France"/>
    <s v="Croatia"/>
    <n v="2"/>
    <m/>
    <m/>
    <n v="1"/>
    <m/>
    <m/>
    <s v="Aimé Jacquet"/>
    <s v=""/>
    <s v="Miroslav Blažević"/>
    <s v=""/>
    <n v="80000"/>
    <s v="Stade de France, Paris"/>
    <s v=""/>
    <x v="2"/>
    <x v="150"/>
    <s v="2–1"/>
    <s v=""/>
    <s v=""/>
    <x v="6"/>
    <x v="6"/>
    <s v="Lilian Thuram · 47|Lilian Thuram · 70"/>
    <s v="Davor Šuker · 46"/>
    <s v="['47&amp;rsquor;|1:1|Lilian Thuram|Assist:|Youri Djorkaeff', '70&amp;rsquor;|2:1|Lilian Thuram']"/>
    <s v="['46&amp;rsquor;|0:1|Davor Šuker|Assist:|Aljoša Asanović']"/>
    <s v=""/>
    <s v=""/>
    <s v=""/>
    <s v=""/>
    <s v=""/>
    <s v=""/>
    <s v=""/>
    <s v=""/>
    <s v=""/>
    <s v=""/>
    <s v="Laurent Blanc · 76"/>
    <s v=""/>
    <s v=""/>
    <s v=""/>
    <s v=""/>
    <s v="['45&amp;rsquor;|0:0|Aljoša Asanović', '75&amp;rsquor;|2:1|Mario Stanić', '88&amp;rsquor;|2:1|Dario Šimić']"/>
    <s v="['31&amp;rsquor;|0:0|Thierry Henry|for Christian Karembeu', &quot;68&amp;rsquor;|1:1|David Trezeguet|for Stéphane Guivarc'h&quot;, '77&amp;rsquor;|2:1|Frank Leboeuf|for Youri Djorkaeff']"/>
    <s v="['63&amp;rsquor;|1:1|Silvio Marić|for Zvonimir Boban', '89&amp;rsquor;|2:1|Robert Prosinečki|for Mario Stanić']"/>
  </r>
  <r>
    <s v="Brazil"/>
    <s v="Netherlands"/>
    <n v="1"/>
    <m/>
    <n v="4"/>
    <n v="1"/>
    <m/>
    <n v="2"/>
    <s v="Mário Zagallo"/>
    <s v=""/>
    <s v="Guus Hiddink"/>
    <s v=""/>
    <n v="60000"/>
    <s v="Orange Vélodrome, Marseille"/>
    <s v=""/>
    <x v="2"/>
    <x v="151"/>
    <s v="(4) 1–1 (2)"/>
    <s v=""/>
    <s v="Brazil won on penalty kicks following extra time"/>
    <x v="6"/>
    <x v="6"/>
    <s v="Ronaldo · 46"/>
    <s v="Patrick Kluivert · 87"/>
    <s v="['46&amp;rsquor;|1:0|Ronaldo|Assist:|Rivaldo']"/>
    <s v="['87&amp;rsquor;|1:1|Patrick Kluivert|Assist:|Ronald de Boer']"/>
    <s v=""/>
    <s v=""/>
    <s v=""/>
    <s v=""/>
    <s v=""/>
    <s v=""/>
    <s v="['1|1:0|Ronaldo', '3|2:1|Rivaldo', '5|3:2|Emerson', '7|4:2|Dunga']"/>
    <s v="['2|1:1|Frank de Boer', '4|2:2|Dennis Bergkamp']"/>
    <s v=""/>
    <s v="['6|3:2|Phillip Cocu', '8|4:2|Ronald de Boer']"/>
    <s v=""/>
    <s v=""/>
    <s v=""/>
    <s v=""/>
    <s v="['31&amp;rsquor;|0:0|José Carlos da Costa Araújo', '45&amp;rsquor;|0:0|César Sampaio']"/>
    <s v="['48&amp;rsquor;|1:0|Michael Reiziger', '60&amp;rsquor;|1:0|Edgar Davids', '90&amp;rsquor;|1:1|Pierre van Hooijdonk', '119&amp;rsquor;|1:1|Clarence Seedorf']"/>
    <s v="['70&amp;rsquor;|1:0|Denílson Custódio Machado|for Bebeto', '85&amp;rsquor;|1:0|Emerson|for Leonardo Araújo']"/>
    <s v="['56&amp;rsquor;|1:0|Aron Winter|for Michael Reiziger', '75&amp;rsquor;|1:0|Pierre van Hooijdonk|for Boudewijn Zenden', '111&amp;rsquor;|1:1|Clarence Seedorf|for Wim Jonk']"/>
  </r>
  <r>
    <s v="Netherlands"/>
    <s v="Argentina"/>
    <n v="2"/>
    <m/>
    <m/>
    <n v="1"/>
    <m/>
    <m/>
    <s v="Guus Hiddink"/>
    <s v=""/>
    <s v="Daniel Passarella"/>
    <s v=""/>
    <n v="60000"/>
    <s v="Orange Vélodrome, Marseille"/>
    <s v=""/>
    <x v="3"/>
    <x v="152"/>
    <s v="2–1"/>
    <s v=""/>
    <s v=""/>
    <x v="6"/>
    <x v="6"/>
    <s v="Patrick Kluivert · 12|Dennis Bergkamp · 89"/>
    <s v="Claudio López · 17"/>
    <s v="['12&amp;rsquor;|1:0|Patrick Kluivert|Assist:|Dennis Bergkamp', '89&amp;rsquor;|2:1|Dennis Bergkamp|Assist:|Frank de Boer']"/>
    <s v="['17&amp;rsquor;|1:1|Claudio López|Assist:|Juan Sebastián Verón']"/>
    <s v=""/>
    <s v=""/>
    <s v=""/>
    <s v=""/>
    <s v=""/>
    <s v=""/>
    <s v=""/>
    <s v=""/>
    <s v=""/>
    <s v=""/>
    <s v=""/>
    <s v=""/>
    <s v="Arthur Numan · 76"/>
    <s v="Ariel Ortega · 87"/>
    <s v="['10&amp;rsquor;|0:0|Jaap Stam', '17&amp;rsquor;|1:0|Arthur Numan']"/>
    <s v="['22&amp;rsquor;|1:1|José Chamot', '60&amp;rsquor;|1:1|Roberto Sensini', '86&amp;rsquor;|1:1|Ariel Ortega']"/>
    <s v="['64&amp;rsquor;|1:1|Marc Overmars|for Ronald de Boer']"/>
    <s v="['68&amp;rsquor;|1:1|Mauricio Pineda|for Matías Almeyda', '89&amp;rsquor;|2:1|Abel Balbo|for José Chamot']"/>
  </r>
  <r>
    <s v="Germany"/>
    <s v="Croatia"/>
    <n v="0"/>
    <m/>
    <m/>
    <n v="3"/>
    <m/>
    <m/>
    <s v="Berti Vogts"/>
    <s v=""/>
    <s v="Miroslav Blažević"/>
    <s v=""/>
    <n v="43300"/>
    <s v="Matmut Stadium de Gerland, Lyon"/>
    <s v=""/>
    <x v="3"/>
    <x v="152"/>
    <s v="0–3"/>
    <s v=""/>
    <s v=""/>
    <x v="6"/>
    <x v="6"/>
    <s v=""/>
    <s v="Robert Jarni · 45|Goran Vlaović · 80|Davor Šuker · 85"/>
    <s v=""/>
    <s v="['45&amp;rsquor;|0:1|Robert Jarni|Assist:|Mario Stanić', '80&amp;rsquor;|0:2|Goran Vlaović|Assist:|Zvonimir Boban', '85&amp;rsquor;|0:3|Davor Šuker|Assist:|Igor Štimac']"/>
    <s v=""/>
    <s v=""/>
    <s v=""/>
    <s v=""/>
    <s v=""/>
    <s v=""/>
    <s v=""/>
    <s v=""/>
    <s v=""/>
    <s v=""/>
    <s v="Christian Wörns · 40"/>
    <s v=""/>
    <s v=""/>
    <s v=""/>
    <s v="['18&amp;rsquor;|0:0|Jörg Heinrich', '37&amp;rsquor;|0:0|Michael Tarnat']"/>
    <s v="['13&amp;rsquor;|0:0|Dario Šimić', '57&amp;rsquor;|0:1|Davor Šuker']"/>
    <s v="['69&amp;rsquor;|0:1|Ulf Kirsten|for Thomas Häßler', '79&amp;rsquor;|0:1|Olaf Marschall|for Dietmar Hamann']"/>
    <s v="['83&amp;rsquor;|0:2|Silvio Marić|for Goran Vlaović']"/>
  </r>
  <r>
    <s v="Italy"/>
    <s v="France"/>
    <n v="0"/>
    <m/>
    <n v="3"/>
    <n v="0"/>
    <m/>
    <n v="4"/>
    <s v="Cesare Maldini"/>
    <s v=""/>
    <s v="Aimé Jacquet"/>
    <s v=""/>
    <n v="80000"/>
    <s v="Stade de France, Paris"/>
    <s v=""/>
    <x v="3"/>
    <x v="153"/>
    <s v="(3) 0–0 (4)"/>
    <s v=""/>
    <s v="France won on penalty kicks following extra time"/>
    <x v="6"/>
    <x v="6"/>
    <s v=""/>
    <s v=""/>
    <s v=""/>
    <s v=""/>
    <s v=""/>
    <s v=""/>
    <s v=""/>
    <s v=""/>
    <s v=""/>
    <s v=""/>
    <s v="['2|1:1|Roberto Baggio', '6|2:2|Alessandro Costacurta', '8|3:3|Christian Vieri']"/>
    <s v="['1|0:1|Zinédine Zidane', '5|1:2|David Trezeguet', '7|2:3|Thierry Henry', '9|3:4|Laurent Blanc']"/>
    <s v="['4|1:1|Demetrio Albertini', '10|3:4|Luigi Di Biagio']"/>
    <s v="['3|1:1|Bixente Lizarazu']"/>
    <s v=""/>
    <s v=""/>
    <s v=""/>
    <s v=""/>
    <s v="['26&amp;rsquor;|0:0|Alessandro Del Piero', '28&amp;rsquor;|0:0|Giuseppe Bergomi', '113&amp;rsquor;|0:0|Alessandro Costacurta']"/>
    <s v="[&quot;53&amp;rsquor;|0:0|Stéphane Guivarc'h&quot;, '62&amp;rsquor;|0:0|Didier Deschamps']"/>
    <s v="['52&amp;rsquor;|0:0|Demetrio Albertini|for Dino Baggio', '67&amp;rsquor;|0:0|Roberto Baggio|for Alessandro Del Piero', '89&amp;rsquor;|0:0|Angelo Di Livio|for Gianluca Pessotto']"/>
    <s v="['65&amp;rsquor;|0:0|Thierry Henry|for Christian Karembeu', &quot;65&amp;rsquor;|0:0|David Trezeguet|for Stéphane Guivarc'h&quot;]"/>
  </r>
  <r>
    <s v="Brazil"/>
    <s v="Denmark"/>
    <n v="3"/>
    <m/>
    <m/>
    <n v="2"/>
    <m/>
    <m/>
    <s v="Mário Zagallo"/>
    <s v=""/>
    <s v="Bo Johansson"/>
    <s v=""/>
    <n v="49500"/>
    <s v="Stade de la Beaujoire - Louis Fonteneau, Nantes"/>
    <s v=""/>
    <x v="3"/>
    <x v="153"/>
    <s v="3–2"/>
    <s v=""/>
    <s v=""/>
    <x v="6"/>
    <x v="6"/>
    <s v="Bebeto · 10|Rivaldo · 27|Rivaldo · 60"/>
    <s v="Martin Jørgensen · 2|Brian Laudrup · 50"/>
    <s v="['10&amp;rsquor;|1:1|Bebeto|Assist:|Ronaldo', '27&amp;rsquor;|2:1|Rivaldo|Assist:|Ronaldo', '60&amp;rsquor;|3:2|Rivaldo|Assist:|Dunga']"/>
    <s v="['2&amp;rsquor;|0:1|Martin Jørgensen|Assist:|Brian Laudrup', '50&amp;rsquor;|2:2|Brian Laudrup']"/>
    <s v=""/>
    <s v=""/>
    <s v=""/>
    <s v=""/>
    <s v=""/>
    <s v=""/>
    <s v=""/>
    <s v=""/>
    <s v=""/>
    <s v=""/>
    <s v=""/>
    <s v=""/>
    <s v=""/>
    <s v=""/>
    <s v="['11&amp;rsquor;|1:1|Roberto Carlos', '37&amp;rsquor;|2:1|Aldair', '81&amp;rsquor;|3:2|Cafú']"/>
    <s v="['19&amp;rsquor;|1:1|Thomas Helveg', '39&amp;rsquor;|2:1|Søren Colding', '72&amp;rsquor;|3:2|Stig Tøfting']"/>
    <s v="['64&amp;rsquor;|3:2|Denílson Custódio Machado|for Bebeto', '71&amp;rsquor;|3:2|Emerson|for Leonardo Araújo', '87&amp;rsquor;|3:2|Zé Roberto|for Rivaldo']"/>
    <s v="['46&amp;rsquor;|2:1|Stig Tøfting|for Allan Nielsen', '66&amp;rsquor;|3:2|Ebbe Sand|for Peter Møller', '87&amp;rsquor;|3:2|Michael Schjønberg|for Thomas Helveg']"/>
  </r>
  <r>
    <s v="Romania"/>
    <s v="Croatia"/>
    <n v="0"/>
    <m/>
    <m/>
    <n v="1"/>
    <m/>
    <m/>
    <s v="Anghel Iordănescu"/>
    <s v=""/>
    <s v="Miroslav Blažević"/>
    <s v=""/>
    <n v="31800"/>
    <s v="Stade Jacques Chaban-Delmas, Bordeaux"/>
    <s v=""/>
    <x v="4"/>
    <x v="154"/>
    <s v="0–1"/>
    <s v=""/>
    <s v=""/>
    <x v="6"/>
    <x v="6"/>
    <s v=""/>
    <s v=""/>
    <s v=""/>
    <s v=""/>
    <s v=""/>
    <s v=""/>
    <s v=""/>
    <s v="Davor Šuker (P) · 45"/>
    <s v=""/>
    <s v=""/>
    <s v=""/>
    <s v=""/>
    <s v=""/>
    <s v=""/>
    <s v=""/>
    <s v=""/>
    <s v=""/>
    <s v=""/>
    <s v="['43&amp;rsquor;|0:0|Gheorghe Popescu', '70&amp;rsquor;|0:1|Dan Petrescu', '81&amp;rsquor;|0:1|Adrian Ilie']"/>
    <s v="['27&amp;rsquor;|0:0|Zvonimir Boban', '70&amp;rsquor;|0:1|Slaven Bilić']"/>
    <s v="['56&amp;rsquor;|0:1|Gheorghe Craioveanu|for Gheorghe Hagi', '60&amp;rsquor;|0:1|Radu Niculescu|for Gabriel Popescu', '75&amp;rsquor;|0:1|Lucian Marinescu|for Dan Petrescu']"/>
    <s v="['75&amp;rsquor;|0:1|Petar Krpan|for Goran Vlaović', '82&amp;rsquor;|0:1|Igor Tudor|for Mario Stanić']"/>
  </r>
  <r>
    <s v="Argentina"/>
    <s v="England"/>
    <n v="2"/>
    <m/>
    <n v="4"/>
    <n v="2"/>
    <m/>
    <n v="3"/>
    <s v="Daniel Passarella"/>
    <s v=""/>
    <s v="Glenn Hoddle"/>
    <s v=""/>
    <n v="30600"/>
    <s v="Stade Geoffroy-Guichard, Saint-Étienne"/>
    <s v=""/>
    <x v="4"/>
    <x v="154"/>
    <s v="(4) 2–2 (3)"/>
    <s v=""/>
    <s v="Argentina won on penalty kicks following extra time"/>
    <x v="6"/>
    <x v="6"/>
    <s v="Javier Zanetti · 45"/>
    <s v="Michael Owen · 16"/>
    <s v="['45&amp;rsquor;|2:2|Javier Zanetti|Assist:|Juan Sebastián Verón']"/>
    <s v="['16&amp;rsquor;|1:2|Michael Owen|Assist:|David Beckham']"/>
    <s v=""/>
    <s v=""/>
    <s v="Gabriel Batistuta (P) · 5"/>
    <s v="Alan Shearer (P) · 9"/>
    <s v=""/>
    <s v=""/>
    <s v="['1|1:0|Sergio Berti', '5|2:1|Juan Sebastián Verón', '7|3:2|Marcelo Gallardo', '9|4:3|Rubén Ayala']"/>
    <s v="['2|1:1|Alan Shearer', '6|2:2|Paul Merson', '8|3:3|Michael Owen']"/>
    <s v="['3|1:1|Hernán Crespo']"/>
    <s v="['4|1:1|Paul Ince', '10|4:3|David Batty']"/>
    <s v=""/>
    <s v="David Beckham · 47"/>
    <s v=""/>
    <s v=""/>
    <s v="['44&amp;rsquor;|1:2|Juan Sebastián Verón', '47&amp;rsquor;|2:2|Diego Simeone', '73&amp;rsquor;|2:2|Matías Almeyda', '110&amp;rsquor;|2:2|Carlos Roa']"/>
    <s v="['5&amp;rsquor;|0:0|David Seaman', '10&amp;rsquor;|1:1|Paul Ince']"/>
    <s v="['68&amp;rsquor;|2:2|Hernán Crespo|for Gabriel Batistuta', '68&amp;rsquor;|2:2|Marcelo Gallardo|for Claudio López', '91&amp;rsquor;|2:2|Sergio Berti|for Diego Simeone']"/>
    <s v="['71&amp;rsquor;|2:2|Gareth Southgate|for Graeme Le Saux', '78&amp;rsquor;|2:2|Paul Merson|for Paul Scholes', '97&amp;rsquor;|2:2|David Batty|for Darren Anderton']"/>
  </r>
  <r>
    <s v="Germany"/>
    <s v="Mexico"/>
    <n v="2"/>
    <m/>
    <m/>
    <n v="1"/>
    <m/>
    <m/>
    <s v="Berti Vogts"/>
    <s v=""/>
    <s v="Manuel Lapuente"/>
    <s v=""/>
    <n v="29800"/>
    <s v="Stade de la Mosson, Montpellier"/>
    <s v=""/>
    <x v="4"/>
    <x v="155"/>
    <s v="2–1"/>
    <s v=""/>
    <s v=""/>
    <x v="6"/>
    <x v="6"/>
    <s v="Jürgen Klinsmann · 75|Oliver Bierhoff · 86"/>
    <s v="Luis Hernández · 47"/>
    <s v="['75&amp;rsquor;|1:1|Jürgen Klinsmann', '86&amp;rsquor;|2:1|Oliver Bierhoff|Assist:|Ulf Kirsten']"/>
    <s v="['47&amp;rsquor;|0:1|Luis Hernández|Assist:|Carlos Blanco']"/>
    <s v=""/>
    <s v=""/>
    <s v=""/>
    <s v=""/>
    <s v=""/>
    <s v=""/>
    <s v=""/>
    <s v=""/>
    <s v=""/>
    <s v=""/>
    <s v=""/>
    <s v=""/>
    <s v=""/>
    <s v=""/>
    <s v="['45&amp;rsquor;|0:0|Markus Babbel', '56&amp;rsquor;|0:1|Lothar Matthäus', '77&amp;rsquor;|1:1|Michael Tarnat', '88&amp;rsquor;|2:1|Dietmar Hamann']"/>
    <s v="['57&amp;rsquor;|0:1|Duilio Davino', '87&amp;rsquor;|2:1|Carlos Blanco']"/>
    <s v="['37&amp;rsquor;|0:0|Christian Ziege|for Thomas Helmer', '57&amp;rsquor;|0:1|Andreas Möller|for Jörg Heinrich', '73&amp;rsquor;|0:1|Ulf Kirsten|for Thomas Häßler']"/>
    <s v="['46&amp;rsquor;|0:0|Salvador Carmona|for Marcelino Bernal', '53&amp;rsquor;|0:1|Jesús Arellano|for Francisco Palencia', '86&amp;rsquor;|2:1|Ricardo Peláez|for Alberto García Aspe']"/>
  </r>
  <r>
    <s v="Netherlands"/>
    <s v="FR Yugoslavia"/>
    <n v="2"/>
    <m/>
    <m/>
    <n v="1"/>
    <m/>
    <m/>
    <s v="Guus Hiddink"/>
    <s v=""/>
    <s v="Slobodan Santrač"/>
    <s v=""/>
    <n v="33000"/>
    <s v="Stadium Municipal, Toulouse"/>
    <s v=""/>
    <x v="4"/>
    <x v="155"/>
    <s v="2–1"/>
    <s v=""/>
    <s v=""/>
    <x v="6"/>
    <x v="6"/>
    <s v="Dennis Bergkamp · 38|Edgar Davids · 90"/>
    <s v="Slobodan Komljenović · 48"/>
    <s v="['38&amp;rsquor;|1:0|Dennis Bergkamp|Assist:|Frank de Boer', '90&amp;rsquor;|2:1|Edgar Davids|Assist:|Ronald de Boer']"/>
    <s v="['48&amp;rsquor;|1:1|Slobodan Komljenović']"/>
    <s v=""/>
    <s v=""/>
    <s v=""/>
    <s v=""/>
    <s v=""/>
    <s v=""/>
    <s v=""/>
    <s v=""/>
    <s v=""/>
    <s v=""/>
    <s v=""/>
    <s v=""/>
    <s v=""/>
    <s v=""/>
    <s v=""/>
    <s v="['38&amp;rsquor;|0:0|Dragan Stojković', '52&amp;rsquor;|1:1|Zoran Mirković', '73&amp;rsquor;|1:1|Goran Đorović']"/>
    <s v=""/>
    <s v="['56&amp;rsquor;|1:1|Dejan Savićević|for Dragan Stojković', '78&amp;rsquor;|1:1|Niša Saveljić|for Siniša Mihajlović']"/>
  </r>
  <r>
    <s v="France"/>
    <s v="Paraguay"/>
    <n v="1"/>
    <m/>
    <m/>
    <n v="0"/>
    <m/>
    <m/>
    <s v="Aimé Jacquet"/>
    <s v=""/>
    <s v="Paulo César Carpegiani"/>
    <s v=""/>
    <n v="31800"/>
    <s v="Stade Bollaert-Delelis, Lens"/>
    <s v=""/>
    <x v="4"/>
    <x v="156"/>
    <s v="1–0"/>
    <s v=""/>
    <s v="Required Extra Time"/>
    <x v="6"/>
    <x v="6"/>
    <s v="Laurent Blanc · 114"/>
    <s v=""/>
    <s v="['114&amp;rsquor;|1:0|Laurent Blanc|Assist:|David Trezeguet']"/>
    <s v=""/>
    <s v=""/>
    <s v=""/>
    <s v=""/>
    <s v=""/>
    <s v=""/>
    <s v=""/>
    <s v=""/>
    <s v=""/>
    <s v=""/>
    <s v=""/>
    <s v=""/>
    <s v=""/>
    <s v=""/>
    <s v=""/>
    <s v=""/>
    <s v="['19&amp;rsquor;|0:0|José Luis Chilavert', '23&amp;rsquor;|0:0|Miguel Ángel Benítez', '32&amp;rsquor;|0:0|Julio César Enciso', '84&amp;rsquor;|0:0|Francisco Arce', '99&amp;rsquor;|0:0|José Cardozo']"/>
    <s v="['65&amp;rsquor;|0:0|Robert Pirès|for Thierry Henry', '69&amp;rsquor;|0:0|Alain Boghossian|for Emmanuel Petit', &quot;76&amp;rsquor;|0:0|Stéphane Guivarc'h|for Bernard Diomède&quot;]"/>
    <s v="['54&amp;rsquor;|0:0|Julio César Yegros|for Jorge Luis Campos', '75&amp;rsquor;|0:0|Denis Caniza|for Carlos Paredes', '91&amp;rsquor;|0:0|Arístides Rojas|for José Cardozo']"/>
  </r>
  <r>
    <s v="Nigeria"/>
    <s v="Denmark"/>
    <n v="1"/>
    <m/>
    <m/>
    <n v="4"/>
    <m/>
    <m/>
    <s v="Bora Milutinović"/>
    <s v=""/>
    <s v="Bo Johansson"/>
    <s v=""/>
    <n v="77000"/>
    <s v="Stade de France, Paris"/>
    <s v=""/>
    <x v="4"/>
    <x v="156"/>
    <s v="1–4"/>
    <s v=""/>
    <s v=""/>
    <x v="6"/>
    <x v="6"/>
    <s v="Tijani Babangida · 77"/>
    <s v="Peter Møller · 3|Brian Laudrup · 12|Ebbe Sand · 60|Thomas Helveg · 76"/>
    <s v="['77&amp;rsquor;|1:4|Tijani Babangida|Assist:|Finidi George']"/>
    <s v="['3&amp;rsquor;|0:1|Peter Møller|Assist:|Michael Laudrup', '12&amp;rsquor;|0:2|Brian Laudrup', '60&amp;rsquor;|0:3|Ebbe Sand|Assist:|Michael Laudrup', '76&amp;rsquor;|0:4|Thomas Helveg|Assist:|Martin Jørgensen']"/>
    <s v=""/>
    <s v=""/>
    <s v=""/>
    <s v=""/>
    <s v=""/>
    <s v=""/>
    <s v=""/>
    <s v=""/>
    <s v=""/>
    <s v=""/>
    <s v=""/>
    <s v=""/>
    <s v=""/>
    <s v=""/>
    <s v="['49&amp;rsquor;|0:2|Jay-Jay Okocha']"/>
    <s v="['24&amp;rsquor;|0:2|Marc Rieper']"/>
    <s v="['65&amp;rsquor;|0:3|Rashidi Yekini|for Nwankwo Kanu', '73&amp;rsquor;|0:3|Tijani Babangida|for Garba Lawal']"/>
    <s v="['59&amp;rsquor;|0:2|Ebbe Sand|for Peter Møller', '82&amp;rsquor;|1:4|Per Frandsen|for Michael Laudrup']"/>
  </r>
  <r>
    <s v="Italy"/>
    <s v="Norway"/>
    <n v="1"/>
    <m/>
    <m/>
    <n v="0"/>
    <m/>
    <m/>
    <s v="Cesare Maldini"/>
    <s v=""/>
    <s v="Egil Olsen"/>
    <s v=""/>
    <n v="55000"/>
    <s v="Orange Vélodrome, Marseille"/>
    <s v=""/>
    <x v="4"/>
    <x v="157"/>
    <s v="1–0"/>
    <s v=""/>
    <s v=""/>
    <x v="6"/>
    <x v="6"/>
    <s v="Christian Vieri · 18"/>
    <s v=""/>
    <s v="['18&amp;rsquor;|1:0|Christian Vieri|Assist:|Luigi Di Biagio']"/>
    <s v=""/>
    <s v=""/>
    <s v=""/>
    <s v=""/>
    <s v=""/>
    <s v=""/>
    <s v=""/>
    <s v=""/>
    <s v=""/>
    <s v=""/>
    <s v=""/>
    <s v=""/>
    <s v=""/>
    <s v=""/>
    <s v=""/>
    <s v="['38&amp;rsquor;|1:0|Francesco Moriero', '84&amp;rsquor;|1:0|Luigi Di Biagio', '89&amp;rsquor;|1:0|Paolo Maldini']"/>
    <s v="['35&amp;rsquor;|1:0|Håvard Flo', '54&amp;rsquor;|1:0|Erik Mykland', '62&amp;rsquor;|1:0|Kjetil Rekdal']"/>
    <s v="['63&amp;rsquor;|1:0|Angelo Di Livio|for Francesco Moriero', '72&amp;rsquor;|1:0|Gianluca Pessotto|for Demetrio Albertini', '77&amp;rsquor;|1:0|Enrico Chiesa|for Alessandro Del Piero']"/>
    <s v="['13&amp;rsquor;|0:0|Roar Strand|for Øyvind Leonhardsen', '39&amp;rsquor;|1:0|Ståle Solbakken|for Roar Strand', '73&amp;rsquor;|1:0|Ole Gunnar Solskjær|for Håvard Flo']"/>
  </r>
  <r>
    <s v="Brazil"/>
    <s v="Chile"/>
    <n v="4"/>
    <m/>
    <m/>
    <n v="1"/>
    <m/>
    <m/>
    <s v="Mário Zagallo"/>
    <s v=""/>
    <s v="Nelson Acosta"/>
    <s v=""/>
    <n v="45500"/>
    <s v="Parc des Princes, Paris"/>
    <s v=""/>
    <x v="4"/>
    <x v="157"/>
    <s v="4–1"/>
    <s v=""/>
    <s v=""/>
    <x v="6"/>
    <x v="6"/>
    <s v="César Sampaio · 11|César Sampaio · 26|Ronaldo · 70"/>
    <s v="Marcelo Salas · 68"/>
    <s v="['11&amp;rsquor;|1:0|César Sampaio|Assist:|Dunga', '26&amp;rsquor;|2:0|César Sampaio|Assist:|Bebeto', '70&amp;rsquor;|4:1|Ronaldo|Assist:|Denílson Custódio Machado']"/>
    <s v="['68&amp;rsquor;|3:1|Marcelo Salas']"/>
    <s v=""/>
    <s v=""/>
    <s v="Ronaldo (P) · 45"/>
    <s v=""/>
    <s v=""/>
    <s v=""/>
    <s v=""/>
    <s v=""/>
    <s v=""/>
    <s v=""/>
    <s v=""/>
    <s v=""/>
    <s v=""/>
    <s v=""/>
    <s v="['45&amp;rsquor;|2:0|Leonardo Araújo', '90&amp;rsquor;|4:1|Cafú']"/>
    <s v="['34&amp;rsquor;|2:0|Ronald Fuentes', '45&amp;rsquor;|2:0|Nelson Tapia']"/>
    <s v="['65&amp;rsquor;|3:0|Denílson Custódio Machado|for Bebeto', '78&amp;rsquor;|4:1|Marcelo Gonçalves Costa Lopes|for Aldair']"/>
    <s v="['46&amp;rsquor;|3:0|Fabián Estay|for José Luis Sierra', '46&amp;rsquor;|3:0|Marcelo Vega|for Miguel Ramírez', '80&amp;rsquor;|4:1|Luis Musrri|for Clarence Acuña']"/>
  </r>
  <r>
    <s v="Argentina"/>
    <s v="Croatia"/>
    <n v="1"/>
    <m/>
    <m/>
    <n v="0"/>
    <m/>
    <m/>
    <s v="Daniel Passarella"/>
    <s v=""/>
    <s v="Miroslav Blažević"/>
    <s v=""/>
    <n v="31800"/>
    <s v="Stade Jacques Chaban-Delmas, Bordeaux"/>
    <s v=""/>
    <x v="5"/>
    <x v="158"/>
    <s v="1–0"/>
    <s v=""/>
    <s v=""/>
    <x v="6"/>
    <x v="6"/>
    <s v="Mauricio Pineda · 36"/>
    <s v=""/>
    <s v="['36&amp;rsquor;|1:0|Mauricio Pineda|Assist:|Ariel Ortega']"/>
    <s v=""/>
    <s v=""/>
    <s v=""/>
    <s v=""/>
    <s v=""/>
    <s v=""/>
    <s v=""/>
    <s v=""/>
    <s v=""/>
    <s v=""/>
    <s v=""/>
    <s v=""/>
    <s v=""/>
    <s v=""/>
    <s v=""/>
    <s v="['23&amp;rsquor;|0:0|Ariel Ortega', '35&amp;rsquor;|0:0|Rubén Ayala', '68&amp;rsquor;|1:0|Nelson Vivas']"/>
    <s v="['20&amp;rsquor;|0:0|Slaven Bilić', '43&amp;rsquor;|1:0|Zvonimir Soldo', '47&amp;rsquor;|1:0|Zvonimir Boban', '58&amp;rsquor;|1:0|Robert Jarni']"/>
    <s v="['52&amp;rsquor;|1:0|Claudio López|for Ariel Ortega', '67&amp;rsquor;|1:0|Diego Simeone|for Javier Zanetti', '80&amp;rsquor;|1:0|Sergio Berti|for Marcelo Gallardo']"/>
    <s v="['46&amp;rsquor;|1:0|Goran Vlaović|for Silvio Marić', '67&amp;rsquor;|1:0|Igor Štimac|for Robert Prosinečki']"/>
  </r>
  <r>
    <s v="Japan"/>
    <s v="Jamaica"/>
    <n v="1"/>
    <m/>
    <m/>
    <n v="2"/>
    <m/>
    <m/>
    <s v="Takeshi Okada"/>
    <s v=""/>
    <s v="René Simões"/>
    <s v=""/>
    <n v="39100"/>
    <s v="Matmut Stadium de Gerland, Lyon"/>
    <s v=""/>
    <x v="5"/>
    <x v="158"/>
    <s v="1–2"/>
    <s v=""/>
    <s v=""/>
    <x v="6"/>
    <x v="6"/>
    <s v="Masashi Nakayama · 74"/>
    <s v="Theodore Whitmore · 39|Theodore Whitmore · 54"/>
    <s v="['74&amp;rsquor;|1:2|Masashi Nakayama|Assist:|Wagner Lopes']"/>
    <s v="['39&amp;rsquor;|0:1|Theodore Whitmore|Assist:|Marcus Gayle', '54&amp;rsquor;|0:2|Theodore Whitmore']"/>
    <s v=""/>
    <s v=""/>
    <s v=""/>
    <s v=""/>
    <s v=""/>
    <s v=""/>
    <s v=""/>
    <s v=""/>
    <s v=""/>
    <s v=""/>
    <s v=""/>
    <s v=""/>
    <s v=""/>
    <s v=""/>
    <s v="['4&amp;rsquor;|0:0|Motohiro Yamaguchi']"/>
    <s v="['78&amp;rsquor;|1:2|Stephen Malcolm', '88&amp;rsquor;|1:2|Chris Dawes']"/>
    <s v="['58&amp;rsquor;|0:2|Wagner Lopes|for Shoji Jo', '58&amp;rsquor;|0:2|Takashi Hirano|for Norio Omura', '78&amp;rsquor;|1:2|Shinji Ono|for Hiroshi Nanami']"/>
    <s v="['72&amp;rsquor;|0:2|Walter Boyd|for Paul Hall', '80&amp;rsquor;|1:2|Deon Burton|for Marcus Gayle', '89&amp;rsquor;|1:2|Robbie Earle|for Fitzroy Simpson']"/>
  </r>
  <r>
    <s v="Romania"/>
    <s v="Tunisia"/>
    <n v="1"/>
    <m/>
    <m/>
    <n v="1"/>
    <m/>
    <m/>
    <s v="Anghel Iordănescu"/>
    <s v=""/>
    <s v="Ali Selmi"/>
    <s v=""/>
    <n v="80000"/>
    <s v="Stade de France, Paris"/>
    <s v=""/>
    <x v="5"/>
    <x v="158"/>
    <s v="1–1"/>
    <s v=""/>
    <s v=""/>
    <x v="6"/>
    <x v="6"/>
    <s v="Viorel Moldovan · 72"/>
    <s v=""/>
    <s v="['72&amp;rsquor;|1:1|Viorel Moldovan']"/>
    <s v=""/>
    <s v=""/>
    <s v=""/>
    <s v=""/>
    <s v="Skander Souayah (P) · 10"/>
    <s v=""/>
    <s v=""/>
    <s v=""/>
    <s v=""/>
    <s v=""/>
    <s v=""/>
    <s v=""/>
    <s v=""/>
    <s v=""/>
    <s v=""/>
    <s v=""/>
    <s v="['28&amp;rsquor;|0:1|Zoubeir Baya', '57&amp;rsquor;|0:1|Skander Souayah']"/>
    <s v="['32&amp;rsquor;|0:1|Gheorghe Popescu|for Cristian Dulca', '46&amp;rsquor;|0:1|Adrian Ilie|for Marius Lăcătuș', '68&amp;rsquor;|0:1|Viorel Moldovan|for Ilie Dumitrescu']"/>
    <s v="['60&amp;rsquor;|0:1|Riadh Jelassi|for Mehdi Ben Slimane', '85&amp;rsquor;|1:1|Tarek Thabet|for Kaies Ghodhbane', '90&amp;rsquor;|1:1|Imed Ben Younes|for Skander Souayah']"/>
  </r>
  <r>
    <s v="Colombia"/>
    <s v="England"/>
    <n v="0"/>
    <m/>
    <m/>
    <n v="2"/>
    <m/>
    <m/>
    <s v="Hernán Darío Gómez"/>
    <s v=""/>
    <s v="Glenn Hoddle"/>
    <s v=""/>
    <n v="42000"/>
    <s v="Stade Bollaert-Delelis, Lens"/>
    <s v=""/>
    <x v="5"/>
    <x v="158"/>
    <s v="0–2"/>
    <s v=""/>
    <s v=""/>
    <x v="6"/>
    <x v="6"/>
    <s v=""/>
    <s v="Darren Anderton · 20|David Beckham · 29"/>
    <s v=""/>
    <s v="['20&amp;rsquor;|0:1|Darren Anderton', '29&amp;rsquor;|0:2|David Beckham']"/>
    <s v=""/>
    <s v=""/>
    <s v=""/>
    <s v=""/>
    <s v=""/>
    <s v=""/>
    <s v=""/>
    <s v=""/>
    <s v=""/>
    <s v=""/>
    <s v=""/>
    <s v=""/>
    <s v=""/>
    <s v=""/>
    <s v="['20&amp;rsquor;|0:0|Mauricio Serna', '86&amp;rsquor;|0:2|Víctor Aristizábal', '89&amp;rsquor;|0:2|Jesus Bermúdez']"/>
    <s v="['22&amp;rsquor;|0:1|Paul Scholes', '89&amp;rsquor;|0:2|Alan Shearer']"/>
    <s v="['46&amp;rsquor;|0:2|Hamilton Ricard|for Antony de Ávila', '46&amp;rsquor;|0:2|Adolfo Valencia|for Léider Preciado', '46&amp;rsquor;|0:2|Víctor Aristizábal|for Mauricio Serna']"/>
    <s v="['73&amp;rsquor;|0:2|Steve McManaman|for Paul Scholes', '79&amp;rsquor;|0:2|Rob Lee|for Darren Anderton', '83&amp;rsquor;|0:2|David Batty|for Paul Ince']"/>
  </r>
  <r>
    <s v="Netherlands"/>
    <s v="Mexico"/>
    <n v="2"/>
    <m/>
    <m/>
    <n v="2"/>
    <m/>
    <m/>
    <s v="Guus Hiddink"/>
    <s v=""/>
    <s v="Manuel Lapuente"/>
    <s v=""/>
    <n v="30600"/>
    <s v="Stade Geoffroy-Guichard, Saint-Étienne"/>
    <s v=""/>
    <x v="5"/>
    <x v="159"/>
    <s v="2–2"/>
    <s v=""/>
    <s v=""/>
    <x v="6"/>
    <x v="6"/>
    <s v="Phillip Cocu · 4|Ronald de Boer · 18"/>
    <s v="Ricardo Peláez · 75|Claudio Suárez · 90"/>
    <s v="['4&amp;rsquor;|1:0|Phillip Cocu|Assist:|Dennis Bergkamp', '18&amp;rsquor;|2:0|Ronald de Boer|Assist:|Phillip Cocu']"/>
    <s v="['75&amp;rsquor;|2:1|Ricardo Peláez|Assist:|Germán Villa', '90&amp;rsquor;|2:2|Claudio Suárez']"/>
    <s v=""/>
    <s v=""/>
    <s v=""/>
    <s v=""/>
    <s v=""/>
    <s v=""/>
    <s v=""/>
    <s v=""/>
    <s v=""/>
    <s v=""/>
    <s v=""/>
    <s v="Ramón Ramírez · 89"/>
    <s v=""/>
    <s v=""/>
    <s v="['21&amp;rsquor;|2:0|Jaap Stam', '46&amp;rsquor;|2:0|Arthur Numan']"/>
    <s v="['18&amp;rsquor;|1:0|Germán Villa', '46&amp;rsquor;|2:0|Luis Hernández', '58&amp;rsquor;|2:0|Salvador Carmona', '68&amp;rsquor;|2:0|Ricardo Peláez']"/>
    <s v="['70&amp;rsquor;|2:0|Aron Winter|for Wim Jonk', '71&amp;rsquor;|2:0|Winston Bogarde|for Arthur Numan', '78&amp;rsquor;|2:1|Jimmy Floyd Hasselbaink|for Dennis Bergkamp']"/>
    <s v="['46&amp;rsquor;|2:0|Jesús Arellano|for Braulio Luna', '55&amp;rsquor;|2:0|Ricardo Peláez|for Joel Sánchez']"/>
  </r>
  <r>
    <s v="Belgium"/>
    <s v="Korea Republic"/>
    <n v="1"/>
    <m/>
    <m/>
    <n v="1"/>
    <m/>
    <m/>
    <s v="Georges Leekens"/>
    <s v=""/>
    <s v="Kim Pyung-seok"/>
    <s v=""/>
    <n v="45500"/>
    <s v="Parc des Princes, Paris"/>
    <s v=""/>
    <x v="5"/>
    <x v="159"/>
    <s v="1–1"/>
    <s v=""/>
    <s v=""/>
    <x v="6"/>
    <x v="6"/>
    <s v="Luc Nilis · 7"/>
    <s v="Yoo Sang-chul · 71"/>
    <s v="['7&amp;rsquor;|1:0|Luc Nilis']"/>
    <s v="['71&amp;rsquor;|1:1|Yoo Sang-chul|Assist:|Ha Seok-ju']"/>
    <s v=""/>
    <s v=""/>
    <s v=""/>
    <s v=""/>
    <s v=""/>
    <s v=""/>
    <s v=""/>
    <s v=""/>
    <s v=""/>
    <s v=""/>
    <s v=""/>
    <s v=""/>
    <s v=""/>
    <s v=""/>
    <s v="['65&amp;rsquor;|1:0|Vital Borkelmans']"/>
    <s v="['48&amp;rsquor;|1:0|Kim Tae-young', '67&amp;rsquor;|1:0|Lee Lim-saeng', '83&amp;rsquor;|1:1|Kim Byung-ji', '83&amp;rsquor;|1:1|Lee Min-sung']"/>
    <s v="['46&amp;rsquor;|1:0|Mbo Mpenza|for Luís Oliveira', '65&amp;rsquor;|1:0|Franky Van der Elst|for Enzo Scifo', '74&amp;rsquor;|1:1|Émile Mpenza|for Philippe Clement']"/>
    <s v="['46&amp;rsquor;|1:0|Ko Jong-soo|for Kim Do-keun', '46&amp;rsquor;|1:0|Lee Lim-saeng|for Choi Sung-yong', '66&amp;rsquor;|1:0|Jang Hyung-seok|for Lee Sang-hun']"/>
  </r>
  <r>
    <s v="United States"/>
    <s v="FR Yugoslavia"/>
    <n v="0"/>
    <m/>
    <m/>
    <n v="1"/>
    <m/>
    <m/>
    <s v="Steve Sampson"/>
    <s v=""/>
    <s v="Slobodan Santrač"/>
    <s v=""/>
    <n v="38500"/>
    <s v="Stade de la Beaujoire - Louis Fonteneau, Nantes"/>
    <s v=""/>
    <x v="5"/>
    <x v="159"/>
    <s v="0–1"/>
    <s v=""/>
    <s v=""/>
    <x v="6"/>
    <x v="6"/>
    <s v=""/>
    <s v="Slobodan Komljenović · 4"/>
    <s v=""/>
    <s v="['4&amp;rsquor;|0:1|Slobodan Komljenović']"/>
    <s v=""/>
    <s v=""/>
    <s v=""/>
    <s v=""/>
    <s v=""/>
    <s v=""/>
    <s v=""/>
    <s v=""/>
    <s v=""/>
    <s v=""/>
    <s v=""/>
    <s v=""/>
    <s v=""/>
    <s v=""/>
    <s v="['13&amp;rsquor;|0:1|Claudio Reyna']"/>
    <s v="['41&amp;rsquor;|0:1|Dejan Stanković', '61&amp;rsquor;|0:1|Perica Ognjenović']"/>
    <s v="['58&amp;rsquor;|0:1|Preki|for Joe-Max Moore', '64&amp;rsquor;|0:1|Eric Wynalda|for Frankie Hejduk', '81&amp;rsquor;|0:1|Marcelo Balboa|for Thomas Dooley']"/>
    <s v="['30&amp;rsquor;|0:1|Perica Ognjenović|for Predrag Mijatović', '54&amp;rsquor;|0:1|Branko Brnović|for Dejan Stanković', '62&amp;rsquor;|0:1|Dejan Savićević|for Dragan Stojković']"/>
  </r>
  <r>
    <s v="Germany"/>
    <s v="IR Iran"/>
    <n v="2"/>
    <m/>
    <m/>
    <n v="0"/>
    <m/>
    <m/>
    <s v="Berti Vogts"/>
    <s v=""/>
    <s v="Jalal Talebi"/>
    <s v=""/>
    <n v="35500"/>
    <s v="Stade de la Mosson, Montpellier"/>
    <s v=""/>
    <x v="5"/>
    <x v="159"/>
    <s v="2–0"/>
    <s v=""/>
    <s v=""/>
    <x v="6"/>
    <x v="6"/>
    <s v="Oliver Bierhoff · 50|Jürgen Klinsmann · 58"/>
    <s v=""/>
    <s v="['50&amp;rsquor;|1:0|Oliver Bierhoff|Assist:|Thomas Häßler', '58&amp;rsquor;|2:0|Jürgen Klinsmann']"/>
    <s v=""/>
    <s v=""/>
    <s v=""/>
    <s v=""/>
    <s v=""/>
    <s v=""/>
    <s v=""/>
    <s v=""/>
    <s v=""/>
    <s v=""/>
    <s v=""/>
    <s v=""/>
    <s v=""/>
    <s v=""/>
    <s v=""/>
    <s v="['31&amp;rsquor;|0:0|Jürgen Klinsmann', '45&amp;rsquor;|0:0|Thomas Häßler']"/>
    <s v="['47&amp;rsquor;|0:0|Ali Daei']"/>
    <s v="['46&amp;rsquor;|0:0|Dietmar Hamann|for Olaf Thon', '69&amp;rsquor;|2:0|Ulf Kirsten|for Thomas Häßler', '76&amp;rsquor;|2:0|Christian Ziege|for Michael Tarnat']"/>
    <s v="['70&amp;rsquor;|2:0|Sirous Dinmohammadi|for Javad Zarincheh']"/>
  </r>
  <r>
    <s v="South Africa"/>
    <s v="Saudi Arabia"/>
    <n v="2"/>
    <m/>
    <m/>
    <n v="2"/>
    <m/>
    <m/>
    <s v="Philippe Troussier"/>
    <s v=""/>
    <s v="Mohammed Al-Kharashy"/>
    <s v=""/>
    <n v="31800"/>
    <s v="Stade Jacques Chaban-Delmas, Bordeaux"/>
    <s v=""/>
    <x v="5"/>
    <x v="160"/>
    <s v="2–2"/>
    <s v=""/>
    <s v=""/>
    <x v="6"/>
    <x v="6"/>
    <s v="Shaun Bartlett · 18"/>
    <s v=""/>
    <s v="['18&amp;rsquor;|1:0|Shaun Bartlett|Assist:|Pierre Issa']"/>
    <s v=""/>
    <s v=""/>
    <s v=""/>
    <s v="Shaun Bartlett (P) · 90"/>
    <s v="Sami Al-Jaber (P) · 45|Yousuf Al-Thunayan (P) · 74"/>
    <s v=""/>
    <s v=""/>
    <s v=""/>
    <s v=""/>
    <s v=""/>
    <s v=""/>
    <s v=""/>
    <s v=""/>
    <s v=""/>
    <s v=""/>
    <s v="['38&amp;rsquor;|1:0|Quinton Fortune', '65&amp;rsquor;|1:1|Lucas Radebe']"/>
    <s v="['30&amp;rsquor;|1:0|Khamis Al-Dosari']"/>
    <s v="['46&amp;rsquor;|1:1|Delron Buckley|for Willem Jackson', '46&amp;rsquor;|1:1|Jerry Sikhosana|for Benni McCarthy', '67&amp;rsquor;|1:1|Doctor Khumalo|for Quinton Fortune']"/>
    <s v="['64&amp;rsquor;|1:1|Ibrahim Al-Shahrani|for Fahad Al-Mehallel', '81&amp;rsquor;|1:2|Ibrahim Al-Harbi|for Yousuf Al-Thunayan']"/>
  </r>
  <r>
    <s v="France"/>
    <s v="Denmark"/>
    <n v="2"/>
    <m/>
    <m/>
    <n v="1"/>
    <m/>
    <m/>
    <s v="Aimé Jacquet"/>
    <s v=""/>
    <s v="Bo Johansson"/>
    <s v=""/>
    <n v="39100"/>
    <s v="Matmut Stadium de Gerland, Lyon"/>
    <s v=""/>
    <x v="5"/>
    <x v="160"/>
    <s v="2–1"/>
    <s v=""/>
    <s v=""/>
    <x v="6"/>
    <x v="6"/>
    <s v="Emmanuel Petit · 57"/>
    <s v=""/>
    <s v="['57&amp;rsquor;|2:1|Emmanuel Petit']"/>
    <s v=""/>
    <s v=""/>
    <s v=""/>
    <s v="Youri Djorkaeff (P) · 12"/>
    <s v="Michael Laudrup (P) · 42"/>
    <s v=""/>
    <s v=""/>
    <s v=""/>
    <s v=""/>
    <s v=""/>
    <s v=""/>
    <s v=""/>
    <s v=""/>
    <s v=""/>
    <s v=""/>
    <s v="['53&amp;rsquor;|1:1|Bernard Diomède', '62&amp;rsquor;|2:1|Patrick Vieira']"/>
    <s v="['65&amp;rsquor;|2:1|Søren Colding', '78&amp;rsquor;|2:1|Stig Tøfting']"/>
    <s v="['64&amp;rsquor;|2:1|Alain Boghossian|for Emmanuel Petit', '71&amp;rsquor;|2:1|Thierry Henry|for Robert Pirès', &quot;85&amp;rsquor;|2:1|Stéphane Guivarc'h|for David Trezeguet&quot;]"/>
    <s v="['46&amp;rsquor;|1:1|Søren Colding|for Jacob Laursen', '54&amp;rsquor;|1:1|Ebbe Sand|for Martin Jørgensen', '75&amp;rsquor;|2:1|Stig Tøfting|for Brian Laudrup']"/>
  </r>
  <r>
    <s v="Spain"/>
    <s v="Bulgaria"/>
    <n v="6"/>
    <m/>
    <m/>
    <n v="1"/>
    <m/>
    <m/>
    <s v="Javier Clemente"/>
    <s v=""/>
    <s v="Hristo Bonev"/>
    <s v=""/>
    <n v="41275"/>
    <s v="Stade Bollaert-Delelis, Lens"/>
    <s v=""/>
    <x v="5"/>
    <x v="160"/>
    <s v="6–1"/>
    <s v=""/>
    <s v=""/>
    <x v="6"/>
    <x v="6"/>
    <s v="Luis Enrique · 18|Fernando Morientes · 55|Fernando Morientes · 81|Kiko · 90"/>
    <s v="Emil Kostadinov · 58"/>
    <s v="['18&amp;rsquor;|2:0|Luis Enrique|Assist:|Joseba Etxeberria', '55&amp;rsquor;|3:0|Fernando Morientes|Assist:|Luis Enrique', '81&amp;rsquor;|4:1|Fernando Morientes|Assist:|Raúl', '90&amp;rsquor;|6:1|Kiko|Assist:|Fernando Hierro']"/>
    <s v="['58&amp;rsquor;|3:1|Emil Kostadinov|Assist:|Daniel Borimirov']"/>
    <s v="Georgi Bachev (OG) · 88"/>
    <s v=""/>
    <s v="Fernando Hierro (P) · 6"/>
    <s v=""/>
    <s v=""/>
    <s v=""/>
    <s v=""/>
    <s v=""/>
    <s v=""/>
    <s v=""/>
    <s v=""/>
    <s v=""/>
    <s v=""/>
    <s v=""/>
    <s v="['16&amp;rsquor;|1:0|Carlos Aguilera', '73&amp;rsquor;|3:1|Julen Guerrero']"/>
    <s v="['45&amp;rsquor;|2:0|Lyuboslav Penev', '85&amp;rsquor;|4:1|Georgi Bachev']"/>
    <s v="['50&amp;rsquor;|2:0|Raúl|for Joseba Etxeberria', '65&amp;rsquor;|3:1|Kiko|for Alfonso Pérez', '69&amp;rsquor;|3:1|Julen Guerrero|for Luis Enrique']"/>
    <s v="['28&amp;rsquor;|2:0|Lyuboslav Penev|for Anatoli Nankov', '46&amp;rsquor;|2:0|Ilian Iliev|for Hristo Stoichkov', '61&amp;rsquor;|3:1|Marian Hristov|for Krasimir Balakov']"/>
  </r>
  <r>
    <s v="Nigeria"/>
    <s v="Paraguay"/>
    <n v="1"/>
    <m/>
    <m/>
    <n v="3"/>
    <m/>
    <m/>
    <s v="Bora Milutinović"/>
    <s v=""/>
    <s v="Paulo César Carpegiani"/>
    <s v=""/>
    <n v="33400"/>
    <s v="Stadium Municipal, Toulouse"/>
    <s v=""/>
    <x v="5"/>
    <x v="160"/>
    <s v="1–3"/>
    <s v=""/>
    <s v=""/>
    <x v="6"/>
    <x v="6"/>
    <s v="Wilson Oruma · 11"/>
    <s v="Celso Ayala · 1|Miguel Ángel Benítez · 59|José Cardozo · 86"/>
    <s v="['11&amp;rsquor;|1:1|Wilson Oruma']"/>
    <s v="['1&amp;rsquor;|0:1|Celso Ayala|Assist:|Francisco Arce', '59&amp;rsquor;|1:2|Miguel Ángel Benítez|Assist:|Carlos Paredes', '86&amp;rsquor;|1:3|José Cardozo|Assist:|Arístides Rojas']"/>
    <s v=""/>
    <s v=""/>
    <s v=""/>
    <s v=""/>
    <s v=""/>
    <s v=""/>
    <s v=""/>
    <s v=""/>
    <s v=""/>
    <s v=""/>
    <s v=""/>
    <s v=""/>
    <s v=""/>
    <s v=""/>
    <s v="['25&amp;rsquor;|1:1|Augustine Eguavoen', '38&amp;rsquor;|1:1|Benedict Iroha']"/>
    <s v=""/>
    <s v="['46&amp;rsquor;|1:1|Godwin Okpara|for Sunday Oliseh', '68&amp;rsquor;|1:2|Finidi George|for Wilson Oruma']"/>
    <s v="['55&amp;rsquor;|1:1|Julio César Yegros|for Denis Caniza', '67&amp;rsquor;|1:2|Roberto Acuña|for Miguel Ángel Benítez', '77&amp;rsquor;|1:2|Arístides Rojas|for Hugo Brizuela']"/>
  </r>
  <r>
    <s v="Italy"/>
    <s v="Austria"/>
    <n v="2"/>
    <m/>
    <m/>
    <n v="1"/>
    <m/>
    <m/>
    <s v="Cesare Maldini"/>
    <s v=""/>
    <s v="Herbert Prohaska"/>
    <s v=""/>
    <n v="80000"/>
    <s v="Stade de France, Paris"/>
    <s v=""/>
    <x v="5"/>
    <x v="161"/>
    <s v="2–1"/>
    <s v=""/>
    <s v=""/>
    <x v="6"/>
    <x v="6"/>
    <s v="Christian Vieri · 49|Roberto Baggio · 90"/>
    <s v=""/>
    <s v="['49&amp;rsquor;|1:0|Christian Vieri|Assist:|Alessandro Del Piero', '90&amp;rsquor;|2:1|Roberto Baggio|Assist:|Filippo Inzaghi']"/>
    <s v=""/>
    <s v=""/>
    <s v=""/>
    <s v=""/>
    <s v="Andreas Herzog (P) · 90"/>
    <s v=""/>
    <s v=""/>
    <s v=""/>
    <s v=""/>
    <s v=""/>
    <s v=""/>
    <s v=""/>
    <s v=""/>
    <s v=""/>
    <s v=""/>
    <s v="['87&amp;rsquor;|1:0|Paolo Maldini']"/>
    <s v="['3&amp;rsquor;|0:0|Wolfgang Feiersinger', '35&amp;rsquor;|0:0|Ivica Vastić', '43&amp;rsquor;|0:0|Peter Schöttel', '88&amp;rsquor;|1:0|Hannes Reinmayr']"/>
    <s v="['4&amp;rsquor;|0:0|Giuseppe Bergomi|for Alessandro Nesta', '60&amp;rsquor;|1:0|Filippo Inzaghi|for Christian Vieri', '72&amp;rsquor;|1:0|Roberto Baggio|for Alessandro Del Piero']"/>
    <s v="['62&amp;rsquor;|1:0|Mario Haas|for Toni Polster', '73&amp;rsquor;|1:0|Peter Stöger|for Dietmar Kühbauer', '80&amp;rsquor;|1:0|Andreas Herzog|for Heimo Pfeifenberger']"/>
  </r>
  <r>
    <s v="Chile"/>
    <s v="Cameroon"/>
    <n v="1"/>
    <m/>
    <m/>
    <n v="1"/>
    <m/>
    <m/>
    <s v="Nelson Acosta"/>
    <s v=""/>
    <s v="Claude Le Roy"/>
    <s v=""/>
    <n v="39500"/>
    <s v="Stade de la Beaujoire - Louis Fonteneau, Nantes"/>
    <s v=""/>
    <x v="5"/>
    <x v="161"/>
    <s v="1–1"/>
    <s v=""/>
    <s v=""/>
    <x v="6"/>
    <x v="6"/>
    <s v="José Luis Sierra · 20"/>
    <s v="Patrick M'Boma · 56"/>
    <s v="['20&amp;rsquor;|1:0|José Luis Sierra']"/>
    <s v="[&quot;56&amp;rsquor;|1:1|Patrick M'Boma|Assist:|François Omam-Biyik&quot;]"/>
    <s v=""/>
    <s v=""/>
    <s v=""/>
    <s v=""/>
    <s v=""/>
    <s v=""/>
    <s v=""/>
    <s v=""/>
    <s v=""/>
    <s v=""/>
    <s v=""/>
    <s v="Rigobert Song · 51|Lauren · 88"/>
    <s v=""/>
    <s v=""/>
    <s v="['50&amp;rsquor;|1:0|Nelson Parraguez', '55&amp;rsquor;|1:0|Francisco Rojas Rojas', '67&amp;rsquor;|1:1|Moisés Villarroel', '89&amp;rsquor;|1:1|Miguel Ramírez']"/>
    <s v="['8&amp;rsquor;|0:0|Rigobert Song']"/>
    <s v="['70&amp;rsquor;|1:1|Fabián Estay|for José Luis Sierra', '70&amp;rsquor;|1:1|Fernando Cornejo|for Moisés Villarroel', '77&amp;rsquor;|1:1|Miguel Ramírez|for Francisco Rojas Rojas']"/>
    <s v="['68&amp;rsquor;|1:1|Didier Angibeaud|for Salomon Olembé', '72&amp;rsquor;|1:1|Alphonse Tchami|for Joseph-Désiré Job', &quot;82&amp;rsquor;|1:1|Lauren|for Joseph N'Do&quot;]"/>
  </r>
  <r>
    <s v="Brazil"/>
    <s v="Norway"/>
    <n v="1"/>
    <m/>
    <m/>
    <n v="2"/>
    <m/>
    <m/>
    <s v="Mário Zagallo"/>
    <s v=""/>
    <s v="Egil Olsen"/>
    <s v=""/>
    <n v="57000"/>
    <s v="Orange Vélodrome, Marseille"/>
    <s v=""/>
    <x v="5"/>
    <x v="161"/>
    <s v="1–2"/>
    <s v=""/>
    <s v=""/>
    <x v="6"/>
    <x v="6"/>
    <s v="Bebeto · 78"/>
    <s v="Tore André Flo · 83"/>
    <s v="['78&amp;rsquor;|1:0|Bebeto|Assist:|Denílson Custódio Machado']"/>
    <s v="['83&amp;rsquor;|1:1|Tore André Flo|Assist:|Stig Inge Bjørnebye']"/>
    <s v=""/>
    <s v=""/>
    <s v=""/>
    <s v="Kjetil Rekdal (P) · 89"/>
    <s v=""/>
    <s v=""/>
    <s v=""/>
    <s v=""/>
    <s v=""/>
    <s v=""/>
    <s v=""/>
    <s v=""/>
    <s v=""/>
    <s v=""/>
    <s v=""/>
    <s v="['54&amp;rsquor;|0:0|Øyvind Leonhardsen', '61&amp;rsquor;|0:0|Tore André Flo']"/>
    <s v=""/>
    <s v="['46&amp;rsquor;|0:0|Erik Mykland|for Roar Strand', '68&amp;rsquor;|0:0|Ole Gunnar Solskjær|for Håvard Flo', '79&amp;rsquor;|1:0|Jostein Flo|for Vidar Riseth']"/>
  </r>
  <r>
    <s v="Scotland"/>
    <s v="Morocco"/>
    <n v="0"/>
    <m/>
    <m/>
    <n v="3"/>
    <m/>
    <m/>
    <s v="Craig Brown"/>
    <s v=""/>
    <s v="Henri Michel"/>
    <s v=""/>
    <n v="36000"/>
    <s v="Stade Geoffroy-Guichard, Saint-Étienne"/>
    <s v=""/>
    <x v="5"/>
    <x v="161"/>
    <s v="0–3"/>
    <s v=""/>
    <s v=""/>
    <x v="6"/>
    <x v="6"/>
    <s v=""/>
    <s v="Salaheddine Bassir · 23|Abdeljalil Hadda · 47|Salaheddine Bassir · 85"/>
    <s v=""/>
    <s v="['23&amp;rsquor;|0:1|Salaheddine Bassir|Assist:|Tahar El Khalej', '47&amp;rsquor;|0:2|Abdeljalil Hadda|Assist:|Mustapha Hadji', '85&amp;rsquor;|0:3|Salaheddine Bassir|Assist:|Abdeljalil Hadda']"/>
    <s v=""/>
    <s v=""/>
    <s v=""/>
    <s v=""/>
    <s v=""/>
    <s v=""/>
    <s v=""/>
    <s v=""/>
    <s v=""/>
    <s v=""/>
    <s v="Craig Burley · 53"/>
    <s v=""/>
    <s v=""/>
    <s v=""/>
    <s v="['21&amp;rsquor;|0:0|Kevin Gallacher']"/>
    <s v="['81&amp;rsquor;|0:2|Youssef Chippo']"/>
    <s v="['54&amp;rsquor;|0:2|Tosh McKinlay|for Jackie McNamara', '83&amp;rsquor;|0:2|Scott Booth|for Gordon Durie']"/>
    <s v="['72&amp;rsquor;|0:2|Youssef Rossi|for Abdelilah Saber', '76&amp;rsquor;|0:2|Rachid Azzouzi|for Gharib Amzine', '87&amp;rsquor;|0:3|Jamal Sellami|for Youssef Chippo']"/>
  </r>
  <r>
    <s v="Colombia"/>
    <s v="Tunisia"/>
    <n v="1"/>
    <m/>
    <m/>
    <n v="0"/>
    <m/>
    <m/>
    <s v="Hernán Darío Gómez"/>
    <s v=""/>
    <s v="Henryk Kasperczak"/>
    <s v=""/>
    <n v="35500"/>
    <s v="Stade de la Mosson, Montpellier"/>
    <s v=""/>
    <x v="5"/>
    <x v="162"/>
    <s v="1–0"/>
    <s v=""/>
    <s v=""/>
    <x v="6"/>
    <x v="6"/>
    <s v="Léider Preciado · 83"/>
    <s v=""/>
    <s v="['83&amp;rsquor;|1:0|Léider Preciado|Assist:|Carlos Valderrama']"/>
    <s v=""/>
    <s v=""/>
    <s v=""/>
    <s v=""/>
    <s v=""/>
    <s v=""/>
    <s v=""/>
    <s v=""/>
    <s v=""/>
    <s v=""/>
    <s v=""/>
    <s v=""/>
    <s v=""/>
    <s v=""/>
    <s v=""/>
    <s v="['18&amp;rsquor;|0:0|José Santa']"/>
    <s v="['16&amp;rsquor;|0:0|Riadh Bouazizi', '16&amp;rsquor;|0:0|Raouf Bouzaiene', '83&amp;rsquor;|0:0|José Clayton']"/>
    <s v="['56&amp;rsquor;|0:0|Léider Preciado|for Adolfo Valencia', '56&amp;rsquor;|0:0|Víctor Aristizábal|for Freddy Rincón', '62&amp;rsquor;|0:0|Jorge Bolaño|for Mauricio Serna']"/>
    <s v="['68&amp;rsquor;|0:0|Imed Ben Younes|for Adel Sellimi', '73&amp;rsquor;|0:0|Faysal Ben Ahmed|for Zoubeir Baya', '76&amp;rsquor;|0:0|Kaies Ghodhbane|for Tarek Thabet']"/>
  </r>
  <r>
    <s v="Romania"/>
    <s v="England"/>
    <n v="2"/>
    <m/>
    <m/>
    <n v="1"/>
    <m/>
    <m/>
    <s v="Anghel Iordănescu"/>
    <s v=""/>
    <s v="Glenn Hoddle"/>
    <s v=""/>
    <n v="33140"/>
    <s v="Stadium Municipal, Toulouse"/>
    <s v=""/>
    <x v="5"/>
    <x v="162"/>
    <s v="2–1"/>
    <s v=""/>
    <s v=""/>
    <x v="6"/>
    <x v="6"/>
    <s v="Viorel Moldovan · 47|Dan Petrescu · 90"/>
    <s v="Michael Owen · 83"/>
    <s v="['47&amp;rsquor;|1:0|Viorel Moldovan|Assist:|Gheorghe Hagi', '90&amp;rsquor;|2:1|Dan Petrescu|Assist:|Dorinel Munteanu']"/>
    <s v="['83&amp;rsquor;|1:1|Michael Owen|Assist:|Alan Shearer']"/>
    <s v=""/>
    <s v=""/>
    <s v=""/>
    <s v=""/>
    <s v=""/>
    <s v=""/>
    <s v=""/>
    <s v=""/>
    <s v=""/>
    <s v=""/>
    <s v=""/>
    <s v=""/>
    <s v=""/>
    <s v=""/>
    <s v="['4&amp;rsquor;|0:0|Gheorghe Hagi', '46&amp;rsquor;|0:0|Gheorghe Popescu', '78&amp;rsquor;|1:0|Liviu Ciobotariu', '88&amp;rsquor;|1:1|Iulian Filipescu']"/>
    <s v=""/>
    <s v="['72&amp;rsquor;|1:0|Ovidiu Stîngă|for Gheorghe Hagi', '81&amp;rsquor;|1:0|Lucian Marinescu|for Ovidiu Stîngă', '86&amp;rsquor;|1:1|Marius Lăcătuș|for Viorel Moldovan']"/>
    <s v="['32&amp;rsquor;|0:0|David Beckham|for Paul Ince', '72&amp;rsquor;|1:0|Michael Owen|for Teddy Sheringham']"/>
  </r>
  <r>
    <s v="Germany"/>
    <s v="FR Yugoslavia"/>
    <n v="2"/>
    <m/>
    <m/>
    <n v="2"/>
    <m/>
    <m/>
    <s v="Berti Vogts"/>
    <s v=""/>
    <s v="Slobodan Santrač"/>
    <s v=""/>
    <n v="41275"/>
    <s v="Stade Bollaert-Delelis, Lens"/>
    <s v=""/>
    <x v="5"/>
    <x v="163"/>
    <s v="2–2"/>
    <s v=""/>
    <s v=""/>
    <x v="6"/>
    <x v="6"/>
    <s v="Oliver Bierhoff · 80"/>
    <s v="Predrag Mijatović · 13|Dragan Stojković · 54"/>
    <s v="['80&amp;rsquor;|2:2|Oliver Bierhoff|Assist:|Olaf Thon']"/>
    <s v="['13&amp;rsquor;|0:1|Predrag Mijatović', '54&amp;rsquor;|0:2|Dragan Stojković']"/>
    <s v="Siniša Mihajlović (OG) · 72"/>
    <s v=""/>
    <s v=""/>
    <s v=""/>
    <s v=""/>
    <s v=""/>
    <s v=""/>
    <s v=""/>
    <s v=""/>
    <s v=""/>
    <s v=""/>
    <s v=""/>
    <s v=""/>
    <s v=""/>
    <s v="['75&amp;rsquor;|1:2|Lothar Matthäus']"/>
    <s v=""/>
    <s v="['46&amp;rsquor;|0:1|Lothar Matthäus|for Dietmar Hamann', '57&amp;rsquor;|0:2|Ulf Kirsten|for Andreas Möller', '66&amp;rsquor;|0:2|Michael Tarnat|for Christian Ziege']"/>
    <s v="['57&amp;rsquor;|0:2|Perica Ognjenović|for Darko Kovačević', '66&amp;rsquor;|0:2|Dejan Govedarica|for Dejan Stanković', '74&amp;rsquor;|1:2|Miroslav Stević|for Željko Petrović']"/>
  </r>
  <r>
    <s v="Argentina"/>
    <s v="Jamaica"/>
    <n v="5"/>
    <m/>
    <m/>
    <n v="0"/>
    <m/>
    <m/>
    <s v="Daniel Passarella"/>
    <s v=""/>
    <s v="René Simões"/>
    <s v=""/>
    <n v="45500"/>
    <s v="Parc des Princes, Paris"/>
    <s v=""/>
    <x v="5"/>
    <x v="163"/>
    <s v="5–0"/>
    <s v=""/>
    <s v=""/>
    <x v="6"/>
    <x v="6"/>
    <s v="Ariel Ortega · 32|Ariel Ortega · 55|Gabriel Batistuta · 72|Gabriel Batistuta · 79"/>
    <s v=""/>
    <s v="['32&amp;rsquor;|1:0|Ariel Ortega|Assist:|Juan Sebastián Verón', '55&amp;rsquor;|2:0|Ariel Ortega|Assist:|Claudio López', '72&amp;rsquor;|3:0|Gabriel Batistuta|Assist:|Ariel Ortega', '79&amp;rsquor;|4:0|Gabriel Batistuta|Assist:|Claudio López']"/>
    <s v=""/>
    <s v=""/>
    <s v=""/>
    <s v="Gabriel Batistuta (P) · 83"/>
    <s v=""/>
    <s v=""/>
    <s v=""/>
    <s v=""/>
    <s v=""/>
    <s v=""/>
    <s v=""/>
    <s v=""/>
    <s v=""/>
    <s v=""/>
    <s v="Darryl Powell · 45"/>
    <s v="['65&amp;rsquor;|2:0|José Chamot']"/>
    <s v="['4&amp;rsquor;|0:0|Darryl Powell', '88&amp;rsquor;|5:0|Peter Cargill']"/>
    <s v="['25&amp;rsquor;|0:0|Nelson Vivas|for Roberto Sensini', '75&amp;rsquor;|3:0|Marcelo Gallardo|for Claudio López', '80&amp;rsquor;|4:0|Mauricio Pineda|for Diego Simeone']"/>
    <s v="['46&amp;rsquor;|1:0|Peter Cargill|for Deon Burton', '62&amp;rsquor;|2:0|Walter Boyd|for Stephen Malcolm', '73&amp;rsquor;|3:0|Robbie Earle|for Theodore Whitmore']"/>
  </r>
  <r>
    <s v="United States"/>
    <s v="IR Iran"/>
    <n v="1"/>
    <m/>
    <m/>
    <n v="2"/>
    <m/>
    <m/>
    <s v="Steve Sampson"/>
    <s v=""/>
    <s v="Jalal Talebi"/>
    <s v=""/>
    <n v="43300"/>
    <s v="Matmut Stadium de Gerland, Lyon"/>
    <s v=""/>
    <x v="5"/>
    <x v="163"/>
    <s v="1–2"/>
    <s v=""/>
    <s v=""/>
    <x v="6"/>
    <x v="6"/>
    <s v="Brian McBride · 87"/>
    <s v="Hamid Estili · 40|Mehdi Mahdavikia · 84"/>
    <s v="['87&amp;rsquor;|1:2|Brian McBride|Assist:|Preki']"/>
    <s v="['40&amp;rsquor;|0:1|Hamid Estili|Assist:|Javad Zarincheh', '84&amp;rsquor;|0:2|Mehdi Mahdavikia|Assist:|Ali Daei']"/>
    <s v=""/>
    <s v=""/>
    <s v=""/>
    <s v=""/>
    <s v=""/>
    <s v=""/>
    <s v=""/>
    <s v=""/>
    <s v=""/>
    <s v=""/>
    <s v=""/>
    <s v=""/>
    <s v=""/>
    <s v=""/>
    <s v="['18&amp;rsquor;|0:0|David Regis']"/>
    <s v="['8&amp;rsquor;|0:0|Mehrdad Minavand', '77&amp;rsquor;|0:1|Javad Zarincheh']"/>
    <s v="['57&amp;rsquor;|0:1|Preki|for Tab Ramos', '57&amp;rsquor;|0:1|Earnie Stewart|for Roy Wegerle', '82&amp;rsquor;|0:1|Brian Maisonneuve|for Thomas Dooley']"/>
    <s v="['74&amp;rsquor;|0:1|Alireza Mansourian|for Khodadad Azizi', '75&amp;rsquor;|0:1|Afshin Peyrovani|for Nader Mohammadkhani', '77&amp;rsquor;|0:1|Naeim Saadavi|for Javad Zarincheh']"/>
  </r>
  <r>
    <s v="Japan"/>
    <s v="Croatia"/>
    <n v="0"/>
    <m/>
    <m/>
    <n v="1"/>
    <m/>
    <m/>
    <s v="Takeshi Okada"/>
    <s v=""/>
    <s v="Miroslav Blažević"/>
    <s v=""/>
    <n v="35500"/>
    <s v="Stade de la Beaujoire - Louis Fonteneau, Nantes"/>
    <s v=""/>
    <x v="5"/>
    <x v="164"/>
    <s v="0–1"/>
    <s v=""/>
    <s v=""/>
    <x v="6"/>
    <x v="6"/>
    <s v=""/>
    <s v="Davor Šuker · 77"/>
    <s v=""/>
    <s v="['77&amp;rsquor;|0:1|Davor Šuker|Assist:|Aljoša Asanović']"/>
    <s v=""/>
    <s v=""/>
    <s v=""/>
    <s v=""/>
    <s v=""/>
    <s v=""/>
    <s v=""/>
    <s v=""/>
    <s v=""/>
    <s v=""/>
    <s v=""/>
    <s v=""/>
    <s v=""/>
    <s v=""/>
    <s v="['41&amp;rsquor;|0:0|Hiroshi Nanami', '70&amp;rsquor;|0:0|Eisuke Nakanishi', '89&amp;rsquor;|0:1|Yutaka Akita']"/>
    <s v="['26&amp;rsquor;|0:0|Robert Prosinečki', '83&amp;rsquor;|0:1|Mario Stanić']"/>
    <s v="['61&amp;rsquor;|0:0|Masayuki Okano|for Masashi Nakayama', '79&amp;rsquor;|0:1|Hiroaki Morishima|for Akira Narahashi', '84&amp;rsquor;|0:1|Wagner Lopes|for Hiroshi Nanami']"/>
    <s v="['46&amp;rsquor;|0:0|Goran Vlaović|for Igor Štimac', '67&amp;rsquor;|0:0|Silvio Marić|for Robert Prosinečki', '88&amp;rsquor;|0:1|Igor Tudor|for Mario Stanić']"/>
  </r>
  <r>
    <s v="Belgium"/>
    <s v="Mexico"/>
    <n v="2"/>
    <m/>
    <m/>
    <n v="2"/>
    <m/>
    <m/>
    <s v="Georges Leekens"/>
    <s v=""/>
    <s v="Manuel Lapuente"/>
    <s v=""/>
    <n v="31800"/>
    <s v="Stade Jacques Chaban-Delmas, Bordeaux"/>
    <s v=""/>
    <x v="5"/>
    <x v="164"/>
    <s v="2–2"/>
    <s v=""/>
    <s v=""/>
    <x v="6"/>
    <x v="6"/>
    <s v="Marc Wilmots · 43|Marc Wilmots · 47"/>
    <s v="Carlos Blanco · 62"/>
    <s v="['43&amp;rsquor;|1:0|Marc Wilmots|Assist:|Luís Oliveira', '47&amp;rsquor;|2:0|Marc Wilmots']"/>
    <s v="['62&amp;rsquor;|2:2|Carlos Blanco|Assist:|Ramón Ramírez']"/>
    <s v=""/>
    <s v=""/>
    <s v=""/>
    <s v="Alberto García Aspe (P) · 55"/>
    <s v=""/>
    <s v=""/>
    <s v=""/>
    <s v=""/>
    <s v=""/>
    <s v=""/>
    <s v="Gert Verheyen · 54"/>
    <s v="Pável Pardo · 28"/>
    <s v=""/>
    <s v=""/>
    <s v="['68&amp;rsquor;|2:2|Gordan Vidović']"/>
    <s v="['39&amp;rsquor;|0:0|Ramón Ramírez', '47&amp;rsquor;|1:0|Carlos Blanco']"/>
    <s v="['17&amp;rsquor;|0:0|Gert Verheyen|for Danny Boffin', '67&amp;rsquor;|2:2|Glen De Boeck|for Franky Van der Elst', '77&amp;rsquor;|2:2|Émile Mpenza|for Luc Nilis']"/>
    <s v="['46&amp;rsquor;|1:0|Jesús Arellano|for Francisco Palencia', '57&amp;rsquor;|2:1|Germán Villa|for Jaime Ordiales', '67&amp;rsquor;|2:2|Raúl Lara|for Alberto García Aspe']"/>
  </r>
  <r>
    <s v="Netherlands"/>
    <s v="Korea Republic"/>
    <n v="5"/>
    <m/>
    <m/>
    <n v="0"/>
    <m/>
    <m/>
    <s v="Guus Hiddink"/>
    <s v=""/>
    <s v="Cha Bum-kun"/>
    <s v=""/>
    <n v="55000"/>
    <s v="Orange Vélodrome, Marseille"/>
    <s v=""/>
    <x v="5"/>
    <x v="164"/>
    <s v="5–0"/>
    <s v=""/>
    <s v=""/>
    <x v="6"/>
    <x v="6"/>
    <s v="Phillip Cocu · 38|Marc Overmars · 42|Dennis Bergkamp · 71|Pierre van Hooijdonk · 80|Ronald de Boer · 83"/>
    <s v=""/>
    <s v="['38&amp;rsquor;|1:0|Phillip Cocu|Assist:|Dennis Bergkamp', '42&amp;rsquor;|2:0|Marc Overmars|Assist:|Wim Jonk', '71&amp;rsquor;|3:0|Dennis Bergkamp|Assist:|Aron Winter', '80&amp;rsquor;|4:0|Pierre van Hooijdonk|Assist:|Marc Overmars', '83&amp;rsquor;|5:0|Ronald de Boer|Assist:|Wim Jonk']"/>
    <s v=""/>
    <s v=""/>
    <s v=""/>
    <s v=""/>
    <s v=""/>
    <s v=""/>
    <s v=""/>
    <s v=""/>
    <s v=""/>
    <s v=""/>
    <s v=""/>
    <s v=""/>
    <s v=""/>
    <s v=""/>
    <s v=""/>
    <s v=""/>
    <s v="['26&amp;rsquor;|0:0|Choi Yong-soo', '90&amp;rsquor;|5:0|Ko Jong-soo']"/>
    <s v="['78&amp;rsquor;|3:0|Pierre van Hooijdonk|for Dennis Bergkamp', '80&amp;rsquor;|4:0|Winston Bogarde|for Arthur Numan', '84&amp;rsquor;|5:0|Boudewijn Zenden|for Ronald de Boer']"/>
    <s v="['53&amp;rsquor;|2:0|Kim Tae-young|for Choi Yong-soo', '69&amp;rsquor;|2:0|Ko Jong-soo|for Kim Do-hoon', '77&amp;rsquor;|3:0|Lee Dong-gook|for Seo Jung-won']"/>
  </r>
  <r>
    <s v="Nigeria"/>
    <s v="Bulgaria"/>
    <n v="1"/>
    <m/>
    <m/>
    <n v="0"/>
    <m/>
    <m/>
    <s v="Bora Milutinović"/>
    <s v=""/>
    <s v="Hristo Bonev"/>
    <s v=""/>
    <n v="48000"/>
    <s v="Parc des Princes, Paris"/>
    <s v=""/>
    <x v="5"/>
    <x v="165"/>
    <s v="1–0"/>
    <s v=""/>
    <s v=""/>
    <x v="6"/>
    <x v="6"/>
    <s v="Victor Ikpeba · 26"/>
    <s v=""/>
    <s v="['26&amp;rsquor;|1:0|Victor Ikpeba|Assist:|Daniel Amokachi']"/>
    <s v=""/>
    <s v=""/>
    <s v=""/>
    <s v=""/>
    <s v=""/>
    <s v=""/>
    <s v=""/>
    <s v=""/>
    <s v=""/>
    <s v=""/>
    <s v=""/>
    <s v=""/>
    <s v=""/>
    <s v=""/>
    <s v=""/>
    <s v="['20&amp;rsquor;|0:0|Mutiu Adepoju', '44&amp;rsquor;|1:0|Uche Okechukwu', '49&amp;rsquor;|1:0|Victor Ikpeba', '70&amp;rsquor;|1:0|Jay-Jay Okocha']"/>
    <s v="['66&amp;rsquor;|1:0|Ilian Iliev', '78&amp;rsquor;|1:0|Radostin Kishishev']"/>
    <s v="['67&amp;rsquor;|1:0|Nwankwo Kanu|for Daniel Amokachi', '75&amp;rsquor;|1:0|Rashidi Yekini|for Victor Ikpeba', '84&amp;rsquor;|1:0|Tijani Babangida|for Finidi George']"/>
    <s v="['46&amp;rsquor;|1:0|Daniel Borimirov|for Marian Hristov', '66&amp;rsquor;|1:0|Lyuboslav Penev|for Ilian Iliev', '84&amp;rsquor;|1:0|Georgi Bachev|for Zlatko Yankov']"/>
  </r>
  <r>
    <s v="Spain"/>
    <s v="Paraguay"/>
    <n v="0"/>
    <m/>
    <m/>
    <n v="0"/>
    <m/>
    <m/>
    <s v="Javier Clemente"/>
    <s v=""/>
    <s v="Paulo César Carpegiani"/>
    <s v=""/>
    <n v="36000"/>
    <s v="Stade Geoffroy-Guichard, Saint-Étienne"/>
    <s v=""/>
    <x v="5"/>
    <x v="165"/>
    <s v="0–0"/>
    <s v=""/>
    <s v=""/>
    <x v="6"/>
    <x v="6"/>
    <s v=""/>
    <s v=""/>
    <s v=""/>
    <s v=""/>
    <s v=""/>
    <s v=""/>
    <s v=""/>
    <s v=""/>
    <s v=""/>
    <s v=""/>
    <s v=""/>
    <s v=""/>
    <s v=""/>
    <s v=""/>
    <s v=""/>
    <s v=""/>
    <s v=""/>
    <s v=""/>
    <s v="['8&amp;rsquor;|0:0|Sergi Barjuán', '87&amp;rsquor;|0:0|Kiko']"/>
    <s v="['30&amp;rsquor;|0:0|Celso Ayala', '76&amp;rsquor;|0:0|Francisco Arce']"/>
    <s v="['52&amp;rsquor;|0:0|Fernando Morientes|for Juan Antonio Pizzi', '56&amp;rsquor;|0:0|Albert Celades|for Abelardo Fernández', '65&amp;rsquor;|0:0|Kiko|for Raúl']"/>
    <s v="['46&amp;rsquor;|0:0|Carlos Paredes|for Jorge Luis Campos', '73&amp;rsquor;|0:0|Julio César Yegros|for Roberto Acuña', '83&amp;rsquor;|0:0|César Augusto Ramírez|for Arístides Rojas']"/>
  </r>
  <r>
    <s v="South Africa"/>
    <s v="Denmark"/>
    <n v="1"/>
    <m/>
    <m/>
    <n v="1"/>
    <m/>
    <m/>
    <s v="Philippe Troussier"/>
    <s v=""/>
    <s v="Bo Johansson"/>
    <s v=""/>
    <n v="33500"/>
    <s v="Stadium Municipal, Toulouse"/>
    <s v=""/>
    <x v="5"/>
    <x v="166"/>
    <s v="1–1"/>
    <s v=""/>
    <s v=""/>
    <x v="6"/>
    <x v="6"/>
    <s v="Benni McCarthy · 52"/>
    <s v="Allan Nielsen · 13"/>
    <s v="['52&amp;rsquor;|1:1|Benni McCarthy|Assist:|Shaun Bartlett']"/>
    <s v="['13&amp;rsquor;|0:1|Allan Nielsen|Assist:|Brian Laudrup']"/>
    <s v=""/>
    <s v=""/>
    <s v=""/>
    <s v=""/>
    <s v=""/>
    <s v=""/>
    <s v=""/>
    <s v=""/>
    <s v=""/>
    <s v=""/>
    <s v="Alfred Phiri · 68"/>
    <s v="Miklos Molnar · 66|Morten Wieghorst · 85"/>
    <s v=""/>
    <s v=""/>
    <s v="['28&amp;rsquor;|0:1|David Nyathi', '63&amp;rsquor;|1:1|Pierre Issa', '65&amp;rsquor;|1:1|Alfred Phiri', '73&amp;rsquor;|1:1|Lucas Radebe']"/>
    <s v="['23&amp;rsquor;|0:1|Michael Schjønberg', '56&amp;rsquor;|1:1|Jes Høgh', '57&amp;rsquor;|1:1|Peter Schmeichel']"/>
    <s v="['46&amp;rsquor;|0:1|Alfred Phiri|for Brendan Augustine', '77&amp;rsquor;|1:1|Phil Masinga|for Shaun Bartlett', '88&amp;rsquor;|1:1|Delron Buckley|for David Nyathi']"/>
    <s v="['58&amp;rsquor;|1:1|Miklos Molnar|for Ebbe Sand', '58&amp;rsquor;|1:1|Jan Heintze|for Michael Laudrup', '82&amp;rsquor;|1:1|Morten Wieghorst|for Michael Schjønberg']"/>
  </r>
  <r>
    <s v="France"/>
    <s v="Saudi Arabia"/>
    <n v="4"/>
    <m/>
    <m/>
    <n v="0"/>
    <m/>
    <m/>
    <s v="Aimé Jacquet"/>
    <s v=""/>
    <s v="Carlos Alberto Parreira"/>
    <s v=""/>
    <n v="80000"/>
    <s v="Stade de France, Paris"/>
    <s v=""/>
    <x v="5"/>
    <x v="166"/>
    <s v="4–0"/>
    <s v=""/>
    <s v=""/>
    <x v="6"/>
    <x v="6"/>
    <s v="Thierry Henry · 36|David Trezeguet · 68|Thierry Henry · 77|Bixente Lizarazu · 85"/>
    <s v=""/>
    <s v="['36&amp;rsquor;|1:0|Thierry Henry|Assist:|Bixente Lizarazu', '68&amp;rsquor;|2:0|David Trezeguet', '77&amp;rsquor;|3:0|Thierry Henry', '85&amp;rsquor;|4:0|Bixente Lizarazu|Assist:|Youri Djorkaeff']"/>
    <s v=""/>
    <s v=""/>
    <s v=""/>
    <s v=""/>
    <s v=""/>
    <s v=""/>
    <s v=""/>
    <s v=""/>
    <s v=""/>
    <s v=""/>
    <s v=""/>
    <s v="Zinédine Zidane · 71"/>
    <s v="Mohammed Al Khilaiwi · 19"/>
    <s v=""/>
    <s v=""/>
    <s v="['36&amp;rsquor;|0:0|Laurent Blanc', '50&amp;rsquor;|1:0|Bixente Lizarazu']"/>
    <s v="['7&amp;rsquor;|0:0|Mohammed Al-Jahani', '82&amp;rsquor;|3:0|Sami Al-Jaber']"/>
    <s v="['30&amp;rsquor;|0:0|David Trezeguet|for Christophe Dugarry', '58&amp;rsquor;|1:0|Youri Djorkaeff|for Bernard Diomède', '79&amp;rsquor;|3:0|Robert Pirès|for Thierry Henry']"/>
    <s v="['33&amp;rsquor;|0:0|Ibrahim Al-Harbi|for Saeed Al-Owairan', '65&amp;rsquor;|1:0|Khaled Al-Muwallid|for Ibrahim Al-Harbi', '76&amp;rsquor;|2:0|Ahmed Dokhi|for Mohammed Al-Jahani']"/>
  </r>
  <r>
    <s v="Chile"/>
    <s v="Austria"/>
    <n v="1"/>
    <m/>
    <m/>
    <n v="1"/>
    <m/>
    <m/>
    <s v="Nelson Acosta"/>
    <s v=""/>
    <s v="Herbert Prohaska"/>
    <s v=""/>
    <n v="36000"/>
    <s v="Stade Geoffroy-Guichard, Saint-Étienne"/>
    <s v=""/>
    <x v="5"/>
    <x v="167"/>
    <s v="1–1"/>
    <s v=""/>
    <s v=""/>
    <x v="6"/>
    <x v="6"/>
    <s v="Marcelo Salas · 70"/>
    <s v="Ivica Vastić · 90"/>
    <s v="['70&amp;rsquor;|1:0|Marcelo Salas']"/>
    <s v="['90&amp;rsquor;|1:1|Ivica Vastić|Assist:|Roman Mählich']"/>
    <s v=""/>
    <s v=""/>
    <s v=""/>
    <s v=""/>
    <s v=""/>
    <s v=""/>
    <s v=""/>
    <s v=""/>
    <s v=""/>
    <s v=""/>
    <s v=""/>
    <s v=""/>
    <s v=""/>
    <s v=""/>
    <s v="['16&amp;rsquor;|0:0|Moisés Villarroel', '47&amp;rsquor;|0:0|Fabián Estay', '58&amp;rsquor;|0:0|Marcelo Salas', '74&amp;rsquor;|1:0|Iván Zamorano']"/>
    <s v="['26&amp;rsquor;|0:0|Peter Schöttel']"/>
    <s v="['56&amp;rsquor;|0:0|José Luis Sierra|for Fabián Estay', '69&amp;rsquor;|0:0|Cristián Castañeda|for Moisés Villarroel']"/>
    <s v="['46&amp;rsquor;|0:0|Markus Schopp|for Harald Cerny', '46&amp;rsquor;|0:0|Andreas Herzog|for Dietmar Kühbauer', '73&amp;rsquor;|1:0|Ivica Vastić|for Mario Haas']"/>
  </r>
  <r>
    <s v="Italy"/>
    <s v="Cameroon"/>
    <n v="3"/>
    <m/>
    <m/>
    <n v="0"/>
    <m/>
    <m/>
    <s v="Cesare Maldini"/>
    <s v=""/>
    <s v="Claude Le Roy"/>
    <s v=""/>
    <n v="35500"/>
    <s v="Stade de la Mosson, Montpellier"/>
    <s v=""/>
    <x v="5"/>
    <x v="167"/>
    <s v="3–0"/>
    <s v=""/>
    <s v=""/>
    <x v="6"/>
    <x v="6"/>
    <s v="Luigi Di Biagio · 7|Christian Vieri · 75|Christian Vieri · 89"/>
    <s v=""/>
    <s v="['7&amp;rsquor;|1:0|Luigi Di Biagio|Assist:|Roberto Baggio', '75&amp;rsquor;|2:0|Christian Vieri|Assist:|Francesco Moriero', '89&amp;rsquor;|3:0|Christian Vieri']"/>
    <s v=""/>
    <s v=""/>
    <s v=""/>
    <s v=""/>
    <s v=""/>
    <s v=""/>
    <s v=""/>
    <s v=""/>
    <s v=""/>
    <s v=""/>
    <s v=""/>
    <s v=""/>
    <s v="Raymond Kalla · 42"/>
    <s v=""/>
    <s v=""/>
    <s v="['26&amp;rsquor;|1:0|Alessandro Costacurta', '63&amp;rsquor;|1:0|Luigi Di Biagio']"/>
    <s v="['6&amp;rsquor;|0:0|Pierre Womé', '16&amp;rsquor;|1:0|Pierre Njanka', '79&amp;rsquor;|2:0|Didier Angibeaud', '85&amp;rsquor;|2:0|Rigobert Song']"/>
    <s v="['62&amp;rsquor;|1:0|Roberto Di Matteo|for Demetrio Albertini', '65&amp;rsquor;|1:0|Alessandro Del Piero|for Roberto Baggio', '83&amp;rsquor;|2:0|Angelo Di Livio|for Francesco Moriero']"/>
    <s v="['46&amp;rsquor;|1:0|Joseph-Désiré Job|for Samuel Ipoua', '66&amp;rsquor;|1:0|Alphonse Tchami|for François Omam-Biyik', &quot;66&amp;rsquor;|1:0|Samuel Eto'o|for Patrick M'Boma&quot;]"/>
  </r>
  <r>
    <s v="Scotland"/>
    <s v="Norway"/>
    <n v="1"/>
    <m/>
    <m/>
    <n v="1"/>
    <m/>
    <m/>
    <s v="Craig Brown"/>
    <s v=""/>
    <s v="Egil Olsen"/>
    <s v=""/>
    <n v="31800"/>
    <s v="Stade Jacques Chaban-Delmas, Bordeaux"/>
    <s v=""/>
    <x v="5"/>
    <x v="168"/>
    <s v="1–1"/>
    <s v=""/>
    <s v=""/>
    <x v="6"/>
    <x v="6"/>
    <s v="Craig Burley · 66"/>
    <s v="Håvard Flo · 46"/>
    <s v="['66&amp;rsquor;|1:1|Craig Burley|Assist:|David Weir']"/>
    <s v="['46&amp;rsquor;|0:1|Håvard Flo|Assist:|Vidar Riseth']"/>
    <s v=""/>
    <s v=""/>
    <s v=""/>
    <s v=""/>
    <s v=""/>
    <s v=""/>
    <s v=""/>
    <s v=""/>
    <s v=""/>
    <s v=""/>
    <s v=""/>
    <s v=""/>
    <s v=""/>
    <s v=""/>
    <s v="['24&amp;rsquor;|0:0|Gordon Durie', '56&amp;rsquor;|0:1|Darren Jackson']"/>
    <s v="['53&amp;rsquor;|0:1|Kjetil Rekdal', '58&amp;rsquor;|0:1|Henning Berg']"/>
    <s v="['59&amp;rsquor;|0:1|David Weir|for Colin Calderwood', '61&amp;rsquor;|0:1|Jackie McNamara|for Darren Jackson']"/>
    <s v="['60&amp;rsquor;|0:1|Mini Jakobsen|for Håvard Flo', '71&amp;rsquor;|1:1|Egil Østenstad|for Vidar Riseth', '81&amp;rsquor;|1:1|Gunnar Halle|for Henning Berg']"/>
  </r>
  <r>
    <s v="Brazil"/>
    <s v="Morocco"/>
    <n v="3"/>
    <m/>
    <m/>
    <n v="0"/>
    <m/>
    <m/>
    <s v="Mário Zagallo"/>
    <s v=""/>
    <s v="Henri Michel"/>
    <s v=""/>
    <n v="38500"/>
    <s v="Stade de la Beaujoire - Louis Fonteneau, Nantes"/>
    <s v=""/>
    <x v="5"/>
    <x v="168"/>
    <s v="3–0"/>
    <s v=""/>
    <s v=""/>
    <x v="6"/>
    <x v="6"/>
    <s v="Ronaldo · 9|Rivaldo · 45|Bebeto · 50"/>
    <s v=""/>
    <s v="['9&amp;rsquor;|1:0|Ronaldo|Assist:|Rivaldo', '45&amp;rsquor;|2:0|Rivaldo|Assist:|Cafú', '50&amp;rsquor;|3:0|Bebeto|Assist:|Ronaldo']"/>
    <s v=""/>
    <s v=""/>
    <s v=""/>
    <s v=""/>
    <s v=""/>
    <s v=""/>
    <s v=""/>
    <s v=""/>
    <s v=""/>
    <s v=""/>
    <s v=""/>
    <s v=""/>
    <s v=""/>
    <s v=""/>
    <s v=""/>
    <s v="['36&amp;rsquor;|1:0|César Sampaio', '87&amp;rsquor;|3:0|Júnior Baiano']"/>
    <s v="['32&amp;rsquor;|1:0|Abdeljalil Hadda', '64&amp;rsquor;|3:0|Saïd Chiba']"/>
    <s v="['68&amp;rsquor;|3:0|Doriva|for César Sampaio', '72&amp;rsquor;|3:0|Edmundo|for Bebeto', '87&amp;rsquor;|3:0|Denílson Custódio Machado|for Rivaldo']"/>
    <s v="['76&amp;rsquor;|3:0|Gharib Amzine|for Saïd Chiba', '76&amp;rsquor;|3:0|Lahcen Abrami|for Abdelilah Saber', '88&amp;rsquor;|3:0|Ali Elkhattabi|for Abdeljalil Hadda']"/>
  </r>
  <r>
    <s v="England"/>
    <s v="Tunisia"/>
    <n v="2"/>
    <m/>
    <m/>
    <n v="0"/>
    <m/>
    <m/>
    <s v="Glenn Hoddle"/>
    <s v=""/>
    <s v="Henryk Kasperczak"/>
    <s v=""/>
    <n v="54587"/>
    <s v="Orange Vélodrome, Marseille"/>
    <s v=""/>
    <x v="5"/>
    <x v="169"/>
    <s v="2–0"/>
    <s v=""/>
    <s v=""/>
    <x v="6"/>
    <x v="6"/>
    <s v="Alan Shearer · 43|Paul Scholes · 89"/>
    <s v=""/>
    <s v="['43&amp;rsquor;|1:0|Alan Shearer|Assist:|Graeme Le Saux', '89&amp;rsquor;|2:0|Paul Scholes']"/>
    <s v=""/>
    <s v=""/>
    <s v=""/>
    <s v=""/>
    <s v=""/>
    <s v=""/>
    <s v=""/>
    <s v=""/>
    <s v=""/>
    <s v=""/>
    <s v=""/>
    <s v=""/>
    <s v=""/>
    <s v=""/>
    <s v=""/>
    <s v="['88&amp;rsquor;|1:0|Sol Campbell']"/>
    <s v="['48&amp;rsquor;|1:0|José Clayton', '70&amp;rsquor;|1:0|Imed Ben Younes', '87&amp;rsquor;|1:0|Kaies Ghodhbane']"/>
    <s v="['85&amp;rsquor;|1:0|Michael Owen|for Teddy Sheringham']"/>
    <s v="['46&amp;rsquor;|1:0|Zoubeir Baya|for Skander Souayah', '65&amp;rsquor;|1:0|Imed Ben Younes|for Mehdi Ben Slimane', '79&amp;rsquor;|1:0|Tarek Thabet|for Hatem Trabelsi']"/>
  </r>
  <r>
    <s v="Romania"/>
    <s v="Colombia"/>
    <n v="1"/>
    <m/>
    <m/>
    <n v="0"/>
    <m/>
    <m/>
    <s v="Anghel Iordănescu"/>
    <s v=""/>
    <s v="Hernán Darío Gómez"/>
    <s v=""/>
    <n v="43300"/>
    <s v="Matmut Stadium de Gerland, Lyon"/>
    <s v=""/>
    <x v="5"/>
    <x v="169"/>
    <s v="1–0"/>
    <s v=""/>
    <s v=""/>
    <x v="6"/>
    <x v="6"/>
    <s v="Adrian Ilie · 45"/>
    <s v=""/>
    <s v="['45&amp;rsquor;|1:0|Adrian Ilie']"/>
    <s v=""/>
    <s v=""/>
    <s v=""/>
    <s v=""/>
    <s v=""/>
    <s v=""/>
    <s v=""/>
    <s v=""/>
    <s v=""/>
    <s v=""/>
    <s v=""/>
    <s v=""/>
    <s v=""/>
    <s v=""/>
    <s v=""/>
    <s v="['54&amp;rsquor;|1:0|Iulian Filipescu', '69&amp;rsquor;|1:0|Dorinel Munteanu', '78&amp;rsquor;|1:0|Dan Petrescu']"/>
    <s v="['47&amp;rsquor;|1:0|José Santa']"/>
    <s v="['68&amp;rsquor;|1:0|Ovidiu Stîngă|for Gabriel Popescu', '76&amp;rsquor;|1:0|Lucian Marinescu|for Gheorghe Hagi', '84&amp;rsquor;|1:0|Radu Niculescu|for Viorel Moldovan']"/>
    <s v="['46&amp;rsquor;|1:0|Adolfo Valencia|for Víctor Aristizábal', '84&amp;rsquor;|1:0|Léider Preciado|for Faustino Asprilla']"/>
  </r>
  <r>
    <s v="Germany"/>
    <s v="United States"/>
    <n v="2"/>
    <m/>
    <m/>
    <n v="0"/>
    <m/>
    <m/>
    <s v="Berti Vogts"/>
    <s v=""/>
    <s v="Steve Sampson"/>
    <s v=""/>
    <n v="49000"/>
    <s v="Parc des Princes, Paris"/>
    <s v=""/>
    <x v="5"/>
    <x v="169"/>
    <s v="2–0"/>
    <s v=""/>
    <s v=""/>
    <x v="6"/>
    <x v="6"/>
    <s v="Andreas Möller · 9|Jürgen Klinsmann · 65"/>
    <s v=""/>
    <s v="['9&amp;rsquor;|1:0|Andreas Möller|Assist:|Jürgen Klinsmann', '65&amp;rsquor;|2:0|Jürgen Klinsmann|Assist:|Oliver Bierhoff']"/>
    <s v=""/>
    <s v=""/>
    <s v=""/>
    <s v=""/>
    <s v=""/>
    <s v=""/>
    <s v=""/>
    <s v=""/>
    <s v=""/>
    <s v=""/>
    <s v=""/>
    <s v=""/>
    <s v=""/>
    <s v=""/>
    <s v=""/>
    <s v="['30&amp;rsquor;|1:0|Jens Jeremies', '77&amp;rsquor;|2:0|Dietmar Hamann', '84&amp;rsquor;|2:0|Jörg Heinrich']"/>
    <s v="['50&amp;rsquor;|1:0|Frankie Hejduk', '85&amp;rsquor;|2:0|Eddie Pope']"/>
    <s v="['50&amp;rsquor;|1:0|Dietmar Hamann|for Thomas Häßler', '70&amp;rsquor;|2:0|Christian Ziege|for Stefan Reuter', '89&amp;rsquor;|2:0|Markus Babbel|for Andreas Möller']"/>
    <s v="['46&amp;rsquor;|1:0|Frankie Hejduk|for Mike Burns', '65&amp;rsquor;|1:0|Roy Wegerle|for Eric Wynalda', '72&amp;rsquor;|2:0|Tab Ramos|for Chad Deering']"/>
  </r>
  <r>
    <s v="Argentina"/>
    <s v="Japan"/>
    <n v="1"/>
    <m/>
    <m/>
    <n v="0"/>
    <m/>
    <m/>
    <s v="Daniel Passarella"/>
    <s v=""/>
    <s v="Takeshi Okada"/>
    <s v=""/>
    <n v="33500"/>
    <s v="Stadium Municipal, Toulouse"/>
    <s v=""/>
    <x v="5"/>
    <x v="170"/>
    <s v="1–0"/>
    <s v=""/>
    <s v=""/>
    <x v="6"/>
    <x v="6"/>
    <s v="Gabriel Batistuta · 28"/>
    <s v=""/>
    <s v="['28&amp;rsquor;|1:0|Gabriel Batistuta']"/>
    <s v=""/>
    <s v=""/>
    <s v=""/>
    <s v=""/>
    <s v=""/>
    <s v=""/>
    <s v=""/>
    <s v=""/>
    <s v=""/>
    <s v=""/>
    <s v=""/>
    <s v=""/>
    <s v=""/>
    <s v=""/>
    <s v=""/>
    <s v=""/>
    <s v="['26&amp;rsquor;|0:0|Masami Ihara', '67&amp;rsquor;|1:0|Eisuke Nakanishi', '90&amp;rsquor;|1:0|Takashi Hirano']"/>
    <s v="['61&amp;rsquor;|1:0|Abel Balbo|for Claudio López', '72&amp;rsquor;|1:0|José Chamot|for Roberto Sensini']"/>
    <s v="['65&amp;rsquor;|1:0|Wagner Lopes|for Masashi Nakayama', '84&amp;rsquor;|1:0|Takashi Hirano|for Naoki Soma']"/>
  </r>
  <r>
    <s v="FR Yugoslavia"/>
    <s v="IR Iran"/>
    <n v="1"/>
    <m/>
    <m/>
    <n v="0"/>
    <m/>
    <m/>
    <s v="Slobodan Santrač"/>
    <s v=""/>
    <s v="Jalal Talebi"/>
    <s v=""/>
    <n v="36000"/>
    <s v="Stade Geoffroy-Guichard, Saint-Étienne"/>
    <s v=""/>
    <x v="5"/>
    <x v="170"/>
    <s v="1–0"/>
    <s v=""/>
    <s v=""/>
    <x v="6"/>
    <x v="6"/>
    <s v="Siniša Mihajlović · 73"/>
    <s v=""/>
    <s v="['73&amp;rsquor;|1:0|Siniša Mihajlović']"/>
    <s v=""/>
    <s v=""/>
    <s v=""/>
    <s v=""/>
    <s v=""/>
    <s v=""/>
    <s v=""/>
    <s v=""/>
    <s v=""/>
    <s v=""/>
    <s v=""/>
    <s v=""/>
    <s v=""/>
    <s v=""/>
    <s v=""/>
    <s v="['42&amp;rsquor;|0:0|Željko Petrović', '60&amp;rsquor;|0:0|Dragan Stojković']"/>
    <s v=""/>
    <s v="['50&amp;rsquor;|0:0|Dejan Stanković|for Branko Brnović', '58&amp;rsquor;|0:0|Perica Ognjenović|for Savo Milošević', '68&amp;rsquor;|0:0|Darko Kovačević|for Dragan Stojković']"/>
    <s v="['68&amp;rsquor;|0:0|Alireza Mansourian|for Hamid Estili']"/>
  </r>
  <r>
    <s v="Jamaica"/>
    <s v="Croatia"/>
    <n v="1"/>
    <m/>
    <m/>
    <n v="3"/>
    <m/>
    <m/>
    <s v="René Simões"/>
    <s v=""/>
    <s v="Miroslav Blažević"/>
    <s v=""/>
    <n v="38100"/>
    <s v="Stade Bollaert-Delelis, Lens"/>
    <s v=""/>
    <x v="5"/>
    <x v="170"/>
    <s v="1–3"/>
    <s v=""/>
    <s v=""/>
    <x v="6"/>
    <x v="6"/>
    <s v="Robbie Earle · 45"/>
    <s v="Mario Stanić · 27|Robert Prosinečki · 53|Davor Šuker · 69"/>
    <s v="['45&amp;rsquor;|1:1|Robbie Earle|Assist:|Ricardo Gardner']"/>
    <s v="['27&amp;rsquor;|0:1|Mario Stanić', '53&amp;rsquor;|1:2|Robert Prosinečki|Assist:|Robert Jarni', '69&amp;rsquor;|1:3|Davor Šuker|Assist:|Mario Stanić']"/>
    <s v=""/>
    <s v=""/>
    <s v=""/>
    <s v=""/>
    <s v=""/>
    <s v=""/>
    <s v=""/>
    <s v=""/>
    <s v=""/>
    <s v=""/>
    <s v=""/>
    <s v=""/>
    <s v=""/>
    <s v=""/>
    <s v="['62&amp;rsquor;|1:2|Deon Burton']"/>
    <s v="['5&amp;rsquor;|0:0|Zvonimir Soldo', '59&amp;rsquor;|1:2|Dario Šimić']"/>
    <s v="['69&amp;rsquor;|1:3|Darryl Powell|for Peter Cargill', '74&amp;rsquor;|1:3|Andy Williams|for Robbie Earle', '81&amp;rsquor;|1:3|Walter Boyd|for Paul Hall']"/>
    <s v="['74&amp;rsquor;|1:3|Goran Vlaović|for Dario Šimić']"/>
  </r>
  <r>
    <s v="Spain"/>
    <s v="Nigeria"/>
    <n v="2"/>
    <m/>
    <m/>
    <n v="3"/>
    <m/>
    <m/>
    <s v="Javier Clemente"/>
    <s v=""/>
    <s v="Bora Milutinović"/>
    <s v=""/>
    <n v="38000"/>
    <s v="Stade de la Beaujoire - Louis Fonteneau, Nantes"/>
    <s v=""/>
    <x v="5"/>
    <x v="171"/>
    <s v="2–3"/>
    <s v=""/>
    <s v=""/>
    <x v="6"/>
    <x v="6"/>
    <s v="Fernando Hierro · 21|Raúl · 47"/>
    <s v="Mutiu Adepoju · 24|Sunday Oliseh · 78"/>
    <s v="['21&amp;rsquor;|1:0|Fernando Hierro', '47&amp;rsquor;|2:1|Raúl|Assist:|Fernando Hierro']"/>
    <s v="['24&amp;rsquor;|1:1|Mutiu Adepoju|Assist:|Garba Lawal', '78&amp;rsquor;|2:3|Sunday Oliseh']"/>
    <s v=""/>
    <s v="Andoni Zubizarreta (OG) · 73"/>
    <s v=""/>
    <s v=""/>
    <s v=""/>
    <s v=""/>
    <s v=""/>
    <s v=""/>
    <s v=""/>
    <s v=""/>
    <s v=""/>
    <s v=""/>
    <s v=""/>
    <s v=""/>
    <s v="['56&amp;rsquor;|2:1|Guillermo Amor', '59&amp;rsquor;|2:1|Miguel Ángel Nadal', '75&amp;rsquor;|2:2|Iván Campo']"/>
    <s v="['62&amp;rsquor;|2:1|Uche Okechukwu']"/>
    <s v="['46&amp;rsquor;|1:1|Guillermo Amor|for Albert Ferrer', '58&amp;rsquor;|2:1|Joseba Etxeberria|for Alfonso Pérez', '77&amp;rsquor;|2:2|Albert Celades|for Miguel Ángel Nadal']"/>
    <s v="['70&amp;rsquor;|2:1|Rashidi Yekini|for Mobi Oparaku', '83&amp;rsquor;|2:3|Tijani Babangida|for Victor Ikpeba', '89&amp;rsquor;|2:3|Godwin Okpara|for Garba Lawal']"/>
  </r>
  <r>
    <s v="Korea Republic"/>
    <s v="Mexico"/>
    <n v="1"/>
    <m/>
    <m/>
    <n v="3"/>
    <m/>
    <m/>
    <s v="Cha Bum-kun"/>
    <s v=""/>
    <s v="Manuel Lapuente"/>
    <s v=""/>
    <n v="39100"/>
    <s v="Matmut Stadium de Gerland, Lyon"/>
    <s v=""/>
    <x v="5"/>
    <x v="171"/>
    <s v="1–3"/>
    <s v=""/>
    <s v=""/>
    <x v="6"/>
    <x v="6"/>
    <s v="Ha Seok-ju · 28"/>
    <s v="Ricardo Peláez · 51|Luis Hernández · 74|Luis Hernández · 84"/>
    <s v="['28&amp;rsquor;|1:0|Ha Seok-ju']"/>
    <s v="['51&amp;rsquor;|1:1|Ricardo Peláez', '74&amp;rsquor;|1:2|Luis Hernández|Assist:|Ramón Ramírez', '84&amp;rsquor;|1:3|Luis Hernández|Assist:|Carlos Blanco']"/>
    <s v=""/>
    <s v=""/>
    <s v=""/>
    <s v=""/>
    <s v=""/>
    <s v=""/>
    <s v=""/>
    <s v=""/>
    <s v=""/>
    <s v=""/>
    <s v="Ha Seok-ju · 30"/>
    <s v=""/>
    <s v=""/>
    <s v=""/>
    <s v="['20&amp;rsquor;|0:0|Lee Min-sung']"/>
    <s v="['26&amp;rsquor;|0:0|Jaime Ordiales', '27&amp;rsquor;|0:0|Alberto García Aspe']"/>
    <s v="['55&amp;rsquor;|1:1|Jang Hyung-seok|for Noh Jung-yoon', '60&amp;rsquor;|1:1|Choi Sung-yong|for Kim Do-keun', '75&amp;rsquor;|1:2|Seo Jung-won|for Ko Jong-soo']"/>
    <s v="['46&amp;rsquor;|1:0|Jesús Arellano|for Braulio Luna', '46&amp;rsquor;|1:0|Ricardo Peláez|for Jaime Ordiales', '70&amp;rsquor;|1:1|Marcelino Bernal|for Alberto García Aspe']"/>
  </r>
  <r>
    <s v="Netherlands"/>
    <s v="Belgium"/>
    <n v="0"/>
    <m/>
    <m/>
    <n v="0"/>
    <m/>
    <m/>
    <s v="Guus Hiddink"/>
    <s v=""/>
    <s v="Georges Leekens"/>
    <s v=""/>
    <n v="77000"/>
    <s v="Stade de France, Paris"/>
    <s v=""/>
    <x v="5"/>
    <x v="171"/>
    <s v="0–0"/>
    <s v=""/>
    <s v=""/>
    <x v="6"/>
    <x v="6"/>
    <s v=""/>
    <s v=""/>
    <s v=""/>
    <s v=""/>
    <s v=""/>
    <s v=""/>
    <s v=""/>
    <s v=""/>
    <s v=""/>
    <s v=""/>
    <s v=""/>
    <s v=""/>
    <s v=""/>
    <s v=""/>
    <s v="Patrick Kluivert · 82"/>
    <s v=""/>
    <s v=""/>
    <s v=""/>
    <s v=""/>
    <s v="['20&amp;rsquor;|0:0|Lorenzo Staelens', '30&amp;rsquor;|0:0|Éric Deflandre']"/>
    <s v="['8&amp;rsquor;|0:0|Dennis Bergkamp|for Jimmy Floyd Hasselbaink', '65&amp;rsquor;|0:0|Boudewijn Zenden|for Clarence Seedorf', '80&amp;rsquor;|0:0|Wim Jonk|for Ronald de Boer']"/>
    <s v="['22&amp;rsquor;|0:0|Éric Deflandre|for Bertrand Crasson', '60&amp;rsquor;|0:0|Émile Mpenza|for Luís Oliveira']"/>
  </r>
  <r>
    <s v="Paraguay"/>
    <s v="Bulgaria"/>
    <n v="0"/>
    <m/>
    <m/>
    <n v="0"/>
    <m/>
    <m/>
    <s v="Paulo César Carpegiani"/>
    <s v=""/>
    <s v="Hristo Bonev"/>
    <s v=""/>
    <n v="27650"/>
    <s v="Stade de la Mosson, Montpellier"/>
    <s v=""/>
    <x v="5"/>
    <x v="172"/>
    <s v="0–0"/>
    <s v=""/>
    <s v=""/>
    <x v="6"/>
    <x v="6"/>
    <s v=""/>
    <s v=""/>
    <s v=""/>
    <s v=""/>
    <s v=""/>
    <s v=""/>
    <s v=""/>
    <s v=""/>
    <s v=""/>
    <s v=""/>
    <s v=""/>
    <s v=""/>
    <s v=""/>
    <s v=""/>
    <s v=""/>
    <s v=""/>
    <s v=""/>
    <s v="Anatoli Nankov · 87"/>
    <s v="['45&amp;rsquor;|0:0|Miguel Ángel Benítez']"/>
    <s v="['27&amp;rsquor;|0:0|Anatoli Nankov', '45&amp;rsquor;|0:0|Hristo Stoichkov', '73&amp;rsquor;|0:0|Trifon Ivanov']"/>
    <s v="['43&amp;rsquor;|0:0|Denis Caniza|for Carlos Morales', '70&amp;rsquor;|0:0|César Augusto Ramírez|for José Cardozo', '78&amp;rsquor;|0:0|Julio César Yegros|for Jorge Luis Campos']"/>
    <s v="['68&amp;rsquor;|0:0|Emil Kostadinov|for Lyuboslav Penev', '77&amp;rsquor;|0:0|Daniel Borimirov|for Ilian Iliev']"/>
  </r>
  <r>
    <s v="Saudi Arabia"/>
    <s v="Denmark"/>
    <n v="0"/>
    <m/>
    <m/>
    <n v="1"/>
    <m/>
    <m/>
    <s v="Carlos Alberto Parreira"/>
    <s v=""/>
    <s v="Bo Johansson"/>
    <s v=""/>
    <n v="38100"/>
    <s v="Stade Bollaert-Delelis, Lens"/>
    <s v=""/>
    <x v="5"/>
    <x v="172"/>
    <s v="0–1"/>
    <s v=""/>
    <s v=""/>
    <x v="6"/>
    <x v="6"/>
    <s v=""/>
    <s v="Marc Rieper · 69"/>
    <s v=""/>
    <s v="['69&amp;rsquor;|0:1|Marc Rieper|Assist:|Brian Laudrup']"/>
    <s v=""/>
    <s v=""/>
    <s v=""/>
    <s v=""/>
    <s v=""/>
    <s v=""/>
    <s v=""/>
    <s v=""/>
    <s v=""/>
    <s v=""/>
    <s v=""/>
    <s v=""/>
    <s v=""/>
    <s v=""/>
    <s v="['11&amp;rsquor;|0:0|Khaled Al-Muwallid']"/>
    <s v="['12&amp;rsquor;|0:0|Morten Wieghorst', '60&amp;rsquor;|0:0|Marc Rieper', '73&amp;rsquor;|0:1|Allan Nielsen']"/>
    <s v="['78&amp;rsquor;|0:1|Hamzah Saleh|for Fuad Anwar', '79&amp;rsquor;|0:1|Obeid Al-Dosari|for Saeed Al-Owairan', '84&amp;rsquor;|0:1|Yousuf Al-Thunayan|for Sami Al-Jaber']"/>
    <s v="['65&amp;rsquor;|0:0|Allan Nielsen|for Morten Wieghorst', '73&amp;rsquor;|0:1|Per Frandsen|for Martin Jørgensen', '84&amp;rsquor;|0:1|Jan Heintze|for Brian Laudrup']"/>
  </r>
  <r>
    <s v="France"/>
    <s v="South Africa"/>
    <n v="3"/>
    <m/>
    <m/>
    <n v="0"/>
    <m/>
    <m/>
    <s v="Aimé Jacquet"/>
    <s v=""/>
    <s v="Philippe Troussier"/>
    <s v=""/>
    <n v="55000"/>
    <s v="Orange Vélodrome, Marseille"/>
    <s v=""/>
    <x v="5"/>
    <x v="172"/>
    <s v="3–0"/>
    <s v=""/>
    <s v=""/>
    <x v="6"/>
    <x v="6"/>
    <s v="Christophe Dugarry · 34|Thierry Henry · 90"/>
    <s v=""/>
    <s v="['34&amp;rsquor;|1:0|Christophe Dugarry|Assist:|Zinédine Zidane', '90&amp;rsquor;|3:0|Thierry Henry']"/>
    <s v=""/>
    <s v="Pierre Issa (OG) · 77"/>
    <s v=""/>
    <s v=""/>
    <s v=""/>
    <s v=""/>
    <s v=""/>
    <s v=""/>
    <s v=""/>
    <s v=""/>
    <s v=""/>
    <s v=""/>
    <s v=""/>
    <s v=""/>
    <s v=""/>
    <s v="['28&amp;rsquor;|0:0|Emmanuel Petit', '53&amp;rsquor;|1:0|Didier Deschamps', '75&amp;rsquor;|1:0|Zinédine Zidane']"/>
    <s v="['39&amp;rsquor;|1:0|Willem Jackson']"/>
    <s v="[&quot;26&amp;rsquor;|0:0|Christophe Dugarry|for Stéphane Guivarc'h&quot;, '73&amp;rsquor;|1:0|Alain Boghossian|for Emmanuel Petit', '84&amp;rsquor;|2:0|David Trezeguet|for Youri Djorkaeff']"/>
    <s v="['56&amp;rsquor;|1:0|Helman Mkhalele|for Brendan Augustine', '89&amp;rsquor;|2:0|Shaun Bartlett|for Benni McCarthy']"/>
  </r>
  <r>
    <s v="Italy"/>
    <s v="Chile"/>
    <n v="2"/>
    <m/>
    <m/>
    <n v="2"/>
    <m/>
    <m/>
    <s v="Cesare Maldini"/>
    <s v=""/>
    <s v="Nelson Acosta"/>
    <s v=""/>
    <n v="35200"/>
    <s v="Stade Jacques Chaban-Delmas, Bordeaux"/>
    <s v=""/>
    <x v="5"/>
    <x v="173"/>
    <s v="2–2"/>
    <s v=""/>
    <s v=""/>
    <x v="6"/>
    <x v="6"/>
    <s v="Christian Vieri · 10"/>
    <s v="Marcelo Salas · 45|Marcelo Salas · 49"/>
    <s v="['10&amp;rsquor;|1:0|Christian Vieri|Assist:|Roberto Baggio']"/>
    <s v="['45&amp;rsquor;|1:1|Marcelo Salas|Assist:|Clarence Acuña', '49&amp;rsquor;|1:2|Marcelo Salas|Assist:|Pedro Reyes']"/>
    <s v=""/>
    <s v=""/>
    <s v="Roberto Baggio (P) · 85"/>
    <s v=""/>
    <s v=""/>
    <s v=""/>
    <s v=""/>
    <s v=""/>
    <s v=""/>
    <s v=""/>
    <s v=""/>
    <s v=""/>
    <s v=""/>
    <s v=""/>
    <s v="['8&amp;rsquor;|0:0|Angelo Di Livio', '31&amp;rsquor;|1:0|Fabio Cannavaro']"/>
    <s v="['45&amp;rsquor;|1:0|Nelson Parraguez', '53&amp;rsquor;|1:2|Clarence Acuña', '66&amp;rsquor;|1:2|Francisco Rojas Rojas']"/>
    <s v="['57&amp;rsquor;|1:2|Luigi Di Biagio|for Roberto Di Matteo', '61&amp;rsquor;|1:2|Enrico Chiesa|for Angelo Di Livio', '71&amp;rsquor;|1:2|Filippo Inzaghi|for Christian Vieri']"/>
    <s v="['63&amp;rsquor;|1:2|Miguel Ramírez|for Javier Margas', '81&amp;rsquor;|1:2|José Luis Sierra|for Fabián Estay', '82&amp;rsquor;|1:2|Fernando Cornejo|for Clarence Acuña']"/>
  </r>
  <r>
    <s v="Cameroon"/>
    <s v="Austria"/>
    <n v="1"/>
    <m/>
    <m/>
    <n v="1"/>
    <m/>
    <m/>
    <s v="Claude Le Roy"/>
    <s v=""/>
    <s v="Herbert Prohaska"/>
    <s v=""/>
    <n v="36500"/>
    <s v="Stadium Municipal, Toulouse"/>
    <s v=""/>
    <x v="5"/>
    <x v="173"/>
    <s v="1–1"/>
    <s v=""/>
    <s v=""/>
    <x v="6"/>
    <x v="6"/>
    <s v="Pierre Njanka · 77"/>
    <s v="Toni Polster · 90"/>
    <s v="['77&amp;rsquor;|1:0|Pierre Njanka']"/>
    <s v="['90&amp;rsquor;|1:1|Toni Polster|Assist:|Anton Pfeffer']"/>
    <s v=""/>
    <s v=""/>
    <s v=""/>
    <s v=""/>
    <s v=""/>
    <s v=""/>
    <s v=""/>
    <s v=""/>
    <s v=""/>
    <s v=""/>
    <s v=""/>
    <s v=""/>
    <s v=""/>
    <s v=""/>
    <s v="['30&amp;rsquor;|0:0|Samuel Ipoua']"/>
    <s v="['27&amp;rsquor;|0:0|Anton Pfeffer']"/>
    <s v="['65&amp;rsquor;|0:0|Salomon Olembé|for Augustine Simo', '65&amp;rsquor;|0:0|Joseph-Désiré Job|for Samuel Ipoua', '84&amp;rsquor;|1:0|Alphonse Tchami|for François Omam-Biyik']"/>
    <s v="['82&amp;rsquor;|1:0|Peter Stöger|for Heimo Pfeifenberger', '82&amp;rsquor;|1:0|Mario Haas|for Andreas Herzog', '82&amp;rsquor;|1:0|Ivica Vastić|for Harald Cerny']"/>
  </r>
  <r>
    <s v="Brazil"/>
    <s v="Scotland"/>
    <n v="2"/>
    <m/>
    <m/>
    <n v="1"/>
    <m/>
    <m/>
    <s v="Mário Zagallo"/>
    <s v=""/>
    <s v="Craig Brown"/>
    <s v=""/>
    <n v="80000"/>
    <s v="Stade de France, Paris"/>
    <s v=""/>
    <x v="5"/>
    <x v="174"/>
    <s v="2–1"/>
    <s v=""/>
    <s v=""/>
    <x v="6"/>
    <x v="6"/>
    <s v="César Sampaio · 5"/>
    <s v=""/>
    <s v="['5&amp;rsquor;|1:0|César Sampaio|Assist:|Bebeto']"/>
    <s v=""/>
    <s v="Tom Boyd (OG) · 73"/>
    <s v=""/>
    <s v=""/>
    <s v="John Collins (P) · 38"/>
    <s v=""/>
    <s v=""/>
    <s v=""/>
    <s v=""/>
    <s v=""/>
    <s v=""/>
    <s v=""/>
    <s v=""/>
    <s v=""/>
    <s v=""/>
    <s v="['37&amp;rsquor;|1:0|César Sampaio', '45&amp;rsquor;|1:1|Aldair']"/>
    <s v="['25&amp;rsquor;|1:0|Darren Jackson']"/>
    <s v="['46&amp;rsquor;|1:1|Leonardo Araújo|for Giovanni', '72&amp;rsquor;|1:1|Denílson Custódio Machado|for Bebeto']"/>
    <s v="['78&amp;rsquor;|2:1|Billy McKinlay|for Darren Jackson', '84&amp;rsquor;|2:1|Tosh McKinlay|for Christian Dailly']"/>
  </r>
  <r>
    <s v="Morocco"/>
    <s v="Norway"/>
    <n v="2"/>
    <m/>
    <m/>
    <n v="2"/>
    <m/>
    <m/>
    <s v="Henri Michel"/>
    <s v=""/>
    <s v="Egil Olsen"/>
    <s v=""/>
    <n v="29750"/>
    <s v="Stade de la Mosson, Montpellier"/>
    <s v=""/>
    <x v="5"/>
    <x v="174"/>
    <s v="2–2"/>
    <s v=""/>
    <s v=""/>
    <x v="6"/>
    <x v="6"/>
    <s v="Mustapha Hadji · 38|Abdeljalil Hadda · 59"/>
    <s v="Dan Eggen · 60"/>
    <s v="['38&amp;rsquor;|1:0|Mustapha Hadji|Assist:|Tahar El Khalej', '59&amp;rsquor;|2:1|Abdeljalil Hadda|Assist:|Tahar El Khalej']"/>
    <s v="['60&amp;rsquor;|2:2|Dan Eggen']"/>
    <s v=""/>
    <s v="Youssef Chippo (OG) · 45"/>
    <s v=""/>
    <s v=""/>
    <s v=""/>
    <s v=""/>
    <s v=""/>
    <s v=""/>
    <s v=""/>
    <s v=""/>
    <s v=""/>
    <s v=""/>
    <s v=""/>
    <s v=""/>
    <s v="['79&amp;rsquor;|2:2|Saïd Chiba']"/>
    <s v=""/>
    <s v="['78&amp;rsquor;|2:2|Gharib Amzine|for Youssef Chippo', '86&amp;rsquor;|2:2|Ali Elkhattabi|for Abdeljalil Hadda', '90&amp;rsquor;|2:2|Rachid Azzouzi|for Tahar El Khalej']"/>
    <s v="['46&amp;rsquor;|1:1|Vidar Riseth|for Ole Gunnar Solskjær', '72&amp;rsquor;|2:2|Ståle Solbakken|for Håvard Flo']"/>
  </r>
  <r>
    <s v="Brazil"/>
    <s v="Italy"/>
    <n v="0"/>
    <m/>
    <n v="3"/>
    <n v="0"/>
    <m/>
    <n v="2"/>
    <s v="Carlos Alberto Parreira"/>
    <s v="Dunga"/>
    <s v="Arrigo Sacchi"/>
    <s v="Franco Baresi"/>
    <n v="94194"/>
    <s v="Rose Bowl, Los Angeles"/>
    <s v="Sandor Puhl (Referee) · Venancio Zarate (AR1) · Mohammad Fanaei (AR2)"/>
    <x v="0"/>
    <x v="175"/>
    <s v="(3) 0–0 (2)"/>
    <s v="Sandor Puhl"/>
    <s v="Brazil won on penalty kicks following extra time"/>
    <x v="7"/>
    <x v="7"/>
    <s v=""/>
    <s v=""/>
    <s v=""/>
    <s v=""/>
    <s v=""/>
    <s v=""/>
    <s v=""/>
    <s v=""/>
    <s v=""/>
    <s v=""/>
    <s v="['4|1:1|Romário', '6|2:2|Branco', '8|3:2|Dunga']"/>
    <s v="['3|0:1|Demetrio Albertini', '5|1:2|Alberigo Evani']"/>
    <s v="['2|0:0|Márcio Santos']"/>
    <s v="['1|0:0|Franco Baresi', '7|2:2|Daniele Massaro', '9|3:2|Roberto Baggio']"/>
    <s v=""/>
    <s v=""/>
    <s v=""/>
    <s v=""/>
    <s v="['4&amp;rsquor;|0:0|Mazinho', '87&amp;rsquor;|0:0|Cafú']"/>
    <s v="['41&amp;rsquor;|0:0|Luigi Apolloni', '42&amp;rsquor;|0:0|Demetrio Albertini']"/>
    <s v="['21&amp;rsquor;|0:0|Cafú|for Jorginho', '106&amp;rsquor;|0:0|Viola|for Zinho']"/>
    <s v="['34&amp;rsquor;|0:0|Luigi Apolloni|for Roberto Mussi', '95&amp;rsquor;|0:0|Alberigo Evani']"/>
  </r>
  <r>
    <s v="Sweden"/>
    <s v="Bulgaria"/>
    <n v="4"/>
    <m/>
    <m/>
    <n v="0"/>
    <m/>
    <m/>
    <s v="Tommy Svensson"/>
    <s v="Roland Nilsson"/>
    <s v="Dimitar Penev"/>
    <s v="Borislav Mikhailov"/>
    <n v="91500"/>
    <s v="Rose Bowl, Los Angeles"/>
    <s v="Ali Bujsaim (Referee) · El Jilali Mohamed Rharib (AR1) · Ernesto Taibi (AR2)"/>
    <x v="1"/>
    <x v="176"/>
    <s v="4–0"/>
    <s v="Ali Bujsaim"/>
    <s v=""/>
    <x v="7"/>
    <x v="7"/>
    <s v="Tomas Brolin · 8|Håkan Mild · 30|Henrik Larsson · 37|Kennet Andersson · 40"/>
    <s v=""/>
    <s v="['8&amp;rsquor;|1:0|Tomas Brolin', '30&amp;rsquor;|2:0|Håkan Mild', '37&amp;rsquor;|3:0|Henrik Larsson', '40&amp;rsquor;|4:0|Kennet Andersson']"/>
    <s v=""/>
    <s v=""/>
    <s v=""/>
    <s v=""/>
    <s v=""/>
    <s v=""/>
    <s v=""/>
    <s v=""/>
    <s v=""/>
    <s v=""/>
    <s v=""/>
    <s v=""/>
    <s v=""/>
    <s v=""/>
    <s v=""/>
    <s v="['82&amp;rsquor;|4:0|Kennet Andersson']"/>
    <s v="['70&amp;rsquor;|4:0|Zlatko Yankov']"/>
    <s v="['79&amp;rsquor;|4:0|Anders Limpar|for Henrik Larsson']"/>
    <s v="['42&amp;rsquor;|4:0|Emil Kremenliev|for Trifon Ivanov', '46&amp;rsquor;|4:0|Plamen Nikolov|for Borislav Mikhailov', '46&amp;rsquor;|4:0|Ivaylo Yordanov']"/>
  </r>
  <r>
    <s v="Bulgaria"/>
    <s v="Italy"/>
    <n v="1"/>
    <m/>
    <m/>
    <n v="2"/>
    <m/>
    <m/>
    <s v="Dimitar Penev"/>
    <s v="Borislav Mikhailov"/>
    <s v="Arrigo Sacchi"/>
    <s v="Paolo Maldini"/>
    <n v="74110"/>
    <s v="Giants Stadium, New York/New Jersey"/>
    <s v="Joel Quiniou (Referee) · Carl-Johan Meyer Christensen (AR1) · Roy Pearson (AR2)"/>
    <x v="2"/>
    <x v="177"/>
    <s v="1–2"/>
    <s v="Joel Quiniou"/>
    <s v=""/>
    <x v="7"/>
    <x v="7"/>
    <s v=""/>
    <s v="Roberto Baggio · 21|Roberto Baggio · 25"/>
    <s v=""/>
    <s v="['21&amp;rsquor;|0:1|Roberto Baggio', '25&amp;rsquor;|0:2|Roberto Baggio']"/>
    <s v=""/>
    <s v=""/>
    <s v="Hristo Stoichkov (P) · 44"/>
    <s v=""/>
    <s v=""/>
    <s v=""/>
    <s v=""/>
    <s v=""/>
    <s v=""/>
    <s v=""/>
    <s v=""/>
    <s v=""/>
    <s v=""/>
    <s v=""/>
    <s v="['52&amp;rsquor;|1:2|Emil Kostadinov', '65&amp;rsquor;|1:2|Yordan Letchkov', '83&amp;rsquor;|1:2|Zlatko Yankov']"/>
    <s v="['61&amp;rsquor;|1:2|Alessandro Costacurta', '80&amp;rsquor;|1:2|Demetrio Albertini']"/>
    <s v="['71&amp;rsquor;|1:2|Ivaylo Yordanov|for Emil Kostadinov', '78&amp;rsquor;|1:2|Boncho Genchev|for Hristo Stoichkov']"/>
    <s v="['55&amp;rsquor;|1:2|Antonio Conte|for Dino Baggio', '71&amp;rsquor;|1:2|Giuseppe Signori|for Roberto Baggio']"/>
  </r>
  <r>
    <s v="Sweden"/>
    <s v="Brazil"/>
    <n v="0"/>
    <m/>
    <m/>
    <n v="1"/>
    <m/>
    <m/>
    <s v="Tommy Svensson"/>
    <s v="Jonas Thern"/>
    <s v="Carlos Alberto Parreira"/>
    <s v="Dunga"/>
    <n v="91856"/>
    <s v="Rose Bowl, Los Angeles"/>
    <s v="Jose Joaquin Torres Cadena (Referee) · Sandor Marton (AR1) · Luc Matthys (AR2)"/>
    <x v="2"/>
    <x v="177"/>
    <s v="0–1"/>
    <s v="Jose Joaquin Torres Cadena"/>
    <s v=""/>
    <x v="7"/>
    <x v="7"/>
    <s v=""/>
    <s v="Romário · 80"/>
    <s v=""/>
    <s v="['80&amp;rsquor;|0:1|Romário']"/>
    <s v=""/>
    <s v=""/>
    <s v=""/>
    <s v=""/>
    <s v=""/>
    <s v=""/>
    <s v=""/>
    <s v=""/>
    <s v=""/>
    <s v=""/>
    <s v="Jonas Thern · 63"/>
    <s v=""/>
    <s v=""/>
    <s v=""/>
    <s v="['29&amp;rsquor;|0:0|Roger Ljung', '86&amp;rsquor;|0:1|Tomas Brolin']"/>
    <s v="['3&amp;rsquor;|0:0|Zinho']"/>
    <s v="['67&amp;rsquor;|0:0|Stefan Rehn|for Martin Dahlin']"/>
    <s v="['46&amp;rsquor;|0:0|Raí|for Mazinho']"/>
  </r>
  <r>
    <s v="Bulgaria"/>
    <s v="Germany"/>
    <n v="2"/>
    <m/>
    <m/>
    <n v="1"/>
    <m/>
    <m/>
    <s v="Dimitar Penev"/>
    <s v="Borislav Mikhailov"/>
    <s v="Berti Vogts"/>
    <s v="Lothar Matthäus"/>
    <n v="72000"/>
    <s v="Giants Stadium, New York/New Jersey"/>
    <s v="Jose Joaquin Torres Cadena (Referee) · Venancio Zarate (AR1) · Sandor Marton (AR2)"/>
    <x v="3"/>
    <x v="178"/>
    <s v="2–1"/>
    <s v="Jose Joaquin Torres Cadena"/>
    <s v=""/>
    <x v="7"/>
    <x v="7"/>
    <s v="Hristo Stoichkov · 75|Yordan Letchkov · 78"/>
    <s v=""/>
    <s v="['75&amp;rsquor;|1:1|Hristo Stoichkov', '78&amp;rsquor;|2:1|Yordan Letchkov']"/>
    <s v=""/>
    <s v=""/>
    <s v=""/>
    <s v=""/>
    <s v="Lothar Matthäus (P) · 47"/>
    <s v=""/>
    <s v=""/>
    <s v=""/>
    <s v=""/>
    <s v=""/>
    <s v=""/>
    <s v=""/>
    <s v=""/>
    <s v=""/>
    <s v=""/>
    <s v="['22&amp;rsquor;|0:0|Trifon Ivanov', '82&amp;rsquor;|2:1|Hristo Stoichkov', '85&amp;rsquor;|2:1|Borislav Mikhailov']"/>
    <s v="['14&amp;rsquor;|0:0|Thomas Helmer', '15&amp;rsquor;|0:0|Martin Wagner', '49&amp;rsquor;|0:1|Thomas Häßler', '50&amp;rsquor;|0:1|Jürgen Klinsmann', '89&amp;rsquor;|2:1|Rudi Völler']"/>
    <s v="['84&amp;rsquor;|2:1|Ivaylo Yordanov|for Hristo Stoichkov', '90&amp;rsquor;|2:1|Boncho Genchev|for Emil Kostadinov']"/>
    <s v="['58&amp;rsquor;|0:1|Thomas Strunz|for Martin Wagner', '82&amp;rsquor;|2:1|Andreas Brehme|for Thomas Häßler']"/>
  </r>
  <r>
    <s v="Romania"/>
    <s v="Sweden"/>
    <n v="2"/>
    <m/>
    <n v="4"/>
    <n v="2"/>
    <m/>
    <n v="5"/>
    <s v="Anghel Iordanescu"/>
    <s v="Gheorghe Hagi"/>
    <s v="Tommy Svensson"/>
    <s v="Roland Nilsson"/>
    <n v="83500"/>
    <s v="Stanford Stadium, San Francisco"/>
    <s v="Philip Don (Referee) · Roy Pearson (AR1) · Hae-Yong Park (AR2)"/>
    <x v="3"/>
    <x v="178"/>
    <s v="(4) 2–2 (5)"/>
    <s v="Philip Don"/>
    <s v="Sweden won on penalty kicks following extra time"/>
    <x v="7"/>
    <x v="7"/>
    <s v="Florin Răducioiu · 88|Florin Răducioiu · 101"/>
    <s v="Tomas Brolin · 78|Kennet Andersson · 115"/>
    <s v="['88&amp;rsquor;|1:1|Florin Răducioiu', '101&amp;rsquor;|2:1|Florin Răducioiu']"/>
    <s v="['78&amp;rsquor;|0:1|Tomas Brolin', '115&amp;rsquor;|2:2|Kennet Andersson']"/>
    <s v=""/>
    <s v=""/>
    <s v=""/>
    <s v=""/>
    <s v=""/>
    <s v=""/>
    <s v="['2|1:0|Florin Răducioiu', '4|2:1|Gheorghe Hagi', '6|3:2|Ioan Lupescu', '10|4:4|Ilie Dumitrescu']"/>
    <s v="['3|1:1|Kennet Andersson', '5|2:2|Tomas Brolin', '7|3:3|Klas Ingesson', '9|3:4|Roland Nilsson', '11|4:5|Henrik Larsson']"/>
    <s v="['8|3:3|Dan Petrescu', '12|4:5|Miodrag Belodedici']"/>
    <s v="['1|0:0|Håkan Mild']"/>
    <s v=""/>
    <s v=""/>
    <s v=""/>
    <s v="Stefan Schwarz · 101"/>
    <s v="['21&amp;rsquor;|0:0|Gheorghe Popescu', '34&amp;rsquor;|0:0|Tibor Selymes', '108&amp;rsquor;|2:1|Basarab Panduru']"/>
    <s v="['7&amp;rsquor;|0:0|Klas Ingesson', '43&amp;rsquor;|0:0|Stefan Schwarz']"/>
    <s v="['84&amp;rsquor;|0:1|Basarab Panduru|for Dorinel Munteanu']"/>
    <s v="['84&amp;rsquor;|0:1|Pontus Kåmark|for Joachim Björklund', '107&amp;rsquor;|2:1|Henrik Larsson|for Martin Dahlin']"/>
  </r>
  <r>
    <s v="Italy"/>
    <s v="Spain"/>
    <n v="2"/>
    <m/>
    <m/>
    <n v="1"/>
    <m/>
    <m/>
    <s v="Arrigo Sacchi"/>
    <s v="Paolo Maldini"/>
    <s v="Javier Clemente"/>
    <s v="Andoni Zubizarreta"/>
    <n v="53400"/>
    <s v="Foxboro Stadium, Boston"/>
    <s v="Sandor Puhl (Referee) · Gordon Dunster (AR1) · Luc Matthys (AR2)"/>
    <x v="3"/>
    <x v="179"/>
    <s v="2–1"/>
    <s v="Sandor Puhl"/>
    <s v=""/>
    <x v="7"/>
    <x v="7"/>
    <s v="Dino Baggio · 25|Roberto Baggio · 88"/>
    <s v="José Luis Caminero · 58"/>
    <s v="['25&amp;rsquor;|1:0|Dino Baggio', '88&amp;rsquor;|2:1|Roberto Baggio']"/>
    <s v="['58&amp;rsquor;|1:1|José Luis Caminero']"/>
    <s v=""/>
    <s v=""/>
    <s v=""/>
    <s v=""/>
    <s v=""/>
    <s v=""/>
    <s v=""/>
    <s v=""/>
    <s v=""/>
    <s v=""/>
    <s v=""/>
    <s v=""/>
    <s v=""/>
    <s v=""/>
    <s v=""/>
    <s v="['3&amp;rsquor;|0:0|Abelardo Fernández', '19&amp;rsquor;|0:0|José Luis Caminero']"/>
    <s v="['46&amp;rsquor;|1:0|Giuseppe Signori|for Demetrio Albertini', '66&amp;rsquor;|1:1|Nicola Berti|for Antonio Conte']"/>
    <s v="['60&amp;rsquor;|1:1|Julio Salinas|for Sergi Barjuán', '64&amp;rsquor;|1:1|Fernando Hierro']"/>
  </r>
  <r>
    <s v="Netherlands"/>
    <s v="Brazil"/>
    <n v="2"/>
    <m/>
    <m/>
    <n v="3"/>
    <m/>
    <m/>
    <s v="Dick Advocaat"/>
    <s v="Ronald Koeman"/>
    <s v="Carlos Alberto Parreira"/>
    <s v="Dunga"/>
    <n v="63500"/>
    <s v="Cotton Bowl, Dallas"/>
    <s v="Rodrigo Badilla (Referee) · Yousif Abdulla Al Ghattan (AR1) · Mohammad Fanaei (AR2)"/>
    <x v="3"/>
    <x v="179"/>
    <s v="2–3"/>
    <s v="Rodrigo Badilla"/>
    <s v=""/>
    <x v="7"/>
    <x v="7"/>
    <s v="Dennis Bergkamp · 64|Aron Winter · 76"/>
    <s v="Romário · 53|Bebeto · 63|Branco · 81"/>
    <s v="['64&amp;rsquor;|1:2|Dennis Bergkamp', '76&amp;rsquor;|2:2|Aron Winter']"/>
    <s v="['53&amp;rsquor;|0:1|Romário', '63&amp;rsquor;|0:2|Bebeto', '81&amp;rsquor;|2:3|Branco']"/>
    <s v=""/>
    <s v=""/>
    <s v=""/>
    <s v=""/>
    <s v=""/>
    <s v=""/>
    <s v=""/>
    <s v=""/>
    <s v=""/>
    <s v=""/>
    <s v=""/>
    <s v=""/>
    <s v=""/>
    <s v=""/>
    <s v="['40&amp;rsquor;|0:0|Aron Winter', '89&amp;rsquor;|2:3|Jan Wouters']"/>
    <s v="['74&amp;rsquor;|1:2|Dunga']"/>
    <s v="['54&amp;rsquor;|0:1|Bryan Roy|for Peter van Vossen', '64&amp;rsquor;|1:2|Ronald de Boer|for Frank Rijkaard']"/>
    <s v="['80&amp;rsquor;|2:2|Raí|for Mazinho', '90&amp;rsquor;|2:3|Cafú|for Branco']"/>
  </r>
  <r>
    <s v="Nigeria"/>
    <s v="Italy"/>
    <n v="1"/>
    <m/>
    <m/>
    <n v="2"/>
    <m/>
    <m/>
    <s v="Clemens Westerhof"/>
    <s v="Peter Rufai"/>
    <s v="Arrigo Sacchi"/>
    <s v="Paolo Maldini"/>
    <n v="54367"/>
    <s v="Foxboro Stadium, Boston"/>
    <s v="Arturo Brizio Carter (Referee) · Ernesto Taibi (AR1) · Venancio Zarate (AR2)"/>
    <x v="4"/>
    <x v="180"/>
    <s v="1–2"/>
    <s v="Arturo Brizio Carter"/>
    <s v="Required Extra Time"/>
    <x v="7"/>
    <x v="7"/>
    <s v="Emmanuel Amunike · 25"/>
    <s v="Roberto Baggio · 88"/>
    <s v="['25&amp;rsquor;|1:0|Emmanuel Amunike']"/>
    <s v="['88&amp;rsquor;|1:1|Roberto Baggio']"/>
    <s v=""/>
    <s v=""/>
    <s v=""/>
    <s v="Roberto Baggio (P) · 102"/>
    <s v=""/>
    <s v=""/>
    <s v=""/>
    <s v=""/>
    <s v=""/>
    <s v=""/>
    <s v=""/>
    <s v="Gianfranco Zola · 75"/>
    <s v=""/>
    <s v=""/>
    <s v="['2&amp;rsquor;|0:0|Michael Emenalo', '41&amp;rsquor;|1:0|Mutiu Adepoju', '53&amp;rsquor;|1:0|Sunday Oliseh', '58&amp;rsquor;|1:0|Chidi Nwanu']"/>
    <s v="['6&amp;rsquor;|0:0|Daniele Massaro', '29&amp;rsquor;|1:0|Alessandro Costacurta', '60&amp;rsquor;|1:0|Giuseppe Signori', '62&amp;rsquor;|1:0|Dino Baggio', '80&amp;rsquor;|1:0|Paolo Maldini']"/>
    <s v="['35&amp;rsquor;|1:0|Mutiu Adepoju|for Daniel Amokachi', '57&amp;rsquor;|1:0|Thompson Oliha|for Emmanuel Amunike']"/>
    <s v="['46&amp;rsquor;|1:0|Dino Baggio|for Nicola Berti', '63&amp;rsquor;|1:0|Gianfranco Zola|for Giuseppe Signori']"/>
  </r>
  <r>
    <s v="Mexico"/>
    <s v="Bulgaria"/>
    <n v="1"/>
    <m/>
    <n v="1"/>
    <n v="1"/>
    <m/>
    <n v="3"/>
    <s v="Miguel Mejia Baron"/>
    <s v="Ignacio Ambríz"/>
    <s v="Dimitar Penev"/>
    <s v="Borislav Mikhailov"/>
    <n v="71030"/>
    <s v="Giants Stadium, New York/New Jersey"/>
    <s v="Jamal Al Sharif (Referee) · Mohammad Fanaei (AR1) · Yousif Abdulla Al Ghattan (AR2)"/>
    <x v="4"/>
    <x v="180"/>
    <s v="(1) 1–1 (3)"/>
    <s v="Jamal Al Sharif"/>
    <s v="Bulgaria won on penalty kicks following extra time"/>
    <x v="7"/>
    <x v="7"/>
    <s v=""/>
    <s v="Hristo Stoichkov · 6"/>
    <s v=""/>
    <s v="['6&amp;rsquor;|0:1|Hristo Stoichkov']"/>
    <s v=""/>
    <s v=""/>
    <s v="Alberto García Aspe (P) · 18"/>
    <s v=""/>
    <s v=""/>
    <s v=""/>
    <s v="['7|1:2|Claudio Suárez']"/>
    <s v="['4|0:1|Boncho Genchev', '6|0:2|Daniel Borimirov', '8|1:3|Yordan Letchkov']"/>
    <s v="['1|0:0|Alberto García Aspe', '3|0:0|Marcelino Bernal', '5|0:1|Jorge Rodríguez']"/>
    <s v="['2|0:0|Krasimir Balakov']"/>
    <s v=""/>
    <s v=""/>
    <s v="Luis García Postigo · 57"/>
    <s v="Emil Kremenliev · 50"/>
    <s v="['14&amp;rsquor;|0:1|Claudio Suárez', '28&amp;rsquor;|1:1|Luis García Postigo', '70&amp;rsquor;|1:1|Ramón Ramírez', '76&amp;rsquor;|1:1|Alberto García Aspe']"/>
    <s v="['12&amp;rsquor;|0:1|Emil Kremenliev', '17&amp;rsquor;|0:1|Nasko Sirakov', '34&amp;rsquor;|1:1|Iliyan Kiryakov', '67&amp;rsquor;|1:1|Ivaylo Yordanov']"/>
    <s v=""/>
    <s v="['104&amp;rsquor;|1:1|Boncho Genchev|for Nasko Sirakov', '119&amp;rsquor;|1:1|Petar Mihtarski|for Emil Kostadinov']"/>
  </r>
  <r>
    <s v="Netherlands"/>
    <s v="Republic of Ireland"/>
    <n v="2"/>
    <m/>
    <m/>
    <n v="0"/>
    <m/>
    <m/>
    <s v="Dick Advocaat"/>
    <s v="Ronald Koeman"/>
    <s v="Jack Charlton"/>
    <s v="Andy Townsend"/>
    <n v="61355"/>
    <s v="Citrus Bowl, Orlando"/>
    <s v="Peter Mikkelsen (Referee) · Gordon Dunster (AR1) · Eugene Brazzale (AR2)"/>
    <x v="4"/>
    <x v="181"/>
    <s v="2–0"/>
    <s v="Peter Mikkelsen"/>
    <s v=""/>
    <x v="7"/>
    <x v="7"/>
    <s v="Dennis Bergkamp · 11|Wim Jonk · 41"/>
    <s v=""/>
    <s v="['11&amp;rsquor;|1:0|Dennis Bergkamp', '41&amp;rsquor;|2:0|Wim Jonk']"/>
    <s v=""/>
    <s v=""/>
    <s v=""/>
    <s v=""/>
    <s v=""/>
    <s v=""/>
    <s v=""/>
    <s v=""/>
    <s v=""/>
    <s v=""/>
    <s v=""/>
    <s v=""/>
    <s v=""/>
    <s v=""/>
    <s v=""/>
    <s v="['72&amp;rsquor;|2:0|Ronald Koeman']"/>
    <s v=""/>
    <s v="['70&amp;rsquor;|2:0|Bryan Roy|for Peter van Vossen', '79&amp;rsquor;|2:0|Arthur Numan|for Rob Witschge']"/>
    <s v="['63&amp;rsquor;|2:0|Jason McAteer|for Steve Staunton', '73&amp;rsquor;|2:0|Tony Cascarino|for Tommy Coyne']"/>
  </r>
  <r>
    <s v="Brazil"/>
    <s v="United States"/>
    <n v="1"/>
    <m/>
    <m/>
    <n v="0"/>
    <m/>
    <m/>
    <s v="Carlos Alberto Parreira"/>
    <s v="Dunga"/>
    <s v="Bora Milutinovic"/>
    <s v="Tony Meola"/>
    <n v="84147"/>
    <s v="Stanford Stadium, San Francisco"/>
    <s v="Joel Quiniou (Referee) · Hae-Yong Park (AR1) · Mikael Everstig (AR2)"/>
    <x v="4"/>
    <x v="181"/>
    <s v="1–0"/>
    <s v="Joel Quiniou"/>
    <s v=""/>
    <x v="7"/>
    <x v="7"/>
    <s v="Bebeto · 72"/>
    <s v=""/>
    <s v="['72&amp;rsquor;|1:0|Bebeto']"/>
    <s v=""/>
    <s v=""/>
    <s v=""/>
    <s v=""/>
    <s v=""/>
    <s v=""/>
    <s v=""/>
    <s v=""/>
    <s v=""/>
    <s v=""/>
    <s v=""/>
    <s v="Leonardo Araújo · 43"/>
    <s v=""/>
    <s v=""/>
    <s v="Fernando Clavijo · 85"/>
    <s v="['8&amp;rsquor;|0:0|Mazinho', '16&amp;rsquor;|0:0|Jorginho']"/>
    <s v="['43&amp;rsquor;|0:0|Tab Ramos', '49&amp;rsquor;|0:0|Paul Caligiuri', '64&amp;rsquor;|0:0|Fernando Clavijo', '80&amp;rsquor;|1:0|Thomas Dooley']"/>
    <s v="['68&amp;rsquor;|0:0|Cafú|for Zinho']"/>
    <s v="['45&amp;rsquor;|0:0|Eric Wynalda|for Tab Ramos', '66&amp;rsquor;|0:0|Roy Wegerle']"/>
  </r>
  <r>
    <s v="Saudi Arabia"/>
    <s v="Sweden"/>
    <n v="1"/>
    <m/>
    <m/>
    <n v="3"/>
    <m/>
    <m/>
    <s v="Jorge Solari"/>
    <s v="Mohamed Al-Jawad"/>
    <s v="Tommy Svensson"/>
    <s v="Jonas Thern"/>
    <n v="60277"/>
    <s v="Cotton Bowl, Dallas"/>
    <s v="Renato Marsiglia (Referee) · Paulo Jorge Alves (AR1) · Raimundo Calix Garcia (AR2)"/>
    <x v="4"/>
    <x v="182"/>
    <s v="1–3"/>
    <s v="Renato Marsiglia"/>
    <s v=""/>
    <x v="7"/>
    <x v="7"/>
    <s v="Fahad Al-Ghesheyan · 85"/>
    <s v="Martin Dahlin · 6|Kennet Andersson · 51|Kennet Andersson · 88"/>
    <s v="['85&amp;rsquor;|1:2|Fahad Al-Ghesheyan']"/>
    <s v="['6&amp;rsquor;|0:1|Martin Dahlin', '51&amp;rsquor;|0:2|Kennet Andersson', '88&amp;rsquor;|1:3|Kennet Andersson']"/>
    <s v=""/>
    <s v=""/>
    <s v=""/>
    <s v=""/>
    <s v=""/>
    <s v=""/>
    <s v=""/>
    <s v=""/>
    <s v=""/>
    <s v=""/>
    <s v=""/>
    <s v=""/>
    <s v=""/>
    <s v=""/>
    <s v="['71&amp;rsquor;|0:2|Khaled Al-Muwallid']"/>
    <s v="['16&amp;rsquor;|0:1|Roger Ljung', '67&amp;rsquor;|0:2|Jonas Thern', '74&amp;rsquor;|0:2|Roland Nilsson']"/>
    <s v="['54&amp;rsquor;|0:2|Fahad Al-Ghesheyan|for Mohamed Al-Jawad', '63&amp;rsquor;|0:2|Khaled Al-Muwallid|for Fahad Al-Bishi']"/>
    <s v="['54&amp;rsquor;|0:2|Pontus Kåmark|for Joachim Björklund', '70&amp;rsquor;|0:2|Håkan Mild|for Jonas Thern']"/>
  </r>
  <r>
    <s v="Romania"/>
    <s v="Argentina"/>
    <n v="3"/>
    <m/>
    <m/>
    <n v="2"/>
    <m/>
    <m/>
    <s v="Anghel Iordanescu"/>
    <s v="Gheorghe Hagi"/>
    <s v="Alfio Basile"/>
    <s v="Oscar Ruggeri"/>
    <n v="90469"/>
    <s v="Rose Bowl, Los Angeles"/>
    <s v="Pierluigi Pairetto (Referee) · Domenico Ramicone (AR1) · Luc Matthys (AR2)"/>
    <x v="4"/>
    <x v="182"/>
    <s v="3–2"/>
    <s v="Pierluigi Pairetto"/>
    <s v=""/>
    <x v="7"/>
    <x v="7"/>
    <s v="Ilie Dumitrescu · 11|Ilie Dumitrescu · 18|Gheorghe Hagi · 58"/>
    <s v="Abel Balbo · 75"/>
    <s v="['11&amp;rsquor;|1:0|Ilie Dumitrescu', '18&amp;rsquor;|2:1|Ilie Dumitrescu', '58&amp;rsquor;|3:1|Gheorghe Hagi']"/>
    <s v="['75&amp;rsquor;|3:2|Abel Balbo']"/>
    <s v=""/>
    <s v=""/>
    <s v=""/>
    <s v="Gabriel Batistuta (P) · 16"/>
    <s v=""/>
    <s v=""/>
    <s v=""/>
    <s v=""/>
    <s v=""/>
    <s v=""/>
    <s v=""/>
    <s v=""/>
    <s v=""/>
    <s v=""/>
    <s v="['50&amp;rsquor;|2:1|Gheorghe Popescu', '68&amp;rsquor;|3:1|Tibor Selymes', '84&amp;rsquor;|3:2|Ilie Dumitrescu']"/>
    <s v="['33&amp;rsquor;|2:1|Oscar Ruggeri', '55&amp;rsquor;|2:1|Fernando Redondo', '56&amp;rsquor;|2:1|José Chamot', '83&amp;rsquor;|3:2|Fernando Cáceres']"/>
    <s v="['85&amp;rsquor;|3:2|Constantin Gâlcă|for Gheorghe Hagi', '88&amp;rsquor;|3:2|Corneliu Papură|for Ilie Dumitrescu']"/>
    <s v="['62&amp;rsquor;|3:1|Ramón Medina Bello']"/>
  </r>
  <r>
    <s v="Germany"/>
    <s v="Belgium"/>
    <n v="3"/>
    <m/>
    <m/>
    <n v="2"/>
    <m/>
    <m/>
    <s v="Berti Vogts"/>
    <s v="Lothar Matthäus"/>
    <s v="Paul Van Himst"/>
    <s v="Georges Grün"/>
    <n v="60246"/>
    <s v="Soldier Field, Chicago"/>
    <s v="Kurt Roethlisberger (Referee) · Michal Listkiewicz (AR1) · Carl-Johan Meyer Christensen (AR2)"/>
    <x v="4"/>
    <x v="183"/>
    <s v="3–2"/>
    <s v="Kurt Roethlisberger"/>
    <s v=""/>
    <x v="7"/>
    <x v="7"/>
    <s v="Rudi Völler · 6|Jürgen Klinsmann · 11|Rudi Völler · 40"/>
    <s v="Georges Grün · 8|Philippe Albert · 90"/>
    <s v="['6&amp;rsquor;|1:0|Rudi Völler', '11&amp;rsquor;|2:1|Jürgen Klinsmann', '40&amp;rsquor;|3:1|Rudi Völler']"/>
    <s v="['8&amp;rsquor;|1:1|Georges Grün', '90&amp;rsquor;|3:2|Philippe Albert']"/>
    <s v=""/>
    <s v=""/>
    <s v=""/>
    <s v=""/>
    <s v=""/>
    <s v=""/>
    <s v=""/>
    <s v=""/>
    <s v=""/>
    <s v=""/>
    <s v=""/>
    <s v=""/>
    <s v=""/>
    <s v=""/>
    <s v="['13&amp;rsquor;|2:1|Thomas Helmer', '37&amp;rsquor;|2:1|Martin Wagner']"/>
    <s v="['38&amp;rsquor;|2:1|Philippe Albert']"/>
    <s v="['46&amp;rsquor;|3:1|Andreas Brehme|for Lothar Matthäus', '85&amp;rsquor;|3:1|Stefan Kuntz|for Jürgen Klinsmann']"/>
    <s v="['65&amp;rsquor;|3:1|Danny Boffin|for Rudi Smidts', '76&amp;rsquor;|3:1|Alexandre Czerniatynski|for Luc Nilis']"/>
  </r>
  <r>
    <s v="Spain"/>
    <s v="Switzerland"/>
    <n v="3"/>
    <m/>
    <m/>
    <n v="0"/>
    <m/>
    <m/>
    <s v="Javier Clemente"/>
    <s v="Andoni Zubizarreta"/>
    <s v="Roy Hodgson"/>
    <s v="Alain Geiger"/>
    <n v="53121"/>
    <s v="RFK Stadium, Washington Dc"/>
    <s v="Mario Van Der Ende (Referee) · Jan Dolstra (AR1) · Sandor Marton (AR2)"/>
    <x v="4"/>
    <x v="183"/>
    <s v="3–0"/>
    <s v="Mario Van Der Ende"/>
    <s v=""/>
    <x v="7"/>
    <x v="7"/>
    <s v="Fernando Hierro · 15|Luis Enrique · 74"/>
    <s v=""/>
    <s v="['15&amp;rsquor;|1:0|Fernando Hierro', '74&amp;rsquor;|2:0|Luis Enrique']"/>
    <s v=""/>
    <s v=""/>
    <s v=""/>
    <s v="Txiki Begiristain (P) · 86"/>
    <s v=""/>
    <s v=""/>
    <s v=""/>
    <s v=""/>
    <s v=""/>
    <s v=""/>
    <s v=""/>
    <s v=""/>
    <s v=""/>
    <s v=""/>
    <s v=""/>
    <s v="['18&amp;rsquor;|1:0|Ion Andoni Goikoetxea', '19&amp;rsquor;|1:0|Albert Ferrer', '22&amp;rsquor;|1:0|Francisco José Camarasa', '87&amp;rsquor;|3:0|Jorge Otero']"/>
    <s v="['23&amp;rsquor;|1:0|Marc Hottiger', '69&amp;rsquor;|1:0|Jürg Studer', '77&amp;rsquor;|2:0|Nestor Subiat', '85&amp;rsquor;|2:0|Marco Pascolo']"/>
    <s v="['61&amp;rsquor;|1:0|Txiki Begiristain|for Ion Andoni Goikoetxea', '76&amp;rsquor;|2:0|Jorge Otero|for Fernando Hierro']"/>
    <s v="['58&amp;rsquor;|1:0|Jürg Studer|for Yvan Quentin', '73&amp;rsquor;|1:0|Nestor Subiat|for Christophe Ohrel']"/>
  </r>
  <r>
    <s v="Greece"/>
    <s v="Nigeria"/>
    <n v="0"/>
    <m/>
    <m/>
    <n v="2"/>
    <m/>
    <m/>
    <s v="Alkis Panagoulias"/>
    <s v="Tasos Mitropoulos"/>
    <s v="Clemens Westerhof"/>
    <s v="Stephen Keshi"/>
    <n v="53001"/>
    <s v="Foxboro Stadium, Boston"/>
    <s v="Leslie Mottram (Referee) · Hae-Yong Park (AR1) · Paulo Jorge Alves (AR2)"/>
    <x v="5"/>
    <x v="184"/>
    <s v="0–2"/>
    <s v="Leslie Mottram"/>
    <s v=""/>
    <x v="7"/>
    <x v="7"/>
    <s v=""/>
    <s v="Finidi George · 45|Daniel Amokachi · 90"/>
    <s v=""/>
    <s v="['45&amp;rsquor;|0:1|Finidi George', '90&amp;rsquor;|0:2|Daniel Amokachi']"/>
    <s v=""/>
    <s v=""/>
    <s v=""/>
    <s v=""/>
    <s v=""/>
    <s v=""/>
    <s v=""/>
    <s v=""/>
    <s v=""/>
    <s v=""/>
    <s v=""/>
    <s v=""/>
    <s v=""/>
    <s v=""/>
    <s v="['32&amp;rsquor;|0:0|Tasos Mitropoulos', '41&amp;rsquor;|0:0|Ioannis Kalitzakis']"/>
    <s v="['66&amp;rsquor;|0:1|Sunday Oliseh', '70&amp;rsquor;|0:1|Stephen Keshi']"/>
    <s v="['71&amp;rsquor;|0:1|Nikos Tsiantakis|for Tasos Mitropoulos', '78&amp;rsquor;|0:1|Vasilis Dimitriadis|for Nikos Machlas']"/>
    <s v="['68&amp;rsquor;|0:1|Jay-Jay Okocha|for Rashidi Yekini', '83&amp;rsquor;|0:1|Mutiu Adepoju|for Finidi George']"/>
  </r>
  <r>
    <s v="Argentina"/>
    <s v="Bulgaria"/>
    <n v="0"/>
    <m/>
    <m/>
    <n v="2"/>
    <m/>
    <m/>
    <s v="Alfio Basile"/>
    <s v="Oscar Ruggeri"/>
    <s v="Dimitar Penev"/>
    <s v="Borislav Mikhailov"/>
    <n v="63998"/>
    <s v="Cotton Bowl, Dallas"/>
    <s v="Neji Jouini (Referee) · Tapio Yli-Karro (AR1) · El Jilali Mohamed Rharib (AR2)"/>
    <x v="5"/>
    <x v="184"/>
    <s v="0–2"/>
    <s v="Neji Jouini"/>
    <s v=""/>
    <x v="7"/>
    <x v="7"/>
    <s v=""/>
    <s v="Hristo Stoichkov · 61|Nasko Sirakov · 90"/>
    <s v=""/>
    <s v="['61&amp;rsquor;|0:1|Hristo Stoichkov', '90&amp;rsquor;|0:2|Nasko Sirakov']"/>
    <s v=""/>
    <s v=""/>
    <s v=""/>
    <s v=""/>
    <s v=""/>
    <s v=""/>
    <s v=""/>
    <s v=""/>
    <s v=""/>
    <s v=""/>
    <s v=""/>
    <s v=""/>
    <s v=""/>
    <s v="Tsanko Tsvetanov · 67"/>
    <s v="['34&amp;rsquor;|0:0|Oscar Ruggeri', '44&amp;rsquor;|0:0|Leonardo Rodríguez', '81&amp;rsquor;|0:1|Gabriel Batistuta']"/>
    <s v="['7&amp;rsquor;|0:0|Hristo Stoichkov', '24&amp;rsquor;|0:0|Zlatko Yankov', '45&amp;rsquor;|0:0|Tsanko Tsvetanov', '58&amp;rsquor;|0:0|Trifon Ivanov', '74&amp;rsquor;|0:1|Krasimir Balakov']"/>
    <s v="['26&amp;rsquor;|0:0|Ariel Ortega|for Claudio Caniggia', '67&amp;rsquor;|0:1|Ramón Medina Bello|for Leonardo Rodríguez']"/>
    <s v="['74&amp;rsquor;|0:1|Iliyan Kiryakov|for Emil Kostadinov', '77&amp;rsquor;|0:1|Daniel Borimirov|for Yordan Letchkov']"/>
  </r>
  <r>
    <s v="Morocco"/>
    <s v="Netherlands"/>
    <n v="1"/>
    <m/>
    <m/>
    <n v="2"/>
    <m/>
    <m/>
    <s v="Abdellah Blinda"/>
    <s v="Tahar El Khalej"/>
    <s v="Dick Advocaat"/>
    <s v="Ronald Koeman"/>
    <n v="60578"/>
    <s v="Citrus Bowl, Orlando"/>
    <s v="Alberto Tejada Noriega (Referee) · Venancio Zarate (AR1) · Mikael Everstig (AR2)"/>
    <x v="5"/>
    <x v="185"/>
    <s v="1–2"/>
    <s v="Alberto Tejada Noriega"/>
    <s v=""/>
    <x v="7"/>
    <x v="7"/>
    <s v="Hassan Nader · 47"/>
    <s v="Dennis Bergkamp · 43|Bryan Roy · 77"/>
    <s v="['47&amp;rsquor;|1:1|Hassan Nader']"/>
    <s v="['43&amp;rsquor;|0:1|Dennis Bergkamp', '77&amp;rsquor;|1:2|Bryan Roy']"/>
    <s v=""/>
    <s v=""/>
    <s v=""/>
    <s v=""/>
    <s v=""/>
    <s v=""/>
    <s v=""/>
    <s v=""/>
    <s v=""/>
    <s v=""/>
    <s v=""/>
    <s v=""/>
    <s v=""/>
    <s v=""/>
    <s v="['12&amp;rsquor;|0:0|Hassan Nader', '14&amp;rsquor;|0:0|Tahar El Khalej', '25&amp;rsquor;|0:0|Abdelmajid Bouyboud', '28&amp;rsquor;|0:0|El Arbi Hababi', '41&amp;rsquor;|0:0|Mohamed Samadi']"/>
    <s v="['75&amp;rsquor;|1:1|Jan Wouters', '79&amp;rsquor;|1:2|Stan Valckx']"/>
    <s v="['46&amp;rsquor;|0:1|Mustapha Hadji|for Abdelmajid Bouyboud', '61&amp;rsquor;|1:1|Rachid Daoudi|for Rachid Azzouzi']"/>
    <s v="['56&amp;rsquor;|1:1|Gaston Taument|for Marc Overmars', '67&amp;rsquor;|1:1|Bryan Roy|for Peter van Vossen']"/>
  </r>
  <r>
    <s v="Belgium"/>
    <s v="Saudi Arabia"/>
    <n v="0"/>
    <m/>
    <m/>
    <n v="1"/>
    <m/>
    <m/>
    <s v="Paul Van Himst"/>
    <s v="Enzo Scifo"/>
    <s v="Jorge Solari"/>
    <s v="Majed Abdullah"/>
    <n v="52959"/>
    <s v="RFK Stadium, Washington Dc"/>
    <s v="Hellmut Krug (Referee) · Eugene Brazzale (AR1) · Ernesto Taibi (AR2)"/>
    <x v="5"/>
    <x v="185"/>
    <s v="0–1"/>
    <s v="Hellmut Krug"/>
    <s v=""/>
    <x v="7"/>
    <x v="7"/>
    <s v=""/>
    <s v="Saeed Al-Owairan · 5"/>
    <s v=""/>
    <s v="['5&amp;rsquor;|0:1|Saeed Al-Owairan']"/>
    <s v=""/>
    <s v=""/>
    <s v=""/>
    <s v=""/>
    <s v=""/>
    <s v=""/>
    <s v=""/>
    <s v=""/>
    <s v=""/>
    <s v=""/>
    <s v=""/>
    <s v=""/>
    <s v=""/>
    <s v=""/>
    <s v="['61&amp;rsquor;|0:1|Enzo Scifo', '80&amp;rsquor;|0:1|Rudi Smidts']"/>
    <s v="['3&amp;rsquor;|0:0|Ahmed Jamil Madani', '77&amp;rsquor;|0:1|Hamzah Idris']"/>
    <s v="['23&amp;rsquor;|0:1|Luc Nilis|for Marc Degryse', '53&amp;rsquor;|0:1|Josip Weber|for Marc Wilmots']"/>
    <s v="['46&amp;rsquor;|0:1|Khaled Al-Muwallid|for Majed Abdullah', '63&amp;rsquor;|0:1|Abdullah Al-Dosari|for Saeed Al-Owairan']"/>
  </r>
  <r>
    <s v="Italy"/>
    <s v="Mexico"/>
    <n v="1"/>
    <m/>
    <m/>
    <n v="1"/>
    <m/>
    <m/>
    <s v="Arrigo Sacchi"/>
    <s v="Paolo Maldini"/>
    <s v="Miguel Mejia Baron"/>
    <s v="Ignacio Ambríz"/>
    <n v="52535"/>
    <s v="RFK Stadium, Washington Dc"/>
    <s v="Francisco Oscar Lamolina (Referee) · Ernesto Taibi (AR1) · Eugene Brazzale (AR2)"/>
    <x v="5"/>
    <x v="186"/>
    <s v="1–1"/>
    <s v="Francisco Oscar Lamolina"/>
    <s v=""/>
    <x v="7"/>
    <x v="7"/>
    <s v="Daniele Massaro · 48"/>
    <s v="Marcelino Bernal · 57"/>
    <s v="['48&amp;rsquor;|1:0|Daniele Massaro']"/>
    <s v="['57&amp;rsquor;|1:1|Marcelino Bernal']"/>
    <s v=""/>
    <s v=""/>
    <s v=""/>
    <s v=""/>
    <s v=""/>
    <s v=""/>
    <s v=""/>
    <s v=""/>
    <s v=""/>
    <s v=""/>
    <s v=""/>
    <s v=""/>
    <s v=""/>
    <s v=""/>
    <s v="['33&amp;rsquor;|0:0|Demetrio Albertini']"/>
    <s v="['25&amp;rsquor;|0:0|Joaquín del Olmo', '63&amp;rsquor;|1:1|Luis García Postigo', '66&amp;rsquor;|1:1|Alberto García Aspe']"/>
    <s v="['46&amp;rsquor;|0:0|Daniele Massaro|for Pierluigi Casiraghi', '65&amp;rsquor;|1:1|Roberto Donadoni|for Dino Baggio']"/>
    <s v="['83&amp;rsquor;|1:1|Juan Carlos Chávez|for Luis García Postigo']"/>
  </r>
  <r>
    <s v="Republic of Ireland"/>
    <s v="Norway"/>
    <n v="0"/>
    <m/>
    <m/>
    <n v="0"/>
    <m/>
    <m/>
    <s v="Jack Charlton"/>
    <s v="Andy Townsend"/>
    <s v="Egil Olsen"/>
    <s v="Rune Bratseth"/>
    <n v="72404"/>
    <s v="Giants Stadium, New York/New Jersey"/>
    <s v="Jose Joaquin Torres Cadena (Referee) · Paulo Jorge Alves (AR1) · Hae-Yong Park (AR2)"/>
    <x v="5"/>
    <x v="186"/>
    <s v="0–0"/>
    <s v="Jose Joaquin Torres Cadena"/>
    <s v=""/>
    <x v="7"/>
    <x v="7"/>
    <s v=""/>
    <s v=""/>
    <s v=""/>
    <s v=""/>
    <s v=""/>
    <s v=""/>
    <s v=""/>
    <s v=""/>
    <s v=""/>
    <s v=""/>
    <s v=""/>
    <s v=""/>
    <s v=""/>
    <s v=""/>
    <s v=""/>
    <s v=""/>
    <s v=""/>
    <s v=""/>
    <s v="['3&amp;rsquor;|0:0|Roy Keane', '29&amp;rsquor;|0:0|Ray Houghton', '83&amp;rsquor;|0:0|Gary Kelly']"/>
    <s v="['36&amp;rsquor;|0:0|Gøran Sørloth', '45&amp;rsquor;|0:0|Erland Johnsen']"/>
    <s v="['64&amp;rsquor;|0:0|David Kelly|for John Aldridge', '74&amp;rsquor;|0:0|Ronnie Whelan|for Andy Townsend']"/>
    <s v="['34&amp;rsquor;|0:0|Mini Jakobsen|for Gunnar Halle', '67&amp;rsquor;|0:0|Lars Bohinen']"/>
  </r>
  <r>
    <s v="Russia"/>
    <s v="Cameroon"/>
    <n v="6"/>
    <m/>
    <m/>
    <n v="1"/>
    <m/>
    <m/>
    <s v="Pavel Sadyrin"/>
    <s v="Viktor Onopko"/>
    <s v="Henri Michel"/>
    <s v="Stephen Tataw"/>
    <n v="74914"/>
    <s v="Stanford Stadium, San Francisco"/>
    <s v="Jamal Al Sharif (Referee) · Gordon Dunster (AR1) · Jan Dolstra (AR2)"/>
    <x v="5"/>
    <x v="186"/>
    <s v="6–1"/>
    <s v="Jamal Al Sharif"/>
    <s v=""/>
    <x v="7"/>
    <x v="7"/>
    <s v="Oleg Salenko · 15|Oleg Salenko · 41|Oleg Salenko · 72|Oleg Salenko · 75|Dmitri Radchenko · 81"/>
    <s v="Roger Milla · 46"/>
    <s v="['15&amp;rsquor;|1:0|Oleg Salenko', '41&amp;rsquor;|2:0|Oleg Salenko', '72&amp;rsquor;|4:1|Oleg Salenko', '75&amp;rsquor;|5:1|Oleg Salenko', '81&amp;rsquor;|6:1|Dmitri Radchenko']"/>
    <s v="['46&amp;rsquor;|3:1|Roger Milla']"/>
    <s v=""/>
    <s v=""/>
    <s v="Oleg Salenko (P) · 44"/>
    <s v=""/>
    <s v=""/>
    <s v=""/>
    <s v=""/>
    <s v=""/>
    <s v=""/>
    <s v=""/>
    <s v=""/>
    <s v=""/>
    <s v=""/>
    <s v=""/>
    <s v="['57&amp;rsquor;|3:1|Valeri Karpin', '87&amp;rsquor;|6:1|Dmitri Khlestov', '90&amp;rsquor;|6:1|Yuriy Nikiforov']"/>
    <s v="['12&amp;rsquor;|0:0|André Kana-Biyik', &quot;44&amp;rsquor;|3:0|Jacques Songo'o&quot;]"/>
    <s v="['64&amp;rsquor;|3:1|Dmitri Radchenko|for Igor Korneev', '77&amp;rsquor;|5:1|Vladimir Beschastnykh|for Igor Lediakhov']"/>
    <s v="[&quot;46&amp;rsquor;|3:1|Roger Milla|for Louis-Paul M'Fédé&quot;, '48&amp;rsquor;|3:1|Alphonse Tchami']"/>
  </r>
  <r>
    <s v="Brazil"/>
    <s v="Sweden"/>
    <n v="1"/>
    <m/>
    <m/>
    <n v="1"/>
    <m/>
    <m/>
    <s v="Carlos Alberto Parreira"/>
    <s v="Raí"/>
    <s v="Tommy Svensson"/>
    <s v="Jonas Thern"/>
    <n v="77217"/>
    <s v="Pontiac Silverdome, Detroit"/>
    <s v="Sandor Puhl (Referee) · Sandor Marton (AR1) · Luc Matthys (AR2)"/>
    <x v="5"/>
    <x v="186"/>
    <s v="1–1"/>
    <s v="Sandor Puhl"/>
    <s v=""/>
    <x v="7"/>
    <x v="7"/>
    <s v="Romário · 46"/>
    <s v="Kennet Andersson · 23"/>
    <s v="['46&amp;rsquor;|1:1|Romário']"/>
    <s v="['23&amp;rsquor;|0:1|Kennet Andersson']"/>
    <s v=""/>
    <s v=""/>
    <s v=""/>
    <s v=""/>
    <s v=""/>
    <s v=""/>
    <s v=""/>
    <s v=""/>
    <s v=""/>
    <s v=""/>
    <s v=""/>
    <s v=""/>
    <s v=""/>
    <s v=""/>
    <s v="['23&amp;rsquor;|0:1|Aldair']"/>
    <s v="['83&amp;rsquor;|1:1|Håkan Mild']"/>
    <s v="['46&amp;rsquor;|1:1|Mazinho|for Mauro Silva', '83&amp;rsquor;|1:1|Paulo Sérgio de Oliveira Lima|for Raí']"/>
    <s v="['64&amp;rsquor;|1:1|Jesper Blomqvist|for Henrik Larsson', '75&amp;rsquor;|1:1|Håkan Mild|for Stefan Schwarz']"/>
  </r>
  <r>
    <s v="Germany"/>
    <s v="Korea Republic"/>
    <n v="3"/>
    <m/>
    <m/>
    <n v="2"/>
    <m/>
    <m/>
    <s v="Berti Vogts"/>
    <s v="Lothar Matthäus"/>
    <s v="Ho Kon Kim"/>
    <s v="Choi In-young"/>
    <n v="63998"/>
    <s v="Cotton Bowl, Dallas"/>
    <s v="Joel Quiniou (Referee) · Valentin Ivanov (AR1) · Abdel-Magid Hassan (AR2)"/>
    <x v="5"/>
    <x v="187"/>
    <s v="3–2"/>
    <s v="Joel Quiniou"/>
    <s v=""/>
    <x v="7"/>
    <x v="7"/>
    <s v="Jürgen Klinsmann · 12|Karl-Heinz Riedle · 20|Jürgen Klinsmann · 37"/>
    <s v="Hwang Sun-hong · 52|Hong Myung-bo · 63"/>
    <s v="['12&amp;rsquor;|1:0|Jürgen Klinsmann', '20&amp;rsquor;|2:0|Karl-Heinz Riedle', '37&amp;rsquor;|3:0|Jürgen Klinsmann']"/>
    <s v="['52&amp;rsquor;|3:1|Hwang Sun-hong', '63&amp;rsquor;|3:2|Hong Myung-bo']"/>
    <s v=""/>
    <s v=""/>
    <s v=""/>
    <s v=""/>
    <s v=""/>
    <s v=""/>
    <s v=""/>
    <s v=""/>
    <s v=""/>
    <s v=""/>
    <s v=""/>
    <s v=""/>
    <s v=""/>
    <s v=""/>
    <s v="['24&amp;rsquor;|2:0|Andreas Brehme', '28&amp;rsquor;|2:0|Jürgen Klinsmann', '44&amp;rsquor;|3:0|Stefan Effenberg']"/>
    <s v="['89&amp;rsquor;|3:2|Choi Young-il']"/>
    <s v="['64&amp;rsquor;|3:2|Andreas Möller|for Lothar Matthäus', '75&amp;rsquor;|3:2|Thomas Helmer|for Stefan Effenberg']"/>
    <s v="['39&amp;rsquor;|3:0|Chung Jong-son|for Lee Young-jin', '46&amp;rsquor;|3:0|Seo Jung-won|for Cho Jin-ho', '46&amp;rsquor;|3:0|Lee Woon-jae|for Choi In-young']"/>
  </r>
  <r>
    <s v="Bolivia"/>
    <s v="Spain"/>
    <n v="1"/>
    <m/>
    <m/>
    <n v="3"/>
    <m/>
    <m/>
    <s v="Xavier Azkargorta Uriarte"/>
    <s v="Carlos Fernando Borja"/>
    <s v="Javier Clemente"/>
    <s v="Andoni Zubizarreta"/>
    <n v="63089"/>
    <s v="Soldier Field, Chicago"/>
    <s v="Rodrigo Badilla (Referee) · Raimundo Calix Garcia (AR1) · Yousif Abdulla Al Ghattan (AR2)"/>
    <x v="5"/>
    <x v="187"/>
    <s v="1–3"/>
    <s v="Rodrigo Badilla"/>
    <s v=""/>
    <x v="7"/>
    <x v="7"/>
    <s v="Erwin Sánchez · 67"/>
    <s v="José Luis Caminero · 66|José Luis Caminero · 70"/>
    <s v="['67&amp;rsquor;|1:2|Erwin Sánchez']"/>
    <s v="['66&amp;rsquor;|0:2|José Luis Caminero', '70&amp;rsquor;|1:3|José Luis Caminero']"/>
    <s v=""/>
    <s v=""/>
    <s v=""/>
    <s v="Pep Guardiola (P) · 19"/>
    <s v=""/>
    <s v=""/>
    <s v=""/>
    <s v=""/>
    <s v=""/>
    <s v=""/>
    <s v=""/>
    <s v=""/>
    <s v=""/>
    <s v=""/>
    <s v=""/>
    <s v="['46&amp;rsquor;|0:1|Albert Ferrer', '90&amp;rsquor;|1:3|José Luis Caminero']"/>
    <s v="['46&amp;rsquor;|0:1|Jaime Moreno|for Mauricio Ramos', '62&amp;rsquor;|0:1|Ramiro Castillo|for Vladimir Soria']"/>
    <s v="['46&amp;rsquor;|0:1|Fernando Hierro|for Felipe Miñambres', '68&amp;rsquor;|1:2|José Mari Bakero|for Pep Guardiola']"/>
  </r>
  <r>
    <s v="Bulgaria"/>
    <s v="Greece"/>
    <n v="4"/>
    <m/>
    <m/>
    <n v="0"/>
    <m/>
    <m/>
    <s v="Dimitar Penev"/>
    <s v="Borislav Mikhailov"/>
    <s v="Alkis Panagoulias"/>
    <s v="Stratos Apostolakis"/>
    <n v="63160"/>
    <s v="Soldier Field, Chicago"/>
    <s v="Ali Bujsaim (Referee) · Yousif Abdulla Al Ghattan (AR1) · Raimundo Calix Garcia (AR2)"/>
    <x v="5"/>
    <x v="188"/>
    <s v="4–0"/>
    <s v="Ali Bujsaim"/>
    <s v=""/>
    <x v="7"/>
    <x v="7"/>
    <s v="Yordan Letchkov · 65|Daniel Borimirov · 90"/>
    <s v=""/>
    <s v="['65&amp;rsquor;|3:0|Yordan Letchkov', '90&amp;rsquor;|4:0|Daniel Borimirov']"/>
    <s v=""/>
    <s v=""/>
    <s v=""/>
    <s v="Hristo Stoichkov (P) · 5|Hristo Stoichkov (P) · 55"/>
    <s v=""/>
    <s v=""/>
    <s v=""/>
    <s v=""/>
    <s v=""/>
    <s v=""/>
    <s v=""/>
    <s v=""/>
    <s v=""/>
    <s v=""/>
    <s v=""/>
    <s v="['17&amp;rsquor;|1:0|Petar Hubchev', '26&amp;rsquor;|1:0|Trifon Ivanov', '33&amp;rsquor;|1:0|Zlatko Yankov', '84&amp;rsquor;|3:0|Daniel Borimirov']"/>
    <s v="['6&amp;rsquor;|1:0|Alexis Alexoudis', '42&amp;rsquor;|1:0|Minas Hantzidis', '59&amp;rsquor;|2:0|Tasos Mitropoulos', '70&amp;rsquor;|3:0|Vaios Karagiannis']"/>
    <s v="['77&amp;rsquor;|3:0|Iliyan Kiryakov|for Tsanko Tsvetanov', '82&amp;rsquor;|3:0|Daniel Borimirov|for Emil Kostadinov']"/>
    <s v="['48&amp;rsquor;|1:0|Tasos Mitropoulos|for Minas Hantzidis', '58&amp;rsquor;|2:0|Vasilis Dimitriadis|for Alexis Alexoudis']"/>
  </r>
  <r>
    <s v="United States"/>
    <s v="Romania"/>
    <n v="0"/>
    <m/>
    <m/>
    <n v="1"/>
    <m/>
    <m/>
    <s v="Bora Milutinovic"/>
    <s v="Tony Meola"/>
    <s v="Anghel Iordanescu"/>
    <s v="Gheorghe Hagi"/>
    <n v="93869"/>
    <s v="Rose Bowl, Los Angeles"/>
    <s v="Mario Van Der Ende (Referee) · Jan Dolstra (AR1) · Gordon Dunster (AR2)"/>
    <x v="5"/>
    <x v="188"/>
    <s v="0–1"/>
    <s v="Mario Van Der Ende"/>
    <s v=""/>
    <x v="7"/>
    <x v="7"/>
    <s v=""/>
    <s v="Dan Petrescu · 18"/>
    <s v=""/>
    <s v="['18&amp;rsquor;|0:1|Dan Petrescu']"/>
    <s v=""/>
    <s v=""/>
    <s v=""/>
    <s v=""/>
    <s v=""/>
    <s v=""/>
    <s v=""/>
    <s v=""/>
    <s v=""/>
    <s v=""/>
    <s v=""/>
    <s v=""/>
    <s v=""/>
    <s v=""/>
    <s v="['41&amp;rsquor;|0:1|John Harkes', '48&amp;rsquor;|0:1|Fernando Clavijo']"/>
    <s v="['62&amp;rsquor;|0:1|Florin Răducioiu', '73&amp;rsquor;|0:1|Dan Petrescu']"/>
    <s v="['63&amp;rsquor;|0:1|Cobi Jones|for Tab Ramos', '75&amp;rsquor;|0:1|Roy Wegerle|for Mike Sorber']"/>
    <s v="['83&amp;rsquor;|0:1|Constantin Gâlcă|for Florin Răducioiu', '88&amp;rsquor;|0:1|Gheorghe Mihali|for Miodrag Belodedici']"/>
  </r>
  <r>
    <s v="Switzerland"/>
    <s v="Colombia"/>
    <n v="0"/>
    <m/>
    <m/>
    <n v="2"/>
    <m/>
    <m/>
    <s v="Roy Hodgson"/>
    <s v="Alain Geiger"/>
    <s v="Francisco Maturana"/>
    <s v="Carlos Valderrama"/>
    <n v="83401"/>
    <s v="Stanford Stadium, San Francisco"/>
    <s v="Peter Mikkelsen (Referee) · Carl-Johan Meyer Christensen (AR1) · Douglas Micael James (AR2)"/>
    <x v="5"/>
    <x v="188"/>
    <s v="0–2"/>
    <s v="Peter Mikkelsen"/>
    <s v=""/>
    <x v="7"/>
    <x v="7"/>
    <s v=""/>
    <s v="Hernán Gaviria · 44|John Harold Lozano · 90"/>
    <s v=""/>
    <s v="['44&amp;rsquor;|0:1|Hernán Gaviria', '90&amp;rsquor;|0:2|John Harold Lozano']"/>
    <s v=""/>
    <s v=""/>
    <s v=""/>
    <s v=""/>
    <s v=""/>
    <s v=""/>
    <s v=""/>
    <s v=""/>
    <s v=""/>
    <s v=""/>
    <s v=""/>
    <s v=""/>
    <s v=""/>
    <s v=""/>
    <s v="['39&amp;rsquor;|0:0|Adrian Knup', '85&amp;rsquor;|0:1|Georges Bregy']"/>
    <s v="['58&amp;rsquor;|0:1|Hernán Gaviria', '62&amp;rsquor;|0:1|Carlos Valderrama', '80&amp;rsquor;|0:1|Leonel Álvarez']"/>
    <s v="['81&amp;rsquor;|0:1|Nestor Subiat|for Alain Sutter', '81&amp;rsquor;|0:1|Marco Grassi|for Adrian Knup']"/>
    <s v="['63&amp;rsquor;|0:1|Antony de Ávila|for Adolfo Valencia', '78&amp;rsquor;|0:1|John Harold Lozano|for Hernán Gaviria']"/>
  </r>
  <r>
    <s v="Belgium"/>
    <s v="Netherlands"/>
    <n v="1"/>
    <m/>
    <m/>
    <n v="0"/>
    <m/>
    <m/>
    <s v="Paul Van Himst"/>
    <s v="Georges Grün"/>
    <s v="Dick Advocaat"/>
    <s v="Ronald Koeman"/>
    <n v="62387"/>
    <s v="Citrus Bowl, Orlando"/>
    <s v="Renato Marsiglia (Referee) · Paulo Jorge Alves (AR1) · Michal Listkiewicz (AR2)"/>
    <x v="5"/>
    <x v="189"/>
    <s v="1–0"/>
    <s v="Renato Marsiglia"/>
    <s v=""/>
    <x v="7"/>
    <x v="7"/>
    <s v="Philippe Albert · 65"/>
    <s v=""/>
    <s v="['65&amp;rsquor;|1:0|Philippe Albert']"/>
    <s v=""/>
    <s v=""/>
    <s v=""/>
    <s v=""/>
    <s v=""/>
    <s v=""/>
    <s v=""/>
    <s v=""/>
    <s v=""/>
    <s v=""/>
    <s v=""/>
    <s v=""/>
    <s v=""/>
    <s v=""/>
    <s v=""/>
    <s v="['20&amp;rsquor;|0:0|Vital Borkelmans']"/>
    <s v="['19&amp;rsquor;|0:0|Jan Wouters', '39&amp;rsquor;|0:0|Wim Jonk', '49&amp;rsquor;|0:0|Rob Witschge', '81&amp;rsquor;|1:0|Frank Rijkaard', '88&amp;rsquor;|1:0|Dennis Bergkamp']"/>
    <s v="['61&amp;rsquor;|0:0|Rudi Smidts|for Vital Borkelmans', '78&amp;rsquor;|1:0|Dirk Medved|for Marc Emmers']"/>
    <s v="['46&amp;rsquor;|0:0|Rob Witschge|for Ronald de Boer', '64&amp;rsquor;|0:0|Marc Overmars']"/>
  </r>
  <r>
    <s v="Saudi Arabia"/>
    <s v="Morocco"/>
    <n v="2"/>
    <m/>
    <m/>
    <n v="1"/>
    <m/>
    <m/>
    <s v="Jorge Solari"/>
    <s v="Mohamed Al-Jawad"/>
    <s v="Abdellah Blinda"/>
    <s v="Khalil Azmi"/>
    <n v="76322"/>
    <s v="Giants Stadium, New York/New Jersey"/>
    <s v="Philip Don (Referee) · Roy Pearson (AR1) · Tapio Yli-Karro (AR2)"/>
    <x v="5"/>
    <x v="189"/>
    <s v="2–1"/>
    <s v="Philip Don"/>
    <s v=""/>
    <x v="7"/>
    <x v="7"/>
    <s v="Fuad Anwar · 45"/>
    <s v="Mohammed Chaouch · 26"/>
    <s v="['45&amp;rsquor;|2:1|Fuad Anwar']"/>
    <s v="['26&amp;rsquor;|1:1|Mohammed Chaouch']"/>
    <s v=""/>
    <s v=""/>
    <s v="Sami Al-Jaber (P) · 7"/>
    <s v=""/>
    <s v=""/>
    <s v=""/>
    <s v=""/>
    <s v=""/>
    <s v=""/>
    <s v=""/>
    <s v=""/>
    <s v=""/>
    <s v=""/>
    <s v=""/>
    <s v="['50&amp;rsquor;|2:1|Talal Jebreen', '75&amp;rsquor;|2:1|Fuad Anwar', '78&amp;rsquor;|2:1|Khaled Al-Muwallid', '90&amp;rsquor;|2:1|Mohamed Al-Deayea']"/>
    <s v="['34&amp;rsquor;|1:1|Abdelkrim El Hadrioui', '83&amp;rsquor;|2:1|Noureddine Naybet']"/>
    <s v="['29&amp;rsquor;|1:1|Abdullah Zubromawi|for Awad Al-Anazi', '79&amp;rsquor;|2:1|Fahad Al-Ghesheyan|for Sami Al-Jaber']"/>
    <s v="['57&amp;rsquor;|2:1|Abdeslam Laghrissi|for Nacer Abdellah', '72&amp;rsquor;|2:1|Mustapha Hadji|for El Arbi Hababi']"/>
  </r>
  <r>
    <s v="Argentina"/>
    <s v="Nigeria"/>
    <n v="2"/>
    <m/>
    <m/>
    <n v="1"/>
    <m/>
    <m/>
    <s v="Alfio Basile"/>
    <s v="Diego Maradona"/>
    <s v="Clemens Westerhof"/>
    <s v="Peter Rufai"/>
    <n v="54453"/>
    <s v="Foxboro Stadium, Boston"/>
    <s v="Bo Karlsson (Referee) · Mikael Everstig (AR1) · Luc Matthys (AR2)"/>
    <x v="5"/>
    <x v="189"/>
    <s v="2–1"/>
    <s v="Bo Karlsson"/>
    <s v=""/>
    <x v="7"/>
    <x v="7"/>
    <s v="Claudio Caniggia · 21|Claudio Caniggia · 28"/>
    <s v="Samson Siasia · 8"/>
    <s v="['21&amp;rsquor;|1:1|Claudio Caniggia', '28&amp;rsquor;|2:1|Claudio Caniggia']"/>
    <s v="['8&amp;rsquor;|0:1|Samson Siasia']"/>
    <s v=""/>
    <s v=""/>
    <s v=""/>
    <s v=""/>
    <s v=""/>
    <s v=""/>
    <s v=""/>
    <s v=""/>
    <s v=""/>
    <s v=""/>
    <s v=""/>
    <s v=""/>
    <s v=""/>
    <s v=""/>
    <s v="['54&amp;rsquor;|2:1|Claudio Caniggia']"/>
    <s v="['20&amp;rsquor;|0:1|Augustine Eguavoen', '53&amp;rsquor;|2:1|Michael Emenalo']"/>
    <s v="['70&amp;rsquor;|2:1|Alejandro Mancuso', '86&amp;rsquor;|2:1|Hernán Díaz|for Roberto Sensini']"/>
    <s v="['56&amp;rsquor;|2:1|Mutiu Adepoju|for Samson Siasia', '86&amp;rsquor;|2:1|Jay-Jay Okocha|for Sunday Oliseh']"/>
  </r>
  <r>
    <s v="Mexico"/>
    <s v="Republic of Ireland"/>
    <n v="2"/>
    <m/>
    <m/>
    <n v="1"/>
    <m/>
    <m/>
    <s v="Miguel Mejia Baron"/>
    <s v="Ignacio Ambríz"/>
    <s v="Jack Charlton"/>
    <s v="Andy Townsend"/>
    <n v="60790"/>
    <s v="Citrus Bowl, Orlando"/>
    <s v="Kurt Roethlisberger (Referee) · Michal Listkiewicz (AR1) · Paulo Jorge Alves (AR2)"/>
    <x v="5"/>
    <x v="190"/>
    <s v="2–1"/>
    <s v="Kurt Roethlisberger"/>
    <s v=""/>
    <x v="7"/>
    <x v="7"/>
    <s v="Luis García Postigo · 42|Luis García Postigo · 65"/>
    <s v="John Aldridge · 84"/>
    <s v="['42&amp;rsquor;|1:0|Luis García Postigo', '65&amp;rsquor;|2:0|Luis García Postigo']"/>
    <s v="['84&amp;rsquor;|2:1|John Aldridge']"/>
    <s v=""/>
    <s v=""/>
    <s v=""/>
    <s v=""/>
    <s v=""/>
    <s v=""/>
    <s v=""/>
    <s v=""/>
    <s v=""/>
    <s v=""/>
    <s v=""/>
    <s v=""/>
    <s v=""/>
    <s v=""/>
    <s v="['45&amp;rsquor;|1:0|Joaquín del Olmo', '57&amp;rsquor;|1:0|Jorge Campos']"/>
    <s v="['26&amp;rsquor;|0:0|Denis Irwin', '70&amp;rsquor;|2:0|Terry Phelan']"/>
    <s v="['80&amp;rsquor;|2:0|Luis Miguel Salvador|for Carlos Hermosillo', '80&amp;rsquor;|2:0|Raúl Gutiérrez|for Joaquín del Olmo']"/>
    <s v="['66&amp;rsquor;|2:0|Jason McAteer|for Steve Staunton', '67&amp;rsquor;|2:0|John Aldridge|for Tommy Coyne']"/>
  </r>
  <r>
    <s v="Brazil"/>
    <s v="Cameroon"/>
    <n v="3"/>
    <m/>
    <m/>
    <n v="0"/>
    <m/>
    <m/>
    <s v="Carlos Alberto Parreira"/>
    <s v="Raí"/>
    <s v="Henri Michel"/>
    <s v="Stephen Tataw"/>
    <n v="83401"/>
    <s v="Stanford Stadium, San Francisco"/>
    <s v="Arturo Brizio Carter (Referee) · Douglas Micael James (AR1) · Carl-Johan Meyer Christensen (AR2)"/>
    <x v="5"/>
    <x v="190"/>
    <s v="3–0"/>
    <s v="Arturo Brizio Carter"/>
    <s v=""/>
    <x v="7"/>
    <x v="7"/>
    <s v="Romário · 39|Márcio Santos · 66|Bebeto · 73"/>
    <s v=""/>
    <s v="['39&amp;rsquor;|1:0|Romário', '66&amp;rsquor;|2:0|Márcio Santos', '73&amp;rsquor;|3:0|Bebeto']"/>
    <s v=""/>
    <s v=""/>
    <s v=""/>
    <s v=""/>
    <s v=""/>
    <s v=""/>
    <s v=""/>
    <s v=""/>
    <s v=""/>
    <s v=""/>
    <s v=""/>
    <s v=""/>
    <s v="Rigobert Song · 63"/>
    <s v=""/>
    <s v=""/>
    <s v="['44&amp;rsquor;|1:0|Mauro Silva']"/>
    <s v="['8&amp;rsquor;|0:0|Stephen Tataw', '37&amp;rsquor;|0:0|Raymond Kalla']"/>
    <s v="['75&amp;rsquor;|3:0|Paulo Sérgio de Oliveira Lima|for Zinho', '81&amp;rsquor;|3:0|Müller|for Raí']"/>
    <s v="['64&amp;rsquor;|1:0|Roger Milla|for David Embé', '72&amp;rsquor;|2:0|Emmanuel Maboang']"/>
  </r>
  <r>
    <s v="Sweden"/>
    <s v="Russia"/>
    <n v="3"/>
    <m/>
    <m/>
    <n v="1"/>
    <m/>
    <m/>
    <s v="Tommy Svensson"/>
    <s v="Jonas Thern"/>
    <s v="Pavel Sadyrin"/>
    <s v="Dmitri Kharine"/>
    <n v="71528"/>
    <s v="Pontiac Silverdome, Detroit"/>
    <s v="Joel Quiniou (Referee) · Mohammad Fanaei (AR1) · Abdel-Magid Hassan (AR2)"/>
    <x v="5"/>
    <x v="190"/>
    <s v="3–1"/>
    <s v="Joel Quiniou"/>
    <s v=""/>
    <x v="7"/>
    <x v="7"/>
    <s v="Martin Dahlin · 59|Martin Dahlin · 81"/>
    <s v=""/>
    <s v="['59&amp;rsquor;|2:1|Martin Dahlin', '81&amp;rsquor;|3:1|Martin Dahlin']"/>
    <s v=""/>
    <s v=""/>
    <s v=""/>
    <s v="Tomas Brolin (P) · 37"/>
    <s v="Oleg Salenko (P) · 4"/>
    <s v=""/>
    <s v=""/>
    <s v=""/>
    <s v=""/>
    <s v=""/>
    <s v=""/>
    <s v=""/>
    <s v=""/>
    <s v=""/>
    <s v="Sergei Gorlukovich · 49"/>
    <s v="['41&amp;rsquor;|1:1|Kennet Andersson', '51&amp;rsquor;|1:1|Stefan Schwarz', '58&amp;rsquor;|1:1|Martin Dahlin']"/>
    <s v="['1&amp;rsquor;|0:0|Sergei Gorlukovich', '34&amp;rsquor;|0:1|Dmitri Kharine']"/>
    <s v="['84&amp;rsquor;|3:1|Henrik Larsson|for Kennet Andersson', '89&amp;rsquor;|3:1|Magnus Erlingmark|for Joachim Björklund']"/>
    <s v="['40&amp;rsquor;|1:1|Valeri Karpin|for Dmitri Popov', '51&amp;rsquor;|1:1|Dmitri Galiamin']"/>
  </r>
  <r>
    <s v="Italy"/>
    <s v="Norway"/>
    <n v="1"/>
    <m/>
    <m/>
    <n v="0"/>
    <m/>
    <m/>
    <s v="Arrigo Sacchi"/>
    <s v="Franco Baresi"/>
    <s v="Egil Olsen"/>
    <s v="Rune Bratseth"/>
    <n v="74624"/>
    <s v="Giants Stadium, New York/New Jersey"/>
    <s v="Hellmut Krug (Referee) · Tapio Yli-Karro (AR1) · Roy Pearson (AR2)"/>
    <x v="5"/>
    <x v="191"/>
    <s v="1–0"/>
    <s v="Hellmut Krug"/>
    <s v=""/>
    <x v="7"/>
    <x v="7"/>
    <s v="Dino Baggio · 69"/>
    <s v=""/>
    <s v="['69&amp;rsquor;|1:0|Dino Baggio']"/>
    <s v=""/>
    <s v=""/>
    <s v=""/>
    <s v=""/>
    <s v=""/>
    <s v=""/>
    <s v=""/>
    <s v=""/>
    <s v=""/>
    <s v=""/>
    <s v=""/>
    <s v="Gianluca Pagliuca · 21"/>
    <s v=""/>
    <s v=""/>
    <s v=""/>
    <s v="['34&amp;rsquor;|0:0|Pierluigi Casiraghi']"/>
    <s v="['32&amp;rsquor;|0:0|Stig Inge Bjørnebye', '68&amp;rsquor;|0:0|Alf-Inge Håland']"/>
    <s v="['21&amp;rsquor;|0:0|Luca Marchegiani|for Roberto Baggio', '49&amp;rsquor;|0:0|Luigi Apolloni|for Franco Baresi', '68&amp;rsquor;|0:0|Daniele Massaro|for Pierluigi Casiraghi']"/>
    <s v="['46&amp;rsquor;|0:0|Mini Jakobsen|for Sigurd Rushfeldt', '81&amp;rsquor;|1:0|Kjetil Rekdal|for Erik Mykland']"/>
  </r>
  <r>
    <s v="Korea Republic"/>
    <s v="Bolivia"/>
    <n v="0"/>
    <m/>
    <m/>
    <n v="0"/>
    <m/>
    <m/>
    <s v="Ho Kon Kim"/>
    <s v="Choi In-young"/>
    <s v="Xavier Azkargorta Uriarte"/>
    <s v="Carlos Fernando Borja"/>
    <n v="54453"/>
    <s v="Foxboro Stadium, Boston"/>
    <s v="Leslie Mottram (Referee) · Luc Matthys (AR1) · Mikael Everstig (AR2)"/>
    <x v="5"/>
    <x v="191"/>
    <s v="0–0"/>
    <s v="Leslie Mottram"/>
    <s v=""/>
    <x v="7"/>
    <x v="7"/>
    <s v=""/>
    <s v=""/>
    <s v=""/>
    <s v=""/>
    <s v=""/>
    <s v=""/>
    <s v=""/>
    <s v=""/>
    <s v=""/>
    <s v=""/>
    <s v=""/>
    <s v=""/>
    <s v=""/>
    <s v=""/>
    <s v=""/>
    <s v=""/>
    <s v=""/>
    <s v="Luis Cristaldo · 82"/>
    <s v="['38&amp;rsquor;|0:0|Ko Jeong-woon', '62&amp;rsquor;|0:0|Shin Hong-gi', '89&amp;rsquor;|0:0|Park Jung-bae']"/>
    <s v="['22&amp;rsquor;|0:0|Luis Cristaldo', '22&amp;rsquor;|0:0|Miguel Rimba', '32&amp;rsquor;|0:0|Julio César Baldivieso']"/>
    <s v="['65&amp;rsquor;|0:0|Ha Seok-ju|for Seo Jung-won', '71&amp;rsquor;|0:0|Choi Young-il|for Noh Jung-yoon']"/>
    <s v="['66&amp;rsquor;|0:0|Álvaro Peña|for William Ramallo']"/>
  </r>
  <r>
    <s v="Romania"/>
    <s v="Switzerland"/>
    <n v="1"/>
    <m/>
    <m/>
    <n v="4"/>
    <m/>
    <m/>
    <s v="Anghel Iordanescu"/>
    <s v="Gheorghe Hagi"/>
    <s v="Roy Hodgson"/>
    <s v="Alain Geiger"/>
    <n v="61428"/>
    <s v="Pontiac Silverdome, Detroit"/>
    <s v="Neji Jouini (Referee) · Abdel-Magid Hassan (AR1) · Mohammad Fanaei (AR2)"/>
    <x v="5"/>
    <x v="192"/>
    <s v="1–4"/>
    <s v="Neji Jouini"/>
    <s v=""/>
    <x v="7"/>
    <x v="7"/>
    <s v="Gheorghe Hagi · 35"/>
    <s v="Alain Sutter · 16|Stéphane Chapuisat · 52|Adrian Knup · 65|Adrian Knup · 72"/>
    <s v="['35&amp;rsquor;|1:1|Gheorghe Hagi']"/>
    <s v="['16&amp;rsquor;|0:1|Alain Sutter', '52&amp;rsquor;|1:2|Stéphane Chapuisat', '65&amp;rsquor;|1:3|Adrian Knup', '72&amp;rsquor;|1:4|Adrian Knup']"/>
    <s v=""/>
    <s v=""/>
    <s v=""/>
    <s v=""/>
    <s v=""/>
    <s v=""/>
    <s v=""/>
    <s v=""/>
    <s v=""/>
    <s v=""/>
    <s v="Ion Vlădoiu · 73"/>
    <s v=""/>
    <s v=""/>
    <s v=""/>
    <s v="['32&amp;rsquor;|0:1|Gheorghe Mihali', '40&amp;rsquor;|1:1|Ioan Lupescu', '47&amp;rsquor;|1:1|Miodrag Belodedici']"/>
    <s v=""/>
    <s v="['70&amp;rsquor;|1:3|Ion Vlădoiu|for Ilie Dumitrescu', '85&amp;rsquor;|1:4|Basarab Panduru|for Ioan Lupescu']"/>
    <s v="['71&amp;rsquor;|1:3|Thomas Bickel|for Alain Sutter', '83&amp;rsquor;|1:4|Patrick Sylvestre|for Christophe Ohrel']"/>
  </r>
  <r>
    <s v="United States"/>
    <s v="Colombia"/>
    <n v="2"/>
    <m/>
    <m/>
    <n v="1"/>
    <m/>
    <m/>
    <s v="Bora Milutinovic"/>
    <s v="Tony Meola"/>
    <s v="Francisco Maturana"/>
    <s v="Carlos Valderrama"/>
    <n v="93869"/>
    <s v="Rose Bowl, Los Angeles"/>
    <s v="Fabio Baldas (Referee) · Domenico Ramicone (AR1) · El Jilali Mohamed Rharib (AR2)"/>
    <x v="5"/>
    <x v="192"/>
    <s v="2–1"/>
    <s v="Fabio Baldas"/>
    <s v=""/>
    <x v="7"/>
    <x v="7"/>
    <s v="Earnie Stewart · 52"/>
    <s v="Adolfo Valencia · 90"/>
    <s v="['52&amp;rsquor;|2:0|Earnie Stewart']"/>
    <s v="['90&amp;rsquor;|2:1|Adolfo Valencia']"/>
    <s v="Andrés Escobar (OG) · 35"/>
    <s v=""/>
    <s v=""/>
    <s v=""/>
    <s v=""/>
    <s v=""/>
    <s v=""/>
    <s v=""/>
    <s v=""/>
    <s v=""/>
    <s v=""/>
    <s v=""/>
    <s v=""/>
    <s v=""/>
    <s v="['48&amp;rsquor;|1:0|Alexi Lalas']"/>
    <s v="['24&amp;rsquor;|0:0|Antony de Ávila']"/>
    <s v="['61&amp;rsquor;|2:0|Roy Wegerle|for Eric Wynalda', '66&amp;rsquor;|2:0|Cobi Jones|for Earnie Stewart']"/>
    <s v="['46&amp;rsquor;|1:0|Iván Valenciano|for Antony de Ávila', '46&amp;rsquor;|1:0|Adolfo Valencia|for Faustino Asprilla']"/>
  </r>
  <r>
    <s v="Argentina"/>
    <s v="Greece"/>
    <n v="4"/>
    <m/>
    <m/>
    <n v="0"/>
    <m/>
    <m/>
    <s v="Alfio Basile"/>
    <s v="Diego Maradona"/>
    <s v="Alkis Panagoulias"/>
    <s v="Dimitris Saravakos"/>
    <n v="54456"/>
    <s v="Foxboro Stadium, Boston"/>
    <s v="Arturo Angeles (Referee) · Hae-Yong Park (AR1) · Jan Dolstra (AR2)"/>
    <x v="5"/>
    <x v="193"/>
    <s v="4–0"/>
    <s v="Arturo Angeles"/>
    <s v=""/>
    <x v="7"/>
    <x v="7"/>
    <s v="Gabriel Batistuta · 2|Gabriel Batistuta · 44|Diego Maradona · 60"/>
    <s v=""/>
    <s v="['2&amp;rsquor;|1:0|Gabriel Batistuta', '44&amp;rsquor;|2:0|Gabriel Batistuta', '60&amp;rsquor;|3:0|Diego Maradona']"/>
    <s v=""/>
    <s v=""/>
    <s v=""/>
    <s v="Gabriel Batistuta (P) · 90"/>
    <s v=""/>
    <s v=""/>
    <s v=""/>
    <s v=""/>
    <s v=""/>
    <s v=""/>
    <s v=""/>
    <s v=""/>
    <s v=""/>
    <s v=""/>
    <s v=""/>
    <s v="['40&amp;rsquor;|1:0|Fernando Cáceres']"/>
    <s v="['25&amp;rsquor;|1:0|Panagiotis Tsalouchidis', '55&amp;rsquor;|2:0|Stelios Manolas']"/>
    <s v="['80&amp;rsquor;|3:0|Alejandro Mancuso|for Abel Balbo', '83&amp;rsquor;|3:0|Ariel Ortega|for Diego Maradona']"/>
    <s v="['46&amp;rsquor;|2:0|Spiros Marangos|for Nikos Tsiantakis', '59&amp;rsquor;|2:0|Tasos Mitropoulos|for Nikos Machlas']"/>
  </r>
  <r>
    <s v="Germany"/>
    <s v="Spain"/>
    <n v="1"/>
    <m/>
    <m/>
    <n v="1"/>
    <m/>
    <m/>
    <s v="Berti Vogts"/>
    <s v="Lothar Matthäus"/>
    <s v="Javier Clemente"/>
    <s v="Andoni Zubizarreta"/>
    <n v="63113"/>
    <s v="Soldier Field, Chicago"/>
    <s v="Ernesto Filippi (Referee) · Venancio Zarate (AR1) · Ernesto Taibi (AR2)"/>
    <x v="5"/>
    <x v="193"/>
    <s v="1–1"/>
    <s v="Ernesto Filippi"/>
    <s v=""/>
    <x v="7"/>
    <x v="7"/>
    <s v="Jürgen Klinsmann · 48"/>
    <s v="Ion Andoni Goikoetxea · 14"/>
    <s v="['48&amp;rsquor;|1:1|Jürgen Klinsmann']"/>
    <s v="['14&amp;rsquor;|0:1|Ion Andoni Goikoetxea']"/>
    <s v=""/>
    <s v=""/>
    <s v=""/>
    <s v=""/>
    <s v=""/>
    <s v=""/>
    <s v=""/>
    <s v=""/>
    <s v=""/>
    <s v=""/>
    <s v=""/>
    <s v=""/>
    <s v=""/>
    <s v=""/>
    <s v="['70&amp;rsquor;|1:1|Stefan Effenberg']"/>
    <s v="['15&amp;rsquor;|0:1|Julio Salinas', '38&amp;rsquor;|0:1|Abelardo Fernández', '53&amp;rsquor;|1:1|Fernando Hierro']"/>
    <s v="['62&amp;rsquor;|1:1|Rudi Völler|for Andreas Möller']"/>
    <s v="['64&amp;rsquor;|1:1|José Mari Bakero|for Ion Andoni Goikoetxea', '77&amp;rsquor;|1:1|Francisco José Camarasa|for Pep Guardiola']"/>
  </r>
  <r>
    <s v="Nigeria"/>
    <s v="Bulgaria"/>
    <n v="3"/>
    <m/>
    <m/>
    <n v="0"/>
    <m/>
    <m/>
    <s v="Clemens Westerhof"/>
    <s v="Peter Rufai"/>
    <s v="Dimitar Penev"/>
    <s v="Borislav Mikhailov"/>
    <n v="44132"/>
    <s v="Cotton Bowl, Dallas"/>
    <s v="Rodrigo Badilla (Referee) · Gordon Dunster (AR1) · Eugene Brazzale (AR2)"/>
    <x v="5"/>
    <x v="193"/>
    <s v="3–0"/>
    <s v="Rodrigo Badilla"/>
    <s v=""/>
    <x v="7"/>
    <x v="7"/>
    <s v="Rashidi Yekini · 21|Daniel Amokachi · 43|Emmanuel Amunike · 55"/>
    <s v=""/>
    <s v="['21&amp;rsquor;|1:0|Rashidi Yekini', '43&amp;rsquor;|2:0|Daniel Amokachi', '55&amp;rsquor;|3:0|Emmanuel Amunike']"/>
    <s v=""/>
    <s v=""/>
    <s v=""/>
    <s v=""/>
    <s v=""/>
    <s v=""/>
    <s v=""/>
    <s v=""/>
    <s v=""/>
    <s v=""/>
    <s v=""/>
    <s v=""/>
    <s v=""/>
    <s v=""/>
    <s v=""/>
    <s v="['73&amp;rsquor;|3:0|Emmanuel Amunike']"/>
    <s v="['54&amp;rsquor;|2:0|Yordan Letchkov']"/>
    <s v="['69&amp;rsquor;|3:0|Mutiu Adepoju|for Samson Siasia', '77&amp;rsquor;|3:0|Emeka Ezeugo|for Finidi George']"/>
    <s v="['59&amp;rsquor;|3:0|Nasko Sirakov|for Yordan Letchkov', '73&amp;rsquor;|3:0|Ivaylo Yordanov']"/>
  </r>
  <r>
    <s v="Brazil"/>
    <s v="Russia"/>
    <n v="2"/>
    <m/>
    <m/>
    <n v="0"/>
    <m/>
    <m/>
    <s v="Carlos Alberto Parreira"/>
    <s v="Raí"/>
    <s v="Pavel Sadyrin"/>
    <s v="Dmitri Kharine"/>
    <n v="81061"/>
    <s v="Stanford Stadium, San Francisco"/>
    <s v="An Yan Lim Kee Chong (Referee) · El Jilali Mohamed Rharib (AR1) · Domenico Ramicone (AR2)"/>
    <x v="5"/>
    <x v="194"/>
    <s v="2–0"/>
    <s v="An Yan Lim Kee Chong"/>
    <s v=""/>
    <x v="7"/>
    <x v="7"/>
    <s v="Romário · 26"/>
    <s v=""/>
    <s v="['26&amp;rsquor;|1:0|Romário']"/>
    <s v=""/>
    <s v=""/>
    <s v=""/>
    <s v="Raí (P) · 52"/>
    <s v=""/>
    <s v=""/>
    <s v=""/>
    <s v=""/>
    <s v=""/>
    <s v=""/>
    <s v=""/>
    <s v=""/>
    <s v=""/>
    <s v=""/>
    <s v=""/>
    <s v=""/>
    <s v="['61&amp;rsquor;|2:0|Yuriy Nikiforov', '65&amp;rsquor;|2:0|Dmitri Khlestov', '78&amp;rsquor;|2:0|Dmitri Kuznetsov']"/>
    <s v="['75&amp;rsquor;|2:0|Aldair|for Ricardo Rocha', '85&amp;rsquor;|2:0|Mazinho|for Dunga']"/>
    <s v="['55&amp;rsquor;|2:0|Oleg Salenko|for Sergei Yuran', '77&amp;rsquor;|2:0|Aleksandr Borodyuk']"/>
  </r>
  <r>
    <s v="Netherlands"/>
    <s v="Saudi Arabia"/>
    <n v="2"/>
    <m/>
    <m/>
    <n v="1"/>
    <m/>
    <m/>
    <s v="Dick Advocaat"/>
    <s v="Ronald Koeman"/>
    <s v="Jorge Solari"/>
    <s v="Majed Abdullah"/>
    <n v="50535"/>
    <s v="RFK Stadium, Washington Dc"/>
    <s v="Manuel Diaz Vega (Referee) · Valentin Ivanov (AR1) · Sandor Marton (AR2)"/>
    <x v="5"/>
    <x v="194"/>
    <s v="2–1"/>
    <s v="Manuel Diaz Vega"/>
    <s v=""/>
    <x v="7"/>
    <x v="7"/>
    <s v="Wim Jonk · 50|Gaston Taument · 86"/>
    <s v="Fuad Anwar · 18"/>
    <s v="['50&amp;rsquor;|1:1|Wim Jonk', '86&amp;rsquor;|2:1|Gaston Taument']"/>
    <s v="['18&amp;rsquor;|0:1|Fuad Anwar']"/>
    <s v=""/>
    <s v=""/>
    <s v=""/>
    <s v=""/>
    <s v=""/>
    <s v=""/>
    <s v=""/>
    <s v=""/>
    <s v=""/>
    <s v=""/>
    <s v=""/>
    <s v=""/>
    <s v=""/>
    <s v=""/>
    <s v="['36&amp;rsquor;|0:1|Ulrich van Gobbel', '75&amp;rsquor;|1:1|Frank de Boer']"/>
    <s v="['28&amp;rsquor;|0:1|Abdullah Al-Dosari', '31&amp;rsquor;|0:1|Mohamed Al-Jawad', '61&amp;rsquor;|1:1|Fuad Anwar']"/>
    <s v="['57&amp;rsquor;|1:1|Gaston Taument|for Marc Overmars', '81&amp;rsquor;|1:1|Peter van Vossen|for Bryan Roy']"/>
    <s v="['45&amp;rsquor;|0:1|Hamzah Idris|for Majed Abdullah', '69&amp;rsquor;|1:1|Hamzah Saleh|for Saeed Al-Owairan']"/>
  </r>
  <r>
    <s v="Belgium"/>
    <s v="Morocco"/>
    <n v="1"/>
    <m/>
    <m/>
    <n v="0"/>
    <m/>
    <m/>
    <s v="Paul Van Himst"/>
    <s v="Georges Grün"/>
    <s v="Abdellah Blinda"/>
    <s v="Mustafa El Haddaoui"/>
    <n v="61219"/>
    <s v="Citrus Bowl, Orlando"/>
    <s v="Jose Joaquin Torres Cadena (Referee) · Raimundo Calix Garcia (AR1) · Tapio Yli-Karro (AR2)"/>
    <x v="5"/>
    <x v="195"/>
    <s v="1–0"/>
    <s v="Jose Joaquin Torres Cadena"/>
    <s v=""/>
    <x v="7"/>
    <x v="7"/>
    <s v="Marc Degryse · 11"/>
    <s v=""/>
    <s v="['11&amp;rsquor;|1:0|Marc Degryse']"/>
    <s v=""/>
    <s v=""/>
    <s v=""/>
    <s v=""/>
    <s v=""/>
    <s v=""/>
    <s v=""/>
    <s v=""/>
    <s v=""/>
    <s v=""/>
    <s v=""/>
    <s v=""/>
    <s v=""/>
    <s v=""/>
    <s v=""/>
    <s v="['81&amp;rsquor;|1:0|Georges Grün', '85&amp;rsquor;|1:0|Josip Weber']"/>
    <s v="['23&amp;rsquor;|1:0|Noureddine Naybet', '26&amp;rsquor;|1:0|Rachid Daoudi', '89&amp;rsquor;|1:0|Rachid Azzouzi']"/>
    <s v="['54&amp;rsquor;|1:0|Marc Emmers|for Luc Nilis', '85&amp;rsquor;|1:0|Vital Borkelmans|for Danny Boffin']"/>
    <s v="['69&amp;rsquor;|1:0|Ahmed Bahja|for Mustafa El Haddaoui', '82&amp;rsquor;|1:0|Mohamed Samadi', '89&amp;rsquor;|1:0|Zakaria Alaoui|for Khalil Azmi']"/>
  </r>
  <r>
    <s v="Norway"/>
    <s v="Mexico"/>
    <n v="1"/>
    <m/>
    <m/>
    <n v="0"/>
    <m/>
    <m/>
    <s v="Egil Olsen"/>
    <s v="Rune Bratseth"/>
    <s v="Miguel Mejia Baron"/>
    <s v="Ignacio Ambríz"/>
    <n v="52395"/>
    <s v="RFK Stadium, Washington Dc"/>
    <s v="Sandor Puhl (Referee) · Sandor Marton (AR1) · Valentin Ivanov (AR2)"/>
    <x v="5"/>
    <x v="195"/>
    <s v="1–0"/>
    <s v="Sandor Puhl"/>
    <s v=""/>
    <x v="7"/>
    <x v="7"/>
    <s v="Kjetil Rekdal · 84"/>
    <s v=""/>
    <s v="['84&amp;rsquor;|1:0|Kjetil Rekdal']"/>
    <s v=""/>
    <s v=""/>
    <s v=""/>
    <s v=""/>
    <s v=""/>
    <s v=""/>
    <s v=""/>
    <s v=""/>
    <s v=""/>
    <s v=""/>
    <s v=""/>
    <s v=""/>
    <s v=""/>
    <s v=""/>
    <s v=""/>
    <s v="['16&amp;rsquor;|0:0|Alf-Inge Håland', '26&amp;rsquor;|0:0|Øyvind Leonhardsen']"/>
    <s v="['62&amp;rsquor;|0:0|Claudio Suárez']"/>
    <s v="['46&amp;rsquor;|0:0|Gunnar Halle|for Mini Jakobsen', '78&amp;rsquor;|0:0|Kjetil Rekdal|for Erik Mykland']"/>
    <s v="['46&amp;rsquor;|0:0|Benjamín Galindo|for Luis Antonio Valdéz', '71&amp;rsquor;|0:0|Marcelino Bernal|for Raúl Gutiérrez']"/>
  </r>
  <r>
    <s v="Cameroon"/>
    <s v="Sweden"/>
    <n v="2"/>
    <m/>
    <m/>
    <n v="2"/>
    <m/>
    <m/>
    <s v="Henri Michel"/>
    <s v="Stephen Tataw"/>
    <s v="Tommy Svensson"/>
    <s v="Jonas Thern"/>
    <n v="93194"/>
    <s v="Rose Bowl, Los Angeles"/>
    <s v="Alberto Tejada Noriega (Referee) · Douglas Micael James (AR1) · Yousif Abdulla Al Ghattan (AR2)"/>
    <x v="5"/>
    <x v="195"/>
    <s v="2–2"/>
    <s v="Alberto Tejada Noriega"/>
    <s v=""/>
    <x v="7"/>
    <x v="7"/>
    <s v="David Embé · 31|François Omam-Biyik · 47"/>
    <s v="Roger Ljung · 8|Martin Dahlin · 75"/>
    <s v="['31&amp;rsquor;|1:1|David Embé', '47&amp;rsquor;|2:1|François Omam-Biyik']"/>
    <s v="['8&amp;rsquor;|0:1|Roger Ljung', '75&amp;rsquor;|2:2|Martin Dahlin']"/>
    <s v=""/>
    <s v=""/>
    <s v=""/>
    <s v=""/>
    <s v=""/>
    <s v=""/>
    <s v=""/>
    <s v=""/>
    <s v=""/>
    <s v=""/>
    <s v=""/>
    <s v=""/>
    <s v=""/>
    <s v=""/>
    <s v="['5&amp;rsquor;|0:0|Émile Mbouh']"/>
    <s v="['72&amp;rsquor;|2:1|Martin Dahlin']"/>
    <s v="['81&amp;rsquor;|2:2|Georges Mouyémé|for David Embé', &quot;87&amp;rsquor;|2:2|Emmanuel Maboang|for Louis-Paul M'Fédé&quot;]"/>
    <s v="['61&amp;rsquor;|2:1|Henrik Larsson|for Jesper Blomqvist', '76&amp;rsquor;|2:2|Kennet Andersson']"/>
  </r>
  <r>
    <s v="United States"/>
    <s v="Switzerland"/>
    <n v="1"/>
    <m/>
    <m/>
    <n v="1"/>
    <m/>
    <m/>
    <s v="Bora Milutinovic"/>
    <s v="Tony Meola"/>
    <s v="Roy Hodgson"/>
    <s v="Alain Geiger"/>
    <n v="73425"/>
    <s v="Pontiac Silverdome, Detroit"/>
    <s v="Francisco Oscar Lamolina (Referee) · Ernesto Taibi (AR1) · Venancio Zarate (AR2)"/>
    <x v="5"/>
    <x v="196"/>
    <s v="1–1"/>
    <s v="Francisco Oscar Lamolina"/>
    <s v=""/>
    <x v="7"/>
    <x v="7"/>
    <s v="Eric Wynalda · 44"/>
    <s v="Georges Bregy · 39"/>
    <s v="['44&amp;rsquor;|1:1|Eric Wynalda']"/>
    <s v="['39&amp;rsquor;|0:1|Georges Bregy']"/>
    <s v=""/>
    <s v=""/>
    <s v=""/>
    <s v=""/>
    <s v=""/>
    <s v=""/>
    <s v=""/>
    <s v=""/>
    <s v=""/>
    <s v=""/>
    <s v=""/>
    <s v=""/>
    <s v=""/>
    <s v=""/>
    <s v="['89&amp;rsquor;|1:1|John Harkes']"/>
    <s v="['26&amp;rsquor;|0:0|Dominique Herr', '82&amp;rsquor;|1:1|Nestor Subiat']"/>
    <s v="['58&amp;rsquor;|1:1|Roy Wegerle|for Eric Wynalda', '81&amp;rsquor;|1:1|Cobi Jones|for Earnie Stewart']"/>
    <s v="['72&amp;rsquor;|1:1|Nestor Subiat|for Thomas Bickel', '77&amp;rsquor;|1:1|Thomas Wyss|for Ciriaco Sforza']"/>
  </r>
  <r>
    <s v="Italy"/>
    <s v="Republic of Ireland"/>
    <n v="0"/>
    <m/>
    <m/>
    <n v="1"/>
    <m/>
    <m/>
    <s v="Arrigo Sacchi"/>
    <s v="Franco Baresi"/>
    <s v="Jack Charlton"/>
    <s v="Andy Townsend"/>
    <n v="75338"/>
    <s v="Giants Stadium, New York/New Jersey"/>
    <s v="Mario Van Der Ende (Referee) · Jan Dolstra (AR1) · Hae-Yong Park (AR2)"/>
    <x v="5"/>
    <x v="196"/>
    <s v="0–1"/>
    <s v="Mario Van Der Ende"/>
    <s v=""/>
    <x v="7"/>
    <x v="7"/>
    <s v=""/>
    <s v="Ray Houghton · 11"/>
    <s v=""/>
    <s v="['11&amp;rsquor;|0:1|Ray Houghton']"/>
    <s v=""/>
    <s v=""/>
    <s v=""/>
    <s v=""/>
    <s v=""/>
    <s v=""/>
    <s v=""/>
    <s v=""/>
    <s v=""/>
    <s v=""/>
    <s v=""/>
    <s v=""/>
    <s v=""/>
    <s v=""/>
    <s v=""/>
    <s v="['30&amp;rsquor;|0:1|Terry Phelan', '50&amp;rsquor;|0:1|Tommy Coyne', '80&amp;rsquor;|0:1|Denis Irwin']"/>
    <s v="['46&amp;rsquor;|0:1|Daniele Massaro|for Alberigo Evani', '84&amp;rsquor;|0:1|Nicola Berti']"/>
    <s v="['68&amp;rsquor;|0:1|Jason McAteer|for Ray Houghton', '90&amp;rsquor;|0:1|John Aldridge|for Tommy Coyne']"/>
  </r>
  <r>
    <s v="Colombia"/>
    <s v="Romania"/>
    <n v="1"/>
    <m/>
    <m/>
    <n v="3"/>
    <m/>
    <m/>
    <s v="Francisco Maturana"/>
    <s v="Carlos Valderrama"/>
    <s v="Anghel Iordanescu"/>
    <s v="Gheorghe Hagi"/>
    <n v="91856"/>
    <s v="Rose Bowl, Los Angeles"/>
    <s v="Jamal Al Sharif (Referee) · Yousif Abdulla Al Ghattan (AR1) · Douglas Micael James (AR2)"/>
    <x v="5"/>
    <x v="196"/>
    <s v="1–3"/>
    <s v="Jamal Al Sharif"/>
    <s v=""/>
    <x v="7"/>
    <x v="7"/>
    <s v="Adolfo Valencia · 43"/>
    <s v="Florin Răducioiu · 15|Gheorghe Hagi · 34|Florin Răducioiu · 89"/>
    <s v="['43&amp;rsquor;|1:2|Adolfo Valencia']"/>
    <s v="['15&amp;rsquor;|0:1|Florin Răducioiu', '34&amp;rsquor;|0:2|Gheorghe Hagi', '89&amp;rsquor;|1:3|Florin Răducioiu']"/>
    <s v=""/>
    <s v=""/>
    <s v=""/>
    <s v=""/>
    <s v=""/>
    <s v=""/>
    <s v=""/>
    <s v=""/>
    <s v=""/>
    <s v=""/>
    <s v=""/>
    <s v=""/>
    <s v=""/>
    <s v=""/>
    <s v="['36&amp;rsquor;|0:2|Luis Fernando Herrera', '53&amp;rsquor;|1:2|Carlos Valderrama', '70&amp;rsquor;|1:2|Leonel Álvarez']"/>
    <s v="['39&amp;rsquor;|0:2|Florin Răducioiu']"/>
    <s v=""/>
    <s v="['68&amp;rsquor;|1:2|Tibor Selymes|for Ilie Dumitrescu', '90&amp;rsquor;|1:3|Corneliu Papură|for Florin Răducioiu']"/>
  </r>
  <r>
    <s v="Germany"/>
    <s v="Bolivia"/>
    <n v="1"/>
    <m/>
    <m/>
    <n v="0"/>
    <m/>
    <m/>
    <s v="Berti Vogts"/>
    <s v="Lothar Matthäus"/>
    <s v="Xavier Azkargorta Uriarte"/>
    <s v="Carlos Fernando Borja"/>
    <n v="63117"/>
    <s v="Soldier Field, Chicago"/>
    <s v="Arturo Brizio Carter (Referee) · Eugene Brazzale (AR1) · Gordon Dunster (AR2)"/>
    <x v="5"/>
    <x v="197"/>
    <s v="1–0"/>
    <s v="Arturo Brizio Carter"/>
    <s v=""/>
    <x v="7"/>
    <x v="7"/>
    <s v="Jürgen Klinsmann · 61"/>
    <s v=""/>
    <s v="['61&amp;rsquor;|1:0|Jürgen Klinsmann']"/>
    <s v=""/>
    <s v=""/>
    <s v=""/>
    <s v=""/>
    <s v=""/>
    <s v=""/>
    <s v=""/>
    <s v=""/>
    <s v=""/>
    <s v=""/>
    <s v=""/>
    <s v=""/>
    <s v="Marco Etcheverry · 82"/>
    <s v=""/>
    <s v=""/>
    <s v="['6&amp;rsquor;|0:0|Jürgen Kohler', '54&amp;rsquor;|0:0|Andreas Möller']"/>
    <s v="['37&amp;rsquor;|0:0|Vladimir Soria', '39&amp;rsquor;|0:0|Julio César Baldivieso', '66&amp;rsquor;|1:0|Carlos Fernando Borja', '89&amp;rsquor;|1:0|Gustavo Quinteros']"/>
    <s v="['60&amp;rsquor;|0:0|Mario Basler|for Karl-Heinz Riedle', '83&amp;rsquor;|1:0|Thomas Strunz|for Thomas Häßler']"/>
    <s v="['66&amp;rsquor;|1:0|Jaime Moreno|for Julio César Baldivieso', '79&amp;rsquor;|1:0|Marco Etcheverry|for William Ramallo']"/>
  </r>
  <r>
    <s v="Spain"/>
    <s v="Korea Republic"/>
    <n v="2"/>
    <m/>
    <m/>
    <n v="2"/>
    <m/>
    <m/>
    <s v="Javier Clemente"/>
    <s v="Miguel Ángel Nadal"/>
    <s v="Ho Kon Kim"/>
    <s v="Choi In-young"/>
    <n v="56247"/>
    <s v="Cotton Bowl, Dallas"/>
    <s v="Peter Mikkelsen (Referee) · Carl-Johan Meyer Christensen (AR1) · Roy Pearson (AR2)"/>
    <x v="5"/>
    <x v="197"/>
    <s v="2–2"/>
    <s v="Peter Mikkelsen"/>
    <s v=""/>
    <x v="7"/>
    <x v="7"/>
    <s v="Julio Salinas · 51|Ion Andoni Goikoetxea · 55"/>
    <s v="Hong Myung-bo · 85|Seo Jung-won · 90"/>
    <s v="['51&amp;rsquor;|1:0|Julio Salinas', '55&amp;rsquor;|2:0|Ion Andoni Goikoetxea']"/>
    <s v="['85&amp;rsquor;|2:1|Hong Myung-bo', '90&amp;rsquor;|2:2|Seo Jung-won']"/>
    <s v=""/>
    <s v=""/>
    <s v=""/>
    <s v=""/>
    <s v=""/>
    <s v=""/>
    <s v=""/>
    <s v=""/>
    <s v=""/>
    <s v=""/>
    <s v="Miguel Ángel Nadal · 25"/>
    <s v=""/>
    <s v=""/>
    <s v=""/>
    <s v="['24&amp;rsquor;|0:0|Luis Enrique', '71&amp;rsquor;|2:0|José Luis Caminero']"/>
    <s v="['37&amp;rsquor;|0:0|Kim Joo-sung', '61&amp;rsquor;|2:0|Choi Young-il']"/>
    <s v="['46&amp;rsquor;|0:0|José Luis Caminero|for Julen Guerrero', '63&amp;rsquor;|2:0|Felipe Miñambres|for Julio Salinas']"/>
    <s v="['59&amp;rsquor;|2:0|Seo Jung-won|for Kim Joo-sung', '73&amp;rsquor;|2:0|Ha Seok-ju|for Noh Jung-yoon']"/>
  </r>
  <r>
    <s v="West Germany"/>
    <s v="Argentina"/>
    <n v="1"/>
    <m/>
    <m/>
    <n v="0"/>
    <m/>
    <m/>
    <s v="Franz Beckenbauer"/>
    <s v="Lothar Matthäus"/>
    <s v="Carlos Bilardo"/>
    <s v="Diego Maradona"/>
    <n v="73603"/>
    <s v="Stadio Olimpico, Rome"/>
    <s v="Edgardo Codesal Mendez (Referee) · Armando Perez Hoyos (AR1) · Michal Listkiewicz (AR2)"/>
    <x v="0"/>
    <x v="198"/>
    <s v="1–0"/>
    <s v="Edgardo Codesal Mendez"/>
    <s v=""/>
    <x v="8"/>
    <x v="8"/>
    <s v=""/>
    <s v=""/>
    <s v=""/>
    <s v=""/>
    <s v=""/>
    <s v=""/>
    <s v="Andreas Brehme (P) · 85"/>
    <s v=""/>
    <s v=""/>
    <s v=""/>
    <s v=""/>
    <s v=""/>
    <s v=""/>
    <s v=""/>
    <s v=""/>
    <s v="Pedro Monzón · 65|Gustavo Dezotti · 87"/>
    <s v=""/>
    <s v=""/>
    <s v="['52&amp;rsquor;|0:0|Rudi Völler']"/>
    <s v="['5&amp;rsquor;|0:0|Gustavo Dezotti', '84&amp;rsquor;|0:0|Pedro Troglio', '87&amp;rsquor;|1:0|Diego Maradona']"/>
    <s v="['73&amp;rsquor;|0:0|Stefan Reuter|for Thomas Berthold']"/>
    <s v="['46&amp;rsquor;|0:0|Pedro Monzón|for Oscar Ruggeri', '53&amp;rsquor;|0:0|Gabriel Calderón|for Jorge Burruchaga']"/>
  </r>
  <r>
    <s v="Italy"/>
    <s v="England"/>
    <n v="2"/>
    <m/>
    <m/>
    <n v="1"/>
    <m/>
    <m/>
    <s v="Azeglio Vicini"/>
    <s v="Giuseppe Bergomi"/>
    <s v="Bobby Robson"/>
    <s v="Peter Shilton"/>
    <n v="51426"/>
    <s v="Stadio San Nicola, Bari"/>
    <s v="Joel Quiniou (Referee) · Mohamed Hansal (AR1) · Kurt Roethlisberger (AR2)"/>
    <x v="1"/>
    <x v="199"/>
    <s v="2–1"/>
    <s v="Joel Quiniou"/>
    <s v=""/>
    <x v="8"/>
    <x v="8"/>
    <s v="Roberto Baggio · 71"/>
    <s v="David Platt · 81"/>
    <s v="['71&amp;rsquor;|1:0|Roberto Baggio']"/>
    <s v="['81&amp;rsquor;|1:1|David Platt']"/>
    <s v=""/>
    <s v=""/>
    <s v="Salvatore Schillaci (P) · 86"/>
    <s v=""/>
    <s v=""/>
    <s v=""/>
    <s v=""/>
    <s v=""/>
    <s v=""/>
    <s v=""/>
    <s v=""/>
    <s v=""/>
    <s v=""/>
    <s v=""/>
    <s v=""/>
    <s v=""/>
    <s v="['67&amp;rsquor;|0:0|Nicola Berti|for Luigi De Agostini', '90&amp;rsquor;|2:1|Riccardo Ferri|for Giuseppe Giannini']"/>
    <s v="['72&amp;rsquor;|1:0|Neil Webb|for Steve McMahon', '72&amp;rsquor;|1:0|Chris Waddle|for Mark Wright']"/>
  </r>
  <r>
    <s v="West Germany"/>
    <s v="England"/>
    <n v="1"/>
    <m/>
    <n v="4"/>
    <n v="1"/>
    <m/>
    <n v="3"/>
    <s v="Franz Beckenbauer"/>
    <s v="Lothar Matthäus"/>
    <s v="Bobby Robson"/>
    <s v="Terry Butcher"/>
    <n v="62628"/>
    <s v="Stadio delle Alpi, Turin"/>
    <s v="Jose Ramiz Wright (Referee) · Joel Quiniou (AR1) · Armando Perez Hoyos (AR2)"/>
    <x v="2"/>
    <x v="200"/>
    <s v="(4) 1–1 (3)"/>
    <s v="Jose Ramiz Wright"/>
    <s v="West Germany won on penalty kicks following extra time"/>
    <x v="8"/>
    <x v="8"/>
    <s v="Andreas Brehme · 60"/>
    <s v="Gary Lineker · 80"/>
    <s v="['60&amp;rsquor;|1:0|Andreas Brehme']"/>
    <s v="['80&amp;rsquor;|1:1|Gary Lineker']"/>
    <s v=""/>
    <s v=""/>
    <s v=""/>
    <s v=""/>
    <s v=""/>
    <s v=""/>
    <s v="['2|1:1|Andreas Brehme', '4|2:2|Lothar Matthäus', '6|3:3|Karl-Heinz Riedle', '8|4:3|Olaf Thon']"/>
    <s v="['1|0:1|Gary Lineker', '3|1:2|Peter Beardsley', '5|2:3|David Platt']"/>
    <s v=""/>
    <s v="['7|3:3|Stuart Pearce', '9|4:3|Chris Waddle']"/>
    <s v=""/>
    <s v=""/>
    <s v=""/>
    <s v=""/>
    <s v="['110&amp;rsquor;|1:1|Andreas Brehme']"/>
    <s v="['65&amp;rsquor;|1:0|Paul Parker', '98&amp;rsquor;|1:1|Paul Gascoigne']"/>
    <s v="['38&amp;rsquor;|0:0|Karl-Heinz Riedle|for Rudi Völler', '67&amp;rsquor;|1:0|Stefan Reuter|for Thomas Häßler']"/>
    <s v="['70&amp;rsquor;|1:0|Trevor Steven|for Terry Butcher']"/>
  </r>
  <r>
    <s v="Italy"/>
    <s v="Argentina"/>
    <n v="1"/>
    <m/>
    <n v="3"/>
    <n v="1"/>
    <m/>
    <n v="4"/>
    <s v="Azeglio Vicini"/>
    <s v="Giuseppe Bergomi"/>
    <s v="Carlos Bilardo"/>
    <s v="Diego Maradona"/>
    <n v="59978"/>
    <s v="San Paolo, Naples"/>
    <s v="Michel Vautrot (Referee) · Michal Listkiewicz (AR1) · Peter Mikkelsen (AR2)"/>
    <x v="2"/>
    <x v="201"/>
    <s v="(3) 1–1 (4)"/>
    <s v="Michel Vautrot"/>
    <s v="Argentina won on penalty kicks following extra time"/>
    <x v="8"/>
    <x v="8"/>
    <s v="Salvatore Schillaci · 17"/>
    <s v="Claudio Caniggia · 67"/>
    <s v="['17&amp;rsquor;|1:0|Salvatore Schillaci']"/>
    <s v="['67&amp;rsquor;|1:1|Claudio Caniggia']"/>
    <s v=""/>
    <s v=""/>
    <s v=""/>
    <s v=""/>
    <s v=""/>
    <s v=""/>
    <s v="['1|1:0|Franco Baresi', '3|2:1|Roberto Baggio', '5|3:2|Luigi De Agostini']"/>
    <s v="['2|1:1|José Serrizuela', '4|2:2|Jorge Burruchaga', '6|3:3|Julio Olarticoechea', '8|3:4|Diego Maradona']"/>
    <s v="['7|3:3|Roberto Donadoni', '9|3:4|Aldo Serena']"/>
    <s v=""/>
    <s v=""/>
    <s v=""/>
    <s v=""/>
    <s v="Ricardo Giusti · 103"/>
    <s v="['22&amp;rsquor;|1:0|Giuseppe Giannini']"/>
    <s v="['30&amp;rsquor;|1:0|Ricardo Giusti', '70&amp;rsquor;|1:1|Oscar Ruggeri', '76&amp;rsquor;|1:1|Julio Olarticoechea', '82&amp;rsquor;|1:1|Claudio Caniggia', '120&amp;rsquor;|1:1|Sergio Batista']"/>
    <s v="['70&amp;rsquor;|1:1|Aldo Serena|for Gianluca Vialli', '73&amp;rsquor;|1:1|Roberto Baggio|for Giuseppe Giannini']"/>
    <s v="['46&amp;rsquor;|1:0|Pedro Troglio|for Gabriel Calderón', '99&amp;rsquor;|1:1|Sergio Batista|for José Basualdo']"/>
  </r>
  <r>
    <s v="West Germany"/>
    <s v="Czechoslovakia"/>
    <n v="1"/>
    <m/>
    <m/>
    <n v="0"/>
    <m/>
    <m/>
    <s v="Franz Beckenbauer"/>
    <s v="Lothar Matthäus"/>
    <s v="Jozef Venglos"/>
    <s v="Ivan Hašek"/>
    <n v="73347"/>
    <s v="Giuseppe Meazza, Milan"/>
    <s v="Helmut Kohl (Referee) · Peter Mikkelsen (AR1) · Michal Listkiewicz (AR2)"/>
    <x v="3"/>
    <x v="202"/>
    <s v="1–0"/>
    <s v="Helmut Kohl"/>
    <s v=""/>
    <x v="8"/>
    <x v="8"/>
    <s v=""/>
    <s v=""/>
    <s v=""/>
    <s v=""/>
    <s v=""/>
    <s v=""/>
    <s v="Lothar Matthäus (P) · 25"/>
    <s v=""/>
    <s v=""/>
    <s v=""/>
    <s v=""/>
    <s v=""/>
    <s v=""/>
    <s v=""/>
    <s v=""/>
    <s v="Ľubomír Moravčík · 70"/>
    <s v=""/>
    <s v=""/>
    <s v="['28&amp;rsquor;|1:0|Jürgen Klinsmann']"/>
    <s v="['11&amp;rsquor;|0:0|Ľubomír Moravčík', '14&amp;rsquor;|0:0|Michal Bílek', '38&amp;rsquor;|1:0|František Straka', '88&amp;rsquor;|1:0|Ivo Knoflíček']"/>
    <s v="['82&amp;rsquor;|1:0|Andreas Möller|for Uwe Bein']"/>
    <s v="['67&amp;rsquor;|1:0|Václav Němeček|for Michal Bílek', '80&amp;rsquor;|1:0|Stanislav Griga']"/>
  </r>
  <r>
    <s v="England"/>
    <s v="Cameroon"/>
    <n v="3"/>
    <m/>
    <m/>
    <n v="2"/>
    <m/>
    <m/>
    <s v="Bobby Robson"/>
    <s v="Terry Butcher"/>
    <s v="Valeri Nepomnyashchi"/>
    <s v="Stephen Tataw"/>
    <n v="55205"/>
    <s v="San Paolo, Naples"/>
    <s v="Edgardo Codesal Mendez (Referee) · Vincent Mauro (AR1) · Jassim Mandi (AR2)"/>
    <x v="3"/>
    <x v="202"/>
    <s v="3–2"/>
    <s v="Edgardo Codesal Mendez"/>
    <s v="Required Extra Time"/>
    <x v="8"/>
    <x v="8"/>
    <s v="David Platt · 25"/>
    <s v="Eugène Ekéké · 65"/>
    <s v="['25&amp;rsquor;|1:0|David Platt']"/>
    <s v="['65&amp;rsquor;|1:2|Eugène Ekéké']"/>
    <s v=""/>
    <s v=""/>
    <s v="Gary Lineker (P) · 83|Gary Lineker (P) · 105"/>
    <s v="Emmanuel Kundé (P) · 61"/>
    <s v=""/>
    <s v=""/>
    <s v=""/>
    <s v=""/>
    <s v=""/>
    <s v=""/>
    <s v=""/>
    <s v=""/>
    <s v=""/>
    <s v=""/>
    <s v="['70&amp;rsquor;|1:2|Stuart Pearce']"/>
    <s v="['28&amp;rsquor;|1:0|Benjamin Massing', &quot;105&amp;rsquor;|3:2|Thomas N'Kono&quot;, '119&amp;rsquor;|3:2|Roger Milla']"/>
    <s v="['46&amp;rsquor;|1:0|Peter Beardsley|for John Barnes', '74&amp;rsquor;|1:2|Trevor Steven|for Terry Butcher']"/>
    <s v="['46&amp;rsquor;|1:0|Roger Milla|for Emmanuel Maboang', &quot;62&amp;rsquor;|1:1|Eugène Ekéké|for Louis-Paul M'Fédé&quot;]"/>
  </r>
  <r>
    <s v="Yugoslavia"/>
    <s v="Argentina"/>
    <n v="0"/>
    <m/>
    <n v="2"/>
    <n v="0"/>
    <m/>
    <n v="3"/>
    <s v="Ivica Osim"/>
    <s v="Zlatko Vujović"/>
    <s v="Carlos Bilardo"/>
    <s v="Diego Maradona"/>
    <n v="38971"/>
    <s v="Comunale, Florence"/>
    <s v="Kurt Roethlisberger (Referee) · Neji Jouini (AR1) · Mohamed Hansal (AR2)"/>
    <x v="3"/>
    <x v="203"/>
    <s v="(2) 0–0 (3)"/>
    <s v="Kurt Roethlisberger"/>
    <s v="Argentina won on penalty kicks following extra time"/>
    <x v="8"/>
    <x v="8"/>
    <s v=""/>
    <s v=""/>
    <s v=""/>
    <s v=""/>
    <s v=""/>
    <s v=""/>
    <s v=""/>
    <s v=""/>
    <s v=""/>
    <s v=""/>
    <s v="['4|1:2|Robert Prosinečki', '6|2:2|Dejan Savićević']"/>
    <s v="['1|0:1|José Serrizuela', '3|0:2|Jorge Burruchaga', '9|2:3|Gustavo Dezotti']"/>
    <s v="['2|0:1|Dragan Stojković', '8|2:2|Dragoljub Brnović', '10|2:3|Faruk Hadžibegić']"/>
    <s v="['5|1:2|Diego Maradona', '7|2:2|Pedro Troglio']"/>
    <s v="Refik Šabanadžović · 31"/>
    <s v=""/>
    <s v=""/>
    <s v=""/>
    <s v="['24&amp;rsquor;|0:0|Refik Šabanadžović']"/>
    <s v="['21&amp;rsquor;|0:0|José Serrizuela', '42&amp;rsquor;|0:0|Julio Olarticoechea', '61&amp;rsquor;|0:0|Pedro Troglio', '110&amp;rsquor;|0:0|Juan Simón']"/>
    <s v="['61&amp;rsquor;|0:0|Dejan Savićević|for Safet Sušić']"/>
    <s v="['51&amp;rsquor;|0:0|Pedro Troglio|for Julio Olarticoechea', '87&amp;rsquor;|0:0|Gustavo Dezotti|for Gabriel Calderón']"/>
  </r>
  <r>
    <s v="Italy"/>
    <s v="Republic of Ireland"/>
    <n v="1"/>
    <m/>
    <m/>
    <n v="0"/>
    <m/>
    <m/>
    <s v="Azeglio Vicini"/>
    <s v="Giuseppe Bergomi"/>
    <s v="Jack Charlton"/>
    <s v="Mick McCarthy"/>
    <n v="73303"/>
    <s v="Stadio Olimpico, Rome"/>
    <s v="Carlos Alberto Silva Valente (Referee) · Armando Perez Hoyos (AR1) · Berny Ulloa Morera (AR2)"/>
    <x v="3"/>
    <x v="203"/>
    <s v="1–0"/>
    <s v="Carlos Alberto Silva Valente"/>
    <s v=""/>
    <x v="8"/>
    <x v="8"/>
    <s v="Salvatore Schillaci · 38"/>
    <s v=""/>
    <s v="['38&amp;rsquor;|1:0|Salvatore Schillaci']"/>
    <s v=""/>
    <s v=""/>
    <s v=""/>
    <s v=""/>
    <s v=""/>
    <s v=""/>
    <s v=""/>
    <s v=""/>
    <s v=""/>
    <s v=""/>
    <s v=""/>
    <s v=""/>
    <s v=""/>
    <s v=""/>
    <s v=""/>
    <s v="['35&amp;rsquor;|0:0|Luigi De Agostini']"/>
    <s v="['42&amp;rsquor;|1:0|Kevin Moran']"/>
    <s v="['62&amp;rsquor;|1:0|Carlo Ancelotti|for Giuseppe Giannini', '70&amp;rsquor;|1:0|Aldo Serena|for Roberto Baggio']"/>
    <s v="['53&amp;rsquor;|1:0|Tony Cascarino|for Niall Quinn', '78&amp;rsquor;|1:0|John Sheridan|for John Aldridge']"/>
  </r>
  <r>
    <s v="Spain"/>
    <s v="Yugoslavia"/>
    <n v="1"/>
    <m/>
    <m/>
    <n v="2"/>
    <m/>
    <m/>
    <s v="Luis Suarez"/>
    <s v="Emilio Butragueño"/>
    <s v="Ivica Osim"/>
    <s v="Zlatko Vujović"/>
    <n v="35500"/>
    <s v="Marc Antonio Bentegodi, Verona"/>
    <s v="Aron Schmidhuber (Referee) · Alan Snoddy (AR1) · Michal Listkiewicz (AR2)"/>
    <x v="4"/>
    <x v="204"/>
    <s v="1–2"/>
    <s v="Aron Schmidhuber"/>
    <s v="Required Extra Time"/>
    <x v="8"/>
    <x v="8"/>
    <s v="Julio Salinas · 84"/>
    <s v="Dragan Stojković · 78|Dragan Stojković · 93"/>
    <s v="['84&amp;rsquor;|1:1|Julio Salinas']"/>
    <s v="['78&amp;rsquor;|0:1|Dragan Stojković', '93&amp;rsquor;|1:2|Dragan Stojković']"/>
    <s v=""/>
    <s v=""/>
    <s v=""/>
    <s v=""/>
    <s v=""/>
    <s v=""/>
    <s v=""/>
    <s v=""/>
    <s v=""/>
    <s v=""/>
    <s v=""/>
    <s v=""/>
    <s v=""/>
    <s v=""/>
    <s v="['92&amp;rsquor;|1:1|Roberto Fernández Bonillo', '110&amp;rsquor;|1:2|Chendo']"/>
    <s v="['7&amp;rsquor;|0:0|Srečko Katanec', '59&amp;rsquor;|0:0|Zlatko Vujović', '98&amp;rsquor;|1:2|Zoran Vulić']"/>
    <s v="['49&amp;rsquor;|0:0|Manuel Jiménez Abalo|for Genar Andrinúa', '79&amp;rsquor;|0:1|Rafael Paz|for Emilio Butragueño']"/>
    <s v="['55&amp;rsquor;|0:0|Dejan Savićević|for Darko Pančev', '79&amp;rsquor;|0:1|Zoran Vulić']"/>
  </r>
  <r>
    <s v="England"/>
    <s v="Belgium"/>
    <n v="1"/>
    <m/>
    <m/>
    <n v="0"/>
    <m/>
    <m/>
    <s v="Bobby Robson"/>
    <s v="Terry Butcher"/>
    <s v="Guy Thys"/>
    <s v="Jan Ceulemans"/>
    <n v="34520"/>
    <s v="Renato Dall Ara, Bologna"/>
    <s v="Peter Mikkelsen (Referee) · Helmut Kohl (AR1) · Shizuo Takada (AR2)"/>
    <x v="4"/>
    <x v="204"/>
    <s v="1–0"/>
    <s v="Peter Mikkelsen"/>
    <s v="Required Extra Time"/>
    <x v="8"/>
    <x v="8"/>
    <s v="David Platt · 119"/>
    <s v=""/>
    <s v="['119&amp;rsquor;|1:0|David Platt']"/>
    <s v=""/>
    <s v=""/>
    <s v=""/>
    <s v=""/>
    <s v=""/>
    <s v=""/>
    <s v=""/>
    <s v=""/>
    <s v=""/>
    <s v=""/>
    <s v=""/>
    <s v=""/>
    <s v=""/>
    <s v=""/>
    <s v=""/>
    <s v="['87&amp;rsquor;|0:0|Paul Gascoigne']"/>
    <s v=""/>
    <s v="['71&amp;rsquor;|0:0|David Platt|for Steve McMahon', '74&amp;rsquor;|0:0|Steve Bull|for John Barnes']"/>
    <s v="['64&amp;rsquor;|0:0|Nico Claesen|for Marc Degryse', '107&amp;rsquor;|0:0|Patrick Vervoort|for Bruno Versavel']"/>
  </r>
  <r>
    <s v="Republic of Ireland"/>
    <s v="Romania"/>
    <n v="0"/>
    <m/>
    <n v="5"/>
    <n v="0"/>
    <m/>
    <n v="4"/>
    <s v="Jack Charlton"/>
    <s v="Paul McGrath"/>
    <s v="Emerich Jenei"/>
    <s v="Silviu Lung"/>
    <n v="31818"/>
    <s v="Luigi Ferraris, Genoa"/>
    <s v="Jose Ramiz Wright (Referee) · Carlos Maciel (AR1) · Jassim Mandi (AR2)"/>
    <x v="4"/>
    <x v="205"/>
    <s v="(5) 0–0 (4)"/>
    <s v="Jose Ramiz Wright"/>
    <s v="Rep. of Ireland won on penalty kicks following extra time"/>
    <x v="8"/>
    <x v="8"/>
    <s v=""/>
    <s v=""/>
    <s v=""/>
    <s v=""/>
    <s v=""/>
    <s v=""/>
    <s v=""/>
    <s v=""/>
    <s v=""/>
    <s v=""/>
    <s v="['2|1:1|Kevin Sheedy', '4|2:2|Ray Houghton', '6|3:3|Andy Townsend', '8|4:4|Tony Cascarino', &quot;10|5:4|David O'Leary&quot;]"/>
    <s v="['1|0:1|Gheorghe Hagi', '3|1:2|Dănuț Lupu', '5|2:3|Iosif Rotariu', '7|3:4|Ioan Lupescu']"/>
    <s v=""/>
    <s v="['9|4:4|Daniel Timofte']"/>
    <s v=""/>
    <s v=""/>
    <s v=""/>
    <s v=""/>
    <s v="['21&amp;rsquor;|0:0|John Aldridge', '107&amp;rsquor;|0:0|Paul McGrath']"/>
    <s v="['112&amp;rsquor;|0:0|Gheorghe Hagi', '116&amp;rsquor;|0:0|Dănuț Lupu']"/>
    <s v="['22&amp;rsquor;|0:0|Tony Cascarino|for John Aldridge', &quot;94&amp;rsquor;|0:0|David O'Leary|for Steve Staunton&quot;]"/>
    <s v="['75&amp;rsquor;|0:0|Dănuț Lupu|for Florin Răducioiu', '98&amp;rsquor;|0:0|Daniel Timofte|for Ioan Sabău']"/>
  </r>
  <r>
    <s v="Italy"/>
    <s v="Uruguay"/>
    <n v="2"/>
    <m/>
    <m/>
    <n v="0"/>
    <m/>
    <m/>
    <s v="Azeglio Vicini"/>
    <s v="Giuseppe Bergomi"/>
    <s v="Oscar Tabarez"/>
    <s v="Enzo Francescoli"/>
    <n v="73303"/>
    <s v="Stadio Olimpico, Rome"/>
    <s v="George Courtney (Referee) · Kurt Roethlisberger (AR1) · Zoran Petrovic (AR2)"/>
    <x v="4"/>
    <x v="205"/>
    <s v="2–0"/>
    <s v="George Courtney"/>
    <s v=""/>
    <x v="8"/>
    <x v="8"/>
    <s v="Salvatore Schillaci · 65|Aldo Serena · 83"/>
    <s v=""/>
    <s v="['65&amp;rsquor;|1:0|Salvatore Schillaci', '83&amp;rsquor;|2:0|Aldo Serena']"/>
    <s v=""/>
    <s v=""/>
    <s v=""/>
    <s v=""/>
    <s v=""/>
    <s v=""/>
    <s v=""/>
    <s v=""/>
    <s v=""/>
    <s v=""/>
    <s v=""/>
    <s v=""/>
    <s v=""/>
    <s v=""/>
    <s v=""/>
    <s v="['36&amp;rsquor;|0:0|Nicola Berti']"/>
    <s v="['15&amp;rsquor;|0:0|José Pintos Saldanha', '25&amp;rsquor;|0:0|Fernando Álvez', '34&amp;rsquor;|0:0|José Perdomo', '61&amp;rsquor;|0:0|Nelson Gutiérrez']"/>
    <s v="['52&amp;rsquor;|0:0|Aldo Serena|for Nicola Berti', '79&amp;rsquor;|1:0|Pietro Vierchowod|for Roberto Baggio']"/>
    <s v="['55&amp;rsquor;|0:0|Rubén Sosa|for Carlos Aguilera', '79&amp;rsquor;|1:0|Antonio Alzamendi|for Santiago Ostolaza']"/>
  </r>
  <r>
    <s v="Brazil"/>
    <s v="Argentina"/>
    <n v="0"/>
    <m/>
    <m/>
    <n v="1"/>
    <m/>
    <m/>
    <s v="Sebastiao Lazaroni"/>
    <s v="Ricardo Gomes"/>
    <s v="Carlos Bilardo"/>
    <s v="Diego Maradona"/>
    <n v="61381"/>
    <s v="Stadio delle Alpi, Turin"/>
    <s v="Joel Quiniou (Referee) · Alexey Spirin (AR1) · Pierluigi Pairetto (AR2)"/>
    <x v="4"/>
    <x v="206"/>
    <s v="0–1"/>
    <s v="Joel Quiniou"/>
    <s v=""/>
    <x v="8"/>
    <x v="8"/>
    <s v=""/>
    <s v="Claudio Caniggia · 81"/>
    <s v=""/>
    <s v="['81&amp;rsquor;|0:1|Claudio Caniggia']"/>
    <s v=""/>
    <s v=""/>
    <s v=""/>
    <s v=""/>
    <s v=""/>
    <s v=""/>
    <s v=""/>
    <s v=""/>
    <s v=""/>
    <s v=""/>
    <s v="Ricardo Gomes · 85"/>
    <s v=""/>
    <s v=""/>
    <s v=""/>
    <s v="['40&amp;rsquor;|0:0|Ricardo Rocha', '50&amp;rsquor;|0:0|Mauro Galvão']"/>
    <s v="['27&amp;rsquor;|0:0|Pedro Monzón', '28&amp;rsquor;|0:0|Ricardo Giusti', '87&amp;rsquor;|0:1|Sergio Goycochea']"/>
    <s v="['83&amp;rsquor;|0:1|Silas Pereira', '83&amp;rsquor;|0:1|Renato Gaúcho|for Alemão']"/>
    <s v="['61&amp;rsquor;|0:0|Gabriel Calderón|for Pedro Troglio']"/>
  </r>
  <r>
    <s v="West Germany"/>
    <s v="Netherlands"/>
    <n v="2"/>
    <m/>
    <m/>
    <n v="1"/>
    <m/>
    <m/>
    <s v="Franz Beckenbauer"/>
    <s v="Lothar Matthäus"/>
    <s v="Leo Beenhakker"/>
    <s v="Ruud Gullit"/>
    <n v="74559"/>
    <s v="Giuseppe Meazza, Milan"/>
    <s v="Juan Loustau (Referee) · Elias V. Jacome Guerrero (AR1) · Vincent Mauro (AR2)"/>
    <x v="4"/>
    <x v="206"/>
    <s v="2–1"/>
    <s v="Juan Loustau"/>
    <s v=""/>
    <x v="8"/>
    <x v="8"/>
    <s v="Jürgen Klinsmann · 51|Andreas Brehme · 85"/>
    <s v=""/>
    <s v="['51&amp;rsquor;|1:0|Jürgen Klinsmann', '85&amp;rsquor;|2:0|Andreas Brehme']"/>
    <s v=""/>
    <s v=""/>
    <s v=""/>
    <s v=""/>
    <s v="Ronald Koeman (P) · 89"/>
    <s v=""/>
    <s v=""/>
    <s v=""/>
    <s v=""/>
    <s v=""/>
    <s v=""/>
    <s v="Rudi Völler · 22"/>
    <s v="Frank Rijkaard · 22"/>
    <s v=""/>
    <s v=""/>
    <s v="['21&amp;rsquor;|0:0|Rudi Völler', '77&amp;rsquor;|1:0|Lothar Matthäus']"/>
    <s v="['20&amp;rsquor;|0:0|Frank Rijkaard', '32&amp;rsquor;|0:0|Jan Wouters', '72&amp;rsquor;|1:0|Marco van Basten']"/>
    <s v="['77&amp;rsquor;|1:0|Karl-Heinz Riedle|for Jürgen Klinsmann']"/>
    <s v="['66&amp;rsquor;|1:0|Wim Kieft|for Berry van Aerle', '78&amp;rsquor;|1:0|Hans Gillhaus|for Richard Witschge']"/>
  </r>
  <r>
    <s v="Cameroon"/>
    <s v="Colombia"/>
    <n v="2"/>
    <m/>
    <m/>
    <n v="1"/>
    <m/>
    <m/>
    <s v="Valeri Nepomnyashchi"/>
    <s v="Stephen Tataw"/>
    <s v="Francisco Maturana"/>
    <s v="Carlos Valderrama"/>
    <n v="50026"/>
    <s v="San Paolo, Naples"/>
    <s v="Tullio Lanese (Referee) · Jamal Al Sharif (AR1) · Berny Ulloa Morera (AR2)"/>
    <x v="4"/>
    <x v="207"/>
    <s v="2–1"/>
    <s v="Tullio Lanese"/>
    <s v="Required Extra Time"/>
    <x v="8"/>
    <x v="8"/>
    <s v="Roger Milla · 106|Roger Milla · 108"/>
    <s v="Bernardo Redín · 115"/>
    <s v="['106&amp;rsquor;|1:0|Roger Milla', '108&amp;rsquor;|2:0|Roger Milla']"/>
    <s v="['115&amp;rsquor;|2:1|Bernardo Redín']"/>
    <s v=""/>
    <s v=""/>
    <s v=""/>
    <s v=""/>
    <s v=""/>
    <s v=""/>
    <s v=""/>
    <s v=""/>
    <s v=""/>
    <s v=""/>
    <s v=""/>
    <s v=""/>
    <s v=""/>
    <s v=""/>
    <s v="['44&amp;rsquor;|0:0|André Kana-Biyik', &quot;46&amp;rsquor;|0:0|Victor N'Dip&quot;, '68&amp;rsquor;|0:0|Émile Mbouh', '117&amp;rsquor;|2:1|Jules Onana']"/>
    <s v="['72&amp;rsquor;|0:0|Luis Carlos Perea', '73&amp;rsquor;|0:0|Gabriel Jaime Gómez Jaramillo']"/>
    <s v="[&quot;54&amp;rsquor;|0:0|Roger Milla|for Louis-Paul M'Fédé&quot;, '69&amp;rsquor;|0:0|Bonaventure Djonkep|for Cyrille Makanaky']"/>
    <s v="['63&amp;rsquor;|0:0|Arnoldo Iguarán|for Luis Fajardo', '79&amp;rsquor;|0:0|Bernardo Redín|for Gabriel Jaime Gómez Jaramillo']"/>
  </r>
  <r>
    <s v="Czechoslovakia"/>
    <s v="Costa Rica"/>
    <n v="4"/>
    <m/>
    <m/>
    <n v="1"/>
    <m/>
    <m/>
    <s v="Jozef Venglos"/>
    <s v="Ivan Hašek"/>
    <s v="Bora Milutinovic"/>
    <s v="Róger Flores"/>
    <n v="47673"/>
    <s v="Stadio San Nicola, Bari"/>
    <s v="Siegfried Kirschen (Referee) · Armando Perez Hoyos (AR1) · Pietro D Elia (AR2)"/>
    <x v="4"/>
    <x v="207"/>
    <s v="4–1"/>
    <s v="Siegfried Kirschen"/>
    <s v=""/>
    <x v="8"/>
    <x v="8"/>
    <s v="Tomáš Skuhravý · 12|Tomáš Skuhravý · 63|Luboš Kubík · 76|Tomáš Skuhravý · 82"/>
    <s v="Rónald González Brenes · 55"/>
    <s v="['12&amp;rsquor;|1:0|Tomáš Skuhravý', '63&amp;rsquor;|2:1|Tomáš Skuhravý', '76&amp;rsquor;|3:1|Luboš Kubík', '82&amp;rsquor;|4:1|Tomáš Skuhravý']"/>
    <s v="['55&amp;rsquor;|1:1|Rónald González Brenes']"/>
    <s v=""/>
    <s v=""/>
    <s v=""/>
    <s v=""/>
    <s v=""/>
    <s v=""/>
    <s v=""/>
    <s v=""/>
    <s v=""/>
    <s v=""/>
    <s v=""/>
    <s v=""/>
    <s v=""/>
    <s v=""/>
    <s v="['53&amp;rsquor;|1:0|Ivan Hašek', '56&amp;rsquor;|1:1|Ján Kocian', '67&amp;rsquor;|2:1|František Straka']"/>
    <s v="['5&amp;rsquor;|0:0|Rónald González Brenes', '75&amp;rsquor;|2:1|Héctor Marchena']"/>
    <s v=""/>
    <s v="['46&amp;rsquor;|1:0|Hernán Medford|for Marvin Obando', '65&amp;rsquor;|2:1|Alexandre Guimarães']"/>
  </r>
  <r>
    <s v="Belgium"/>
    <s v="Spain"/>
    <n v="1"/>
    <m/>
    <m/>
    <n v="2"/>
    <m/>
    <m/>
    <s v="Guy Thys"/>
    <s v="Jan Ceulemans"/>
    <s v="Luis Suarez"/>
    <s v="Emilio Butragueño"/>
    <n v="35950"/>
    <s v="Marc Antonio Bentegodi, Verona"/>
    <s v="Juan Loustau (Referee) · Carlos Maciel (AR1) · Vincent Mauro (AR2)"/>
    <x v="5"/>
    <x v="208"/>
    <s v="1–2"/>
    <s v="Juan Loustau"/>
    <s v=""/>
    <x v="8"/>
    <x v="8"/>
    <s v="Patrick Vervoort · 29"/>
    <s v="Alberto Górriz · 38"/>
    <s v="['29&amp;rsquor;|1:1|Patrick Vervoort']"/>
    <s v="['38&amp;rsquor;|1:2|Alberto Górriz']"/>
    <s v=""/>
    <s v=""/>
    <s v=""/>
    <s v="Míchel (P) · 26"/>
    <s v=""/>
    <s v=""/>
    <s v=""/>
    <s v=""/>
    <s v=""/>
    <s v=""/>
    <s v=""/>
    <s v=""/>
    <s v=""/>
    <s v=""/>
    <s v=""/>
    <s v=""/>
    <s v="['31&amp;rsquor;|1:1|Pascal Plovie|for Marc Emmers', '78&amp;rsquor;|1:2|Marc Van Der Linden|for Lorenzo Staelens']"/>
    <s v="['82&amp;rsquor;|1:2|Rafael Alkorta|for Emilio Butragueño', '88&amp;rsquor;|1:2|Miguel Pardeza|for Julio Salinas']"/>
  </r>
  <r>
    <s v="Korea Republic"/>
    <s v="Uruguay"/>
    <n v="0"/>
    <m/>
    <m/>
    <n v="1"/>
    <m/>
    <m/>
    <s v="Hoe Taik Lee"/>
    <s v="Choi Soon-ho"/>
    <s v="Oscar Tabarez"/>
    <s v="Enzo Francescoli"/>
    <n v="29039"/>
    <s v="Friuli, Udine"/>
    <s v="Tullio Lanese (Referee) · Jean Fidele Diramba (AR1) · Neji Jouini (AR2)"/>
    <x v="5"/>
    <x v="208"/>
    <s v="0–1"/>
    <s v="Tullio Lanese"/>
    <s v=""/>
    <x v="8"/>
    <x v="8"/>
    <s v=""/>
    <s v="Daniel Fonseca · 90"/>
    <s v=""/>
    <s v="['90&amp;rsquor;|0:1|Daniel Fonseca']"/>
    <s v=""/>
    <s v=""/>
    <s v=""/>
    <s v=""/>
    <s v=""/>
    <s v=""/>
    <s v=""/>
    <s v=""/>
    <s v=""/>
    <s v=""/>
    <s v="Yoon Deok-yeo · 70"/>
    <s v=""/>
    <s v=""/>
    <s v=""/>
    <s v="['22&amp;rsquor;|0:0|Lee Heung-sil', '62&amp;rsquor;|0:0|Choi Kang-hee']"/>
    <s v="['23&amp;rsquor;|0:0|Santiago Ostolaza', '44&amp;rsquor;|0:0|José Oscar Herrera']"/>
    <s v="['43&amp;rsquor;|0:0|Hwang Sun-hong|for Byun Byung-joo', '79&amp;rsquor;|0:0|Chung Hae-won|for Hwangbo Kwan']"/>
    <s v="['46&amp;rsquor;|0:0|Carlos Aguilera|for Santiago Ostolaza', '62&amp;rsquor;|0:0|Daniel Fonseca|for Rubén Sosa']"/>
  </r>
  <r>
    <s v="Republic of Ireland"/>
    <s v="Netherlands"/>
    <n v="1"/>
    <m/>
    <m/>
    <n v="1"/>
    <m/>
    <m/>
    <s v="Jack Charlton"/>
    <s v="Mick McCarthy"/>
    <s v="Leo Beenhakker"/>
    <s v="Ruud Gullit"/>
    <n v="33288"/>
    <s v="Della Favorita, Palermo"/>
    <s v="Michel Vautrot (Referee) · Richard Lorenc (AR1) · Mohamed Hansal (AR2)"/>
    <x v="5"/>
    <x v="208"/>
    <s v="1–1"/>
    <s v="Michel Vautrot"/>
    <s v=""/>
    <x v="8"/>
    <x v="8"/>
    <s v="Niall Quinn · 71"/>
    <s v="Ruud Gullit · 11"/>
    <s v="['71&amp;rsquor;|1:1|Niall Quinn']"/>
    <s v="['11&amp;rsquor;|0:1|Ruud Gullit']"/>
    <s v=""/>
    <s v=""/>
    <s v=""/>
    <s v=""/>
    <s v=""/>
    <s v=""/>
    <s v=""/>
    <s v=""/>
    <s v=""/>
    <s v=""/>
    <s v=""/>
    <s v=""/>
    <s v=""/>
    <s v=""/>
    <s v=""/>
    <s v="['43&amp;rsquor;|0:1|Frank Rijkaard']"/>
    <s v="['62&amp;rsquor;|0:1|Ronnie Whelan|for Kevin Sheedy', '62&amp;rsquor;|0:1|Tony Cascarino|for John Aldridge']"/>
    <s v="['58&amp;rsquor;|0:1|Henk Fräser|for Richard Witschge', '78&amp;rsquor;|1:1|John van Loen|for Wim Kieft']"/>
  </r>
  <r>
    <s v="England"/>
    <s v="Egypt"/>
    <n v="1"/>
    <m/>
    <m/>
    <n v="0"/>
    <m/>
    <m/>
    <s v="Bobby Robson"/>
    <s v="Peter Shilton"/>
    <s v="Mahmoud El Gohary"/>
    <s v="Gamal Abdel-Hameed"/>
    <n v="34959"/>
    <s v="Sant Elia, Cagliari"/>
    <s v="Kurt Roethlisberger (Referee) · Berny Ulloa Morera (AR1) · Edgardo Codesal Mendez (AR2)"/>
    <x v="5"/>
    <x v="208"/>
    <s v="1–0"/>
    <s v="Kurt Roethlisberger"/>
    <s v=""/>
    <x v="8"/>
    <x v="8"/>
    <s v="Mark Wright · 58"/>
    <s v=""/>
    <s v="['58&amp;rsquor;|1:0|Mark Wright']"/>
    <s v=""/>
    <s v=""/>
    <s v=""/>
    <s v=""/>
    <s v=""/>
    <s v=""/>
    <s v=""/>
    <s v=""/>
    <s v=""/>
    <s v=""/>
    <s v=""/>
    <s v=""/>
    <s v=""/>
    <s v=""/>
    <s v=""/>
    <s v="['88&amp;rsquor;|1:0|Peter Beardsley']"/>
    <s v="['36&amp;rsquor;|0:0|Magdi Abdelghani', '48&amp;rsquor;|0:0|Ibrahim Hassan']"/>
    <s v="['84&amp;rsquor;|1:0|Peter Beardsley|for Steve Bull', '87&amp;rsquor;|1:0|David Platt|for Chris Waddle']"/>
    <s v="['77&amp;rsquor;|1:0|Tarek Soliman|for Ahmed El-Kass', '77&amp;rsquor;|1:0|Adel Abdelrahman|for Gamal Abdel-Hameed']"/>
  </r>
  <r>
    <s v="Sweden"/>
    <s v="Costa Rica"/>
    <n v="1"/>
    <m/>
    <m/>
    <n v="2"/>
    <m/>
    <m/>
    <s v="Olle Nordin"/>
    <s v="Glenn Hysén"/>
    <s v="Bora Milutinovic"/>
    <s v="Róger Flores"/>
    <n v="30223"/>
    <s v="Luigi Ferraris, Genoa"/>
    <s v="Zoran Petrovic (Referee) · Alan Snoddy (AR1) · George Courtney (AR2)"/>
    <x v="5"/>
    <x v="209"/>
    <s v="1–2"/>
    <s v="Zoran Petrovic"/>
    <s v=""/>
    <x v="8"/>
    <x v="8"/>
    <s v="Johnny Ekström · 32"/>
    <s v="Róger Flores · 75|Hernán Medford · 87"/>
    <s v="['32&amp;rsquor;|1:0|Johnny Ekström']"/>
    <s v="['75&amp;rsquor;|1:1|Róger Flores', '87&amp;rsquor;|1:2|Hernán Medford']"/>
    <s v=""/>
    <s v=""/>
    <s v=""/>
    <s v=""/>
    <s v=""/>
    <s v=""/>
    <s v=""/>
    <s v=""/>
    <s v=""/>
    <s v=""/>
    <s v=""/>
    <s v=""/>
    <s v=""/>
    <s v=""/>
    <s v="['18&amp;rsquor;|0:0|Glenn Strömberg', '74&amp;rsquor;|1:0|Stefan Schwarz']"/>
    <s v="['28&amp;rsquor;|0:0|Róger Gómez', '53&amp;rsquor;|1:0|Héctor Marchena']"/>
    <s v="['34&amp;rsquor;|1:0|Mats Gren|for Tomas Brolin', '81&amp;rsquor;|1:1|Leif Engqvist|for Glenn Strömberg']"/>
    <s v="['60&amp;rsquor;|1:0|Hernán Medford|for Róger Gómez', '73&amp;rsquor;|1:0|Alexandre Guimarães']"/>
  </r>
  <r>
    <s v="Brazil"/>
    <s v="Scotland"/>
    <n v="1"/>
    <m/>
    <m/>
    <n v="0"/>
    <m/>
    <m/>
    <s v="Sebastiao Lazaroni"/>
    <s v="Ricardo Gomes"/>
    <s v="Andy Roxburgh"/>
    <s v="Roy Aitken"/>
    <n v="62502"/>
    <s v="Stadio delle Alpi, Turin"/>
    <s v="Helmut Kohl (Referee) · Michal Listkiewicz (AR1) · Siegfried Kirschen (AR2)"/>
    <x v="5"/>
    <x v="209"/>
    <s v="1–0"/>
    <s v="Helmut Kohl"/>
    <s v=""/>
    <x v="8"/>
    <x v="8"/>
    <s v="Müller · 81"/>
    <s v=""/>
    <s v="['81&amp;rsquor;|1:0|Müller']"/>
    <s v=""/>
    <s v=""/>
    <s v=""/>
    <s v=""/>
    <s v=""/>
    <s v=""/>
    <s v=""/>
    <s v=""/>
    <s v=""/>
    <s v=""/>
    <s v=""/>
    <s v=""/>
    <s v=""/>
    <s v=""/>
    <s v=""/>
    <s v=""/>
    <s v="['5&amp;rsquor;|0:0|Mo Johnston', '8&amp;rsquor;|0:0|Murdo MacLeod']"/>
    <s v="['65&amp;rsquor;|0:0|Müller|for Romário']"/>
    <s v="['39&amp;rsquor;|0:0|Gary Gillespie|for Murdo MacLeod', '79&amp;rsquor;|0:0|Robert Fleck|for Ally McCoist']"/>
  </r>
  <r>
    <s v="West Germany"/>
    <s v="Colombia"/>
    <n v="1"/>
    <m/>
    <m/>
    <n v="1"/>
    <m/>
    <m/>
    <s v="Franz Beckenbauer"/>
    <s v="Lothar Matthäus"/>
    <s v="Francisco Maturana"/>
    <s v="Carlos Valderrama"/>
    <n v="72510"/>
    <s v="Giuseppe Meazza, Milan"/>
    <s v="Alan Snoddy (Referee) · Jassim Mandi (AR1) · Tullio Lanese (AR2)"/>
    <x v="5"/>
    <x v="210"/>
    <s v="1–1"/>
    <s v="Alan Snoddy"/>
    <s v=""/>
    <x v="8"/>
    <x v="8"/>
    <s v="Pierre Littbarski · 88"/>
    <s v="Freddy Rincón · 90"/>
    <s v="['88&amp;rsquor;|1:0|Pierre Littbarski']"/>
    <s v="['90&amp;rsquor;|1:1|Freddy Rincón']"/>
    <s v=""/>
    <s v=""/>
    <s v=""/>
    <s v=""/>
    <s v=""/>
    <s v=""/>
    <s v=""/>
    <s v=""/>
    <s v=""/>
    <s v=""/>
    <s v=""/>
    <s v=""/>
    <s v=""/>
    <s v=""/>
    <s v="['63&amp;rsquor;|0:0|Thomas Berthold']"/>
    <s v="['15&amp;rsquor;|0:0|Luis Fernando Herrera', '30&amp;rsquor;|0:0|Gabriel Jaime Gómez Jaramillo', '38&amp;rsquor;|0:0|Leonel Álvarez']"/>
    <s v="['46&amp;rsquor;|0:0|Pierre Littbarski|for Uwe Bein', '87&amp;rsquor;|0:0|Olaf Thon|for Thomas Häßler']"/>
    <s v=""/>
  </r>
  <r>
    <s v="Yugoslavia"/>
    <s v="United Arab Emirates"/>
    <n v="4"/>
    <m/>
    <m/>
    <n v="1"/>
    <m/>
    <m/>
    <s v="Ivica Osim"/>
    <s v="Zlatko Vujović"/>
    <s v="Carlos Alberto Parreira"/>
    <s v="Abdulrahman Mohamed"/>
    <n v="27833"/>
    <s v="Renato Dall Ara, Bologna"/>
    <s v="Shizuo Takada (Referee) · Peter Mikkelsen (AR1) · Michel Vautrot (AR2)"/>
    <x v="5"/>
    <x v="210"/>
    <s v="4–1"/>
    <s v="Shizuo Takada"/>
    <s v=""/>
    <x v="8"/>
    <x v="8"/>
    <s v="Safet Sušić · 5|Darko Pančev · 9|Darko Pančev · 46|Robert Prosinečki · 90"/>
    <s v="Ali Thani Jumaa · 22"/>
    <s v="['5&amp;rsquor;|1:0|Safet Sušić', '9&amp;rsquor;|2:0|Darko Pančev', '46&amp;rsquor;|3:1|Darko Pančev', '90&amp;rsquor;|4:1|Robert Prosinečki']"/>
    <s v="['22&amp;rsquor;|2:1|Ali Thani Jumaa']"/>
    <s v=""/>
    <s v=""/>
    <s v=""/>
    <s v=""/>
    <s v=""/>
    <s v=""/>
    <s v=""/>
    <s v=""/>
    <s v=""/>
    <s v=""/>
    <s v=""/>
    <s v=""/>
    <s v=""/>
    <s v="Khalil Ghanim · 76"/>
    <s v="['20&amp;rsquor;|2:0|Dragoljub Brnović', '66&amp;rsquor;|3:1|Refik Šabanadžović', '76&amp;rsquor;|3:1|Darko Pančev']"/>
    <s v="['36&amp;rsquor;|2:1|Khalil Ghanim']"/>
    <s v="['64&amp;rsquor;|3:1|Zoran Vulić|for Zlatko Vujović', '78&amp;rsquor;|3:1|Robert Prosinečki|for Refik Šabanadžović']"/>
    <s v="['35&amp;rsquor;|2:1|Abdullah Ali Sultan|for Nasir Khamees', '46&amp;rsquor;|2:1|Fahad Khamees']"/>
  </r>
  <r>
    <s v="Austria"/>
    <s v="United States"/>
    <n v="2"/>
    <m/>
    <m/>
    <n v="1"/>
    <m/>
    <m/>
    <s v="Josef Hickersberger"/>
    <s v="Toni Polster"/>
    <s v="Bob Gansler"/>
    <s v="Mike Windischmann"/>
    <n v="34857"/>
    <s v="Comunale, Florence"/>
    <s v="Jamal Al Sharif (Referee) · Richard Lorenc (AR1) · Zoran Petrovic (AR2)"/>
    <x v="5"/>
    <x v="210"/>
    <s v="2–1"/>
    <s v="Jamal Al Sharif"/>
    <s v=""/>
    <x v="8"/>
    <x v="8"/>
    <s v="Andreas Ogris · 49|Gerhard Rodax · 63"/>
    <s v="Bruce Murray · 83"/>
    <s v="['49&amp;rsquor;|1:0|Andreas Ogris', '63&amp;rsquor;|2:0|Gerhard Rodax']"/>
    <s v="['83&amp;rsquor;|2:1|Bruce Murray']"/>
    <s v=""/>
    <s v=""/>
    <s v=""/>
    <s v=""/>
    <s v=""/>
    <s v=""/>
    <s v=""/>
    <s v=""/>
    <s v=""/>
    <s v=""/>
    <s v="Peter Artner · 33"/>
    <s v=""/>
    <s v=""/>
    <s v=""/>
    <s v="['21&amp;rsquor;|0:0|Manfred Zsak', '31&amp;rsquor;|0:0|Robert Pecl', '50&amp;rsquor;|1:0|Andreas Reisinger', '84&amp;rsquor;|2:1|Klaus Lindenberger', '90&amp;rsquor;|2:1|Gerald Glatzmayer']"/>
    <s v="['26&amp;rsquor;|0:0|Paul Caligiuri', '28&amp;rsquor;|0:0|Jimmy Banks', '42&amp;rsquor;|0:0|Bruce Murray', '58&amp;rsquor;|1:0|Mike Windischmann']"/>
    <s v="['46&amp;rsquor;|0:0|Andreas Reisinger|for Toni Polster', '84&amp;rsquor;|2:1|Gerald Glatzmayer|for Gerhard Rodax']"/>
    <s v="['55&amp;rsquor;|1:0|Eric Wynalda|for Jimmy Banks', '70&amp;rsquor;|2:0|Brian Bliss|for Paul Caligiuri']"/>
  </r>
  <r>
    <s v="Italy"/>
    <s v="Czechoslovakia"/>
    <n v="2"/>
    <m/>
    <m/>
    <n v="0"/>
    <m/>
    <m/>
    <s v="Azeglio Vicini"/>
    <s v="Giuseppe Bergomi"/>
    <s v="Jozef Venglos"/>
    <s v="Ivan Hašek"/>
    <n v="73303"/>
    <s v="Stadio Olimpico, Rome"/>
    <s v="Joel Quiniou (Referee) · Marcel Van Langenhove (AR1) · George Smith (AR2)"/>
    <x v="5"/>
    <x v="210"/>
    <s v="2–0"/>
    <s v="Joel Quiniou"/>
    <s v=""/>
    <x v="8"/>
    <x v="8"/>
    <s v="Salvatore Schillaci · 9|Roberto Baggio · 78"/>
    <s v=""/>
    <s v="['9&amp;rsquor;|1:0|Salvatore Schillaci', '78&amp;rsquor;|2:0|Roberto Baggio']"/>
    <s v=""/>
    <s v=""/>
    <s v=""/>
    <s v=""/>
    <s v=""/>
    <s v=""/>
    <s v=""/>
    <s v=""/>
    <s v=""/>
    <s v=""/>
    <s v=""/>
    <s v=""/>
    <s v=""/>
    <s v=""/>
    <s v=""/>
    <s v="['44&amp;rsquor;|1:0|Roberto Baggio', '70&amp;rsquor;|1:0|Nicola Berti']"/>
    <s v="['26&amp;rsquor;|1:0|Jozef Chovanec', '29&amp;rsquor;|1:0|Tomáš Skuhravý']"/>
    <s v="['51&amp;rsquor;|1:0|Luigi De Agostini|for Roberto Donadoni', '65&amp;rsquor;|1:0|Pietro Vierchowod|for Fernando De Napoli']"/>
    <s v="['46&amp;rsquor;|1:0|Július Bielik|for Václav Němeček', '58&amp;rsquor;|1:0|Stanislav Griga']"/>
  </r>
  <r>
    <s v="Argentina"/>
    <s v="Romania"/>
    <n v="1"/>
    <m/>
    <m/>
    <n v="1"/>
    <m/>
    <m/>
    <s v="Carlos Bilardo"/>
    <s v="Diego Maradona"/>
    <s v="Emerich Jenei"/>
    <s v="Silviu Lung"/>
    <n v="52733"/>
    <s v="San Paolo, Naples"/>
    <s v="Carlos Alberto Silva Valente (Referee) · Berny Ulloa Morera (AR1) · Carlo Longhi (AR2)"/>
    <x v="5"/>
    <x v="211"/>
    <s v="1–1"/>
    <s v="Carlos Alberto Silva Valente"/>
    <s v=""/>
    <x v="8"/>
    <x v="8"/>
    <s v="Pedro Monzón · 62"/>
    <s v="Gabi Balint · 68"/>
    <s v="['62&amp;rsquor;|1:0|Pedro Monzón']"/>
    <s v="['68&amp;rsquor;|1:1|Gabi Balint']"/>
    <s v=""/>
    <s v=""/>
    <s v=""/>
    <s v=""/>
    <s v=""/>
    <s v=""/>
    <s v=""/>
    <s v=""/>
    <s v=""/>
    <s v=""/>
    <s v=""/>
    <s v=""/>
    <s v=""/>
    <s v=""/>
    <s v="['73&amp;rsquor;|1:1|José Serrizuela', '86&amp;rsquor;|1:1|Sergio Batista']"/>
    <s v="['4&amp;rsquor;|0:0|Marius Lăcătuș', '8&amp;rsquor;|0:0|Gheorghe Hagi', '32&amp;rsquor;|0:0|Ioan Lupescu']"/>
    <s v="['53&amp;rsquor;|0:0|Ricardo Giusti|for Pedro Troglio', '60&amp;rsquor;|0:0|Gustavo Dezotti|for Jorge Burruchaga']"/>
    <s v="['72&amp;rsquor;|1:1|Dănuț Lupu|for Gabi Balint', '82&amp;rsquor;|1:1|Dorin Mateuț|for Ioan Sabău']"/>
  </r>
  <r>
    <s v="Cameroon"/>
    <s v="Soviet Union"/>
    <n v="0"/>
    <m/>
    <m/>
    <n v="4"/>
    <m/>
    <m/>
    <s v="Valeri Nepomnyashchi"/>
    <s v="Stephen Tataw"/>
    <s v="Valeriy Lobanovskyi"/>
    <s v="Anatoliy Demyanenko"/>
    <n v="37307"/>
    <s v="Stadio San Nicola, Bari"/>
    <s v="Jose Ramiz Wright (Referee) · Pietro D Elia (AR1) · Kurt Roethlisberger (AR2)"/>
    <x v="5"/>
    <x v="211"/>
    <s v="0–4"/>
    <s v="Jose Ramiz Wright"/>
    <s v=""/>
    <x v="8"/>
    <x v="8"/>
    <s v=""/>
    <s v="Oleh Protasov · 20|Andrei Zygmantovich · 29|Oleksandr Zavarov · 52|Igor Dobrovolski · 63"/>
    <s v=""/>
    <s v="['20&amp;rsquor;|0:1|Oleh Protasov', '29&amp;rsquor;|0:2|Andrei Zygmantovich', '52&amp;rsquor;|0:3|Oleksandr Zavarov', '63&amp;rsquor;|0:4|Igor Dobrovolski']"/>
    <s v=""/>
    <s v=""/>
    <s v=""/>
    <s v=""/>
    <s v=""/>
    <s v=""/>
    <s v=""/>
    <s v=""/>
    <s v=""/>
    <s v=""/>
    <s v=""/>
    <s v=""/>
    <s v=""/>
    <s v=""/>
    <s v="['61&amp;rsquor;|0:3|André Kana-Biyik', '66&amp;rsquor;|0:4|Roger Milla']"/>
    <s v="['75&amp;rsquor;|0:4|Oleh Protasov']"/>
    <s v="['34&amp;rsquor;|0:2|Roger Milla|for Emmanuel Kundé', '56&amp;rsquor;|0:3|Jean-Claude Pagal|for Cyrille Makanaky']"/>
    <s v="['46&amp;rsquor;|0:2|Oleksandr Zavarov|for Igor Shalimov', '72&amp;rsquor;|0:4|Ivan Yaremchuk|for Hennadiy Lytovchenko']"/>
  </r>
  <r>
    <s v="Republic of Ireland"/>
    <s v="Egypt"/>
    <n v="0"/>
    <m/>
    <m/>
    <n v="0"/>
    <m/>
    <m/>
    <s v="Jack Charlton"/>
    <s v="Mick McCarthy"/>
    <s v="Mahmoud El Gohary"/>
    <s v="Rabie Yassin"/>
    <n v="33288"/>
    <s v="Della Favorita, Palermo"/>
    <s v="Marcel Van Langenhove (Referee) · Joel Quiniou (AR1) · Rosario Lo Bello (AR2)"/>
    <x v="5"/>
    <x v="212"/>
    <s v="0–0"/>
    <s v="Marcel Van Langenhove"/>
    <s v=""/>
    <x v="8"/>
    <x v="8"/>
    <s v=""/>
    <s v=""/>
    <s v=""/>
    <s v=""/>
    <s v=""/>
    <s v=""/>
    <s v=""/>
    <s v=""/>
    <s v=""/>
    <s v=""/>
    <s v=""/>
    <s v=""/>
    <s v=""/>
    <s v=""/>
    <s v=""/>
    <s v=""/>
    <s v=""/>
    <s v=""/>
    <s v="['51&amp;rsquor;|0:0|Chris Morris']"/>
    <s v="['72&amp;rsquor;|0:0|Ahmed Shobair']"/>
    <s v="['64&amp;rsquor;|0:0|Alan McLoughlin|for John Aldridge', '84&amp;rsquor;|0:0|Niall Quinn']"/>
    <s v="['60&amp;rsquor;|0:0|Taher Abouzeid|for Magdy Tolba', '76&amp;rsquor;|0:0|Gamal Abdel-Hameed|for Ahmed El-Kass']"/>
  </r>
  <r>
    <s v="Belgium"/>
    <s v="Uruguay"/>
    <n v="3"/>
    <m/>
    <m/>
    <n v="1"/>
    <m/>
    <m/>
    <s v="Guy Thys"/>
    <s v="Jan Ceulemans"/>
    <s v="Oscar Tabarez"/>
    <s v="Enzo Francescoli"/>
    <n v="33759"/>
    <s v="Marc Antonio Bentegodi, Verona"/>
    <s v="Siegfried Kirschen (Referee) · Peter Mikkelsen (AR1) · Alexey Spirin (AR2)"/>
    <x v="5"/>
    <x v="212"/>
    <s v="3–1"/>
    <s v="Siegfried Kirschen"/>
    <s v=""/>
    <x v="8"/>
    <x v="8"/>
    <s v="Lei Clijsters · 15|Enzo Scifo · 24|Jan Ceulemans · 47"/>
    <s v="Pablo Bengoechea · 73"/>
    <s v="['15&amp;rsquor;|1:0|Lei Clijsters', '24&amp;rsquor;|2:0|Enzo Scifo', '47&amp;rsquor;|3:0|Jan Ceulemans']"/>
    <s v="['73&amp;rsquor;|3:1|Pablo Bengoechea']"/>
    <s v=""/>
    <s v=""/>
    <s v=""/>
    <s v=""/>
    <s v=""/>
    <s v=""/>
    <s v=""/>
    <s v=""/>
    <s v=""/>
    <s v=""/>
    <s v=""/>
    <s v=""/>
    <s v="Eric Gerets · 42"/>
    <s v=""/>
    <s v="['35&amp;rsquor;|2:0|Eric Gerets']"/>
    <s v="['40&amp;rsquor;|2:0|Rubén Sosa']"/>
    <s v="['46&amp;rsquor;|2:0|Marc Emmers|for Lei Clijsters', '73&amp;rsquor;|3:1|Patrick Vervoort|for Bruno Versavel']"/>
    <s v="['46&amp;rsquor;|2:0|Carlos Aguilera|for Antonio Alzamendi', '56&amp;rsquor;|3:0|Pablo Bengoechea|for Santiago Ostolaza']"/>
  </r>
  <r>
    <s v="Korea Republic"/>
    <s v="Spain"/>
    <n v="1"/>
    <m/>
    <m/>
    <n v="3"/>
    <m/>
    <m/>
    <s v="Hoe Taik Lee"/>
    <s v="Choi Soon-ho"/>
    <s v="Luis Suarez"/>
    <s v="Emilio Butragueño"/>
    <n v="32733"/>
    <s v="Dacia Arena, Udine"/>
    <s v="Elias V. Jacome Guerrero (Referee) · Pierluigi Magni (AR1) · Juan Loustau (AR2)"/>
    <x v="5"/>
    <x v="212"/>
    <s v="1–3"/>
    <s v="Elias V. Jacome Guerrero"/>
    <s v=""/>
    <x v="8"/>
    <x v="8"/>
    <s v="Hwangbo Kwan · 43"/>
    <s v="Míchel · 23|Míchel · 61|Míchel · 81"/>
    <s v="['43&amp;rsquor;|1:1|Hwangbo Kwan']"/>
    <s v="['23&amp;rsquor;|0:1|Míchel', '61&amp;rsquor;|1:2|Míchel', '81&amp;rsquor;|1:3|Míchel']"/>
    <s v=""/>
    <s v=""/>
    <s v=""/>
    <s v=""/>
    <s v=""/>
    <s v=""/>
    <s v=""/>
    <s v=""/>
    <s v=""/>
    <s v=""/>
    <s v=""/>
    <s v=""/>
    <s v=""/>
    <s v=""/>
    <s v="['28&amp;rsquor;|0:1|Chung Hae-won', '51&amp;rsquor;|1:1|Yoon Deok-yeo', '68&amp;rsquor;|1:2|Hwangbo Kwan']"/>
    <s v=""/>
    <s v="['52&amp;rsquor;|1:1|Noh Soo-jin|for Chung Hae-won', '68&amp;rsquor;|1:2|Chung Jong-soo|for Park Kyung-hoon']"/>
    <s v="['76&amp;rsquor;|1:2|Fernando Gómez Colomer|for Emilio Butragueño', '81&amp;rsquor;|1:3|José Mari Bakero|for Roberto Fernández Bonillo']"/>
  </r>
  <r>
    <s v="Brazil"/>
    <s v="Costa Rica"/>
    <n v="1"/>
    <m/>
    <m/>
    <n v="0"/>
    <m/>
    <m/>
    <s v="Sebastiao Lazaroni"/>
    <s v="Ricardo Gomes"/>
    <s v="Bora Milutinovic"/>
    <s v="Róger Flores"/>
    <n v="58007"/>
    <s v="Stadio delle Alpi, Turin"/>
    <s v="Neji Jouini (Referee) · Jean Fidele Diramba (AR1) · Jassim Mandi (AR2)"/>
    <x v="5"/>
    <x v="213"/>
    <s v="1–0"/>
    <s v="Neji Jouini"/>
    <s v=""/>
    <x v="8"/>
    <x v="8"/>
    <s v="Müller · 33"/>
    <s v=""/>
    <s v="['33&amp;rsquor;|1:0|Müller']"/>
    <s v=""/>
    <s v=""/>
    <s v=""/>
    <s v=""/>
    <s v=""/>
    <s v=""/>
    <s v=""/>
    <s v=""/>
    <s v=""/>
    <s v=""/>
    <s v=""/>
    <s v=""/>
    <s v=""/>
    <s v=""/>
    <s v=""/>
    <s v="['88&amp;rsquor;|1:0|Jorginho', '90&amp;rsquor;|1:0|Carlos Mozer']"/>
    <s v="['16&amp;rsquor;|0:0|Claudio Jara', '59&amp;rsquor;|1:0|Róger Gómez']"/>
    <s v="['83&amp;rsquor;|1:0|Bebeto|for Careca', '86&amp;rsquor;|1:0|Silas Pereira|for Valdo Filho']"/>
    <s v="['71&amp;rsquor;|1:0|Roy Myers|for Claudio Jara', '78&amp;rsquor;|1:0|Alexandre Guimarães|for Juan Cayasso']"/>
  </r>
  <r>
    <s v="England"/>
    <s v="Netherlands"/>
    <n v="0"/>
    <m/>
    <m/>
    <n v="0"/>
    <m/>
    <m/>
    <s v="Bobby Robson"/>
    <s v="Bryan Robson"/>
    <s v="Leo Beenhakker"/>
    <s v="Ruud Gullit"/>
    <n v="35267"/>
    <s v="Sant Elia, Cagliari"/>
    <s v="Zoran Petrovic (Referee) · Mohamed Hansal (AR1) · Edgardo Codesal Mendez (AR2)"/>
    <x v="5"/>
    <x v="213"/>
    <s v="0–0"/>
    <s v="Zoran Petrovic"/>
    <s v=""/>
    <x v="8"/>
    <x v="8"/>
    <s v=""/>
    <s v=""/>
    <s v=""/>
    <s v=""/>
    <s v=""/>
    <s v=""/>
    <s v=""/>
    <s v=""/>
    <s v=""/>
    <s v=""/>
    <s v=""/>
    <s v=""/>
    <s v=""/>
    <s v=""/>
    <s v=""/>
    <s v=""/>
    <s v=""/>
    <s v=""/>
    <s v=""/>
    <s v=""/>
    <s v="['59&amp;rsquor;|0:0|Steve Bull|for Chris Waddle', '64&amp;rsquor;|0:0|David Platt|for Bryan Robson']"/>
    <s v="[&quot;74&amp;rsquor;|0:0|Wim Kieft|for John van 't Schip&quot;]"/>
  </r>
  <r>
    <s v="Sweden"/>
    <s v="Scotland"/>
    <n v="1"/>
    <m/>
    <m/>
    <n v="2"/>
    <m/>
    <m/>
    <s v="Olle Nordin"/>
    <s v="Glenn Hysén"/>
    <s v="Andy Roxburgh"/>
    <s v="Roy Aitken"/>
    <n v="31823"/>
    <s v="Luigi Ferraris, Genoa"/>
    <s v="Carlos Maciel (Referee) · Vincent Mauro (AR1) · Michal Listkiewicz (AR2)"/>
    <x v="5"/>
    <x v="213"/>
    <s v="1–2"/>
    <s v="Carlos Maciel"/>
    <s v=""/>
    <x v="8"/>
    <x v="8"/>
    <s v="Glenn Strömberg · 86"/>
    <s v="Stuart McCall · 11"/>
    <s v="['86&amp;rsquor;|1:2|Glenn Strömberg']"/>
    <s v="['11&amp;rsquor;|0:1|Stuart McCall']"/>
    <s v=""/>
    <s v=""/>
    <s v=""/>
    <s v="Mo Johnston (P) · 81"/>
    <s v=""/>
    <s v=""/>
    <s v=""/>
    <s v=""/>
    <s v=""/>
    <s v=""/>
    <s v=""/>
    <s v=""/>
    <s v=""/>
    <s v=""/>
    <s v="['59&amp;rsquor;|0:1|Jonas Thern']"/>
    <s v="['68&amp;rsquor;|0:1|Dave McPherson']"/>
    <s v="['62&amp;rsquor;|0:1|Johnny Ekström|for Stefan Pettersson', '75&amp;rsquor;|0:1|Glenn Strömberg|for Peter Larsson']"/>
    <s v="['75&amp;rsquor;|0:1|Paul McStay|for Gordon Durie', '84&amp;rsquor;|0:2|Ally McCoist|for Robert Fleck']"/>
  </r>
  <r>
    <s v="Austria"/>
    <s v="Czechoslovakia"/>
    <n v="0"/>
    <m/>
    <m/>
    <n v="1"/>
    <m/>
    <m/>
    <s v="Josef Hickersberger"/>
    <s v="Toni Polster"/>
    <s v="Jozef Venglos"/>
    <s v="Ivan Hašek"/>
    <n v="38962"/>
    <s v="Comunale, Florence"/>
    <s v="George Smith (Referee) · Richard Lorenc (AR1) · Jamal Al Sharif (AR2)"/>
    <x v="5"/>
    <x v="214"/>
    <s v="0–1"/>
    <s v="George Smith"/>
    <s v=""/>
    <x v="8"/>
    <x v="8"/>
    <s v=""/>
    <s v=""/>
    <s v=""/>
    <s v=""/>
    <s v=""/>
    <s v=""/>
    <s v=""/>
    <s v="Michal Bílek (P) · 31"/>
    <s v=""/>
    <s v=""/>
    <s v=""/>
    <s v=""/>
    <s v=""/>
    <s v=""/>
    <s v=""/>
    <s v=""/>
    <s v=""/>
    <s v=""/>
    <s v="['22&amp;rsquor;|0:0|Robert Pecl', '71&amp;rsquor;|0:1|Manfred Zsak', '85&amp;rsquor;|0:1|Anton Pfeffer']"/>
    <s v="['52&amp;rsquor;|0:1|Ľubomír Moravčík', '62&amp;rsquor;|0:1|Luboš Kubík']"/>
    <s v="['46&amp;rsquor;|0:1|Andreas Ogris|for Peter Schöttel', '46&amp;rsquor;|0:1|Michael Streiter|for Kurt Russ']"/>
    <s v="['31&amp;rsquor;|0:1|Július Bielik|for Jozef Chovanec', '82&amp;rsquor;|0:1|Vladimír Weiss|for Ivo Knoflíček']"/>
  </r>
  <r>
    <s v="West Germany"/>
    <s v="United Arab Emirates"/>
    <n v="5"/>
    <m/>
    <m/>
    <n v="1"/>
    <m/>
    <m/>
    <s v="Franz Beckenbauer"/>
    <s v="Lothar Matthäus"/>
    <s v="Carlos Alberto Parreira"/>
    <s v="Abdulrahman Mohamed"/>
    <n v="71169"/>
    <s v="Giuseppe Meazza, Milan"/>
    <s v="Alexey Spirin (Referee) · Shizuo Takada (AR1) · Pierluigi Pairetto (AR2)"/>
    <x v="5"/>
    <x v="214"/>
    <s v="5–1"/>
    <s v="Alexey Spirin"/>
    <s v=""/>
    <x v="8"/>
    <x v="8"/>
    <s v="Rudi Völler · 35|Jürgen Klinsmann · 37|Lothar Matthäus · 47|Uwe Bein · 58|Rudi Völler · 75"/>
    <s v="Khalid Ismaïl · 46"/>
    <s v="['35&amp;rsquor;|1:0|Rudi Völler', '37&amp;rsquor;|2:0|Jürgen Klinsmann', '47&amp;rsquor;|3:1|Lothar Matthäus', '58&amp;rsquor;|4:1|Uwe Bein', '75&amp;rsquor;|5:1|Rudi Völler']"/>
    <s v="['46&amp;rsquor;|2:1|Khalid Ismaïl']"/>
    <s v=""/>
    <s v=""/>
    <s v=""/>
    <s v=""/>
    <s v=""/>
    <s v=""/>
    <s v=""/>
    <s v=""/>
    <s v=""/>
    <s v=""/>
    <s v=""/>
    <s v=""/>
    <s v=""/>
    <s v=""/>
    <s v="['30&amp;rsquor;|0:0|Andreas Brehme']"/>
    <s v="['26&amp;rsquor;|0:0|Yousuf Hussain', '30&amp;rsquor;|0:0|Hussain Ghuloum']"/>
    <s v="['46&amp;rsquor;|2:1|Pierre Littbarski|for Thomas Berthold', '72&amp;rsquor;|4:1|Karl-Heinz Riedle|for Jürgen Klinsmann']"/>
    <s v="['82&amp;rsquor;|5:1|Hassan Mohamed|for Khalid Ismaïl', '86&amp;rsquor;|5:1|Abdulrahman Al-Haddad|for Ibrahim Meer']"/>
  </r>
  <r>
    <s v="Yugoslavia"/>
    <s v="Colombia"/>
    <n v="1"/>
    <m/>
    <m/>
    <n v="0"/>
    <m/>
    <m/>
    <s v="Ivica Osim"/>
    <s v="Zlatko Vujović"/>
    <s v="Francisco Maturana"/>
    <s v="Carlos Valderrama"/>
    <n v="32257"/>
    <s v="Renato Dall Ara, Bologna"/>
    <s v="Luigi Agnolin (Referee) · Neji Jouini (AR1) · Jean Fidele Diramba (AR2)"/>
    <x v="5"/>
    <x v="215"/>
    <s v="1–0"/>
    <s v="Luigi Agnolin"/>
    <s v=""/>
    <x v="8"/>
    <x v="8"/>
    <s v="Davor Jozić · 75"/>
    <s v=""/>
    <s v="['75&amp;rsquor;|1:0|Davor Jozić']"/>
    <s v=""/>
    <s v=""/>
    <s v=""/>
    <s v=""/>
    <s v=""/>
    <s v=""/>
    <s v=""/>
    <s v=""/>
    <s v=""/>
    <s v=""/>
    <s v=""/>
    <s v=""/>
    <s v=""/>
    <s v=""/>
    <s v=""/>
    <s v="['85&amp;rsquor;|1:0|Dragan Stojković']"/>
    <s v=""/>
    <s v="['46&amp;rsquor;|0:0|Robert Jarni|for Srečko Katanec', '53&amp;rsquor;|0:0|Darko Pančev|for Zlatko Vujović']"/>
    <s v="['68&amp;rsquor;|0:0|Rubén Darío Hernández|for Freddy Rincón', '78&amp;rsquor;|1:0|Carlos Estrada|for Bernardo Redín']"/>
  </r>
  <r>
    <s v="Cameroon"/>
    <s v="Romania"/>
    <n v="2"/>
    <m/>
    <m/>
    <n v="1"/>
    <m/>
    <m/>
    <s v="Valeri Nepomnyashchi"/>
    <s v="Stephen Tataw"/>
    <s v="Emerich Jenei"/>
    <s v="Silviu Lung"/>
    <n v="38687"/>
    <s v="Stadio San Nicola, Bari"/>
    <s v="Hernan Silva Arce (Referee) · Carlos Alberto Silva Valente (AR1) · Armando Perez Hoyos (AR2)"/>
    <x v="5"/>
    <x v="215"/>
    <s v="2–1"/>
    <s v="Hernan Silva Arce"/>
    <s v=""/>
    <x v="8"/>
    <x v="8"/>
    <s v="Roger Milla · 76|Roger Milla · 86"/>
    <s v="Gabi Balint · 88"/>
    <s v="['76&amp;rsquor;|1:0|Roger Milla', '86&amp;rsquor;|2:0|Roger Milla']"/>
    <s v="['88&amp;rsquor;|2:1|Gabi Balint']"/>
    <s v=""/>
    <s v=""/>
    <s v=""/>
    <s v=""/>
    <s v=""/>
    <s v=""/>
    <s v=""/>
    <s v=""/>
    <s v=""/>
    <s v=""/>
    <s v=""/>
    <s v=""/>
    <s v=""/>
    <s v=""/>
    <s v="['20&amp;rsquor;|0:0|Jules Onana', &quot;68&amp;rsquor;|0:0|Thomas N'Kono&quot;]"/>
    <s v="['44&amp;rsquor;|0:0|Michael Klein']"/>
    <s v="['59&amp;rsquor;|0:0|Roger Milla|for Emmanuel Maboang', '69&amp;rsquor;|0:0|Jean-Claude Pagal|for Emmanuel Kundé']"/>
    <s v="['56&amp;rsquor;|0:0|Ilie Dumitrescu|for Gheorghe Hagi', '63&amp;rsquor;|0:0|Gabi Balint|for Florin Răducioiu']"/>
  </r>
  <r>
    <s v="Italy"/>
    <s v="United States"/>
    <n v="1"/>
    <m/>
    <m/>
    <n v="0"/>
    <m/>
    <m/>
    <s v="Azeglio Vicini"/>
    <s v="Giuseppe Bergomi"/>
    <s v="Bob Gansler"/>
    <s v="Mike Windischmann"/>
    <n v="73423"/>
    <s v="Stadio Olimpico, Rome"/>
    <s v="Edgardo Codesal Mendez (Referee) · Juan Cardellino De San Vicente (AR1) · Berny Ulloa Morera (AR2)"/>
    <x v="5"/>
    <x v="215"/>
    <s v="1–0"/>
    <s v="Edgardo Codesal Mendez"/>
    <s v=""/>
    <x v="8"/>
    <x v="8"/>
    <s v="Giuseppe Giannini · 11"/>
    <s v=""/>
    <s v="['11&amp;rsquor;|1:0|Giuseppe Giannini']"/>
    <s v=""/>
    <s v=""/>
    <s v=""/>
    <s v=""/>
    <s v=""/>
    <s v=""/>
    <s v=""/>
    <s v=""/>
    <s v=""/>
    <s v=""/>
    <s v=""/>
    <s v=""/>
    <s v=""/>
    <s v=""/>
    <s v=""/>
    <s v="['68&amp;rsquor;|1:0|Riccardo Ferri']"/>
    <s v="['62&amp;rsquor;|1:0|Jimmy Banks']"/>
    <s v="['51&amp;rsquor;|1:0|Salvatore Schillaci|for Andrea Carnevale']"/>
    <s v="['80&amp;rsquor;|1:0|John Stollmeyer|for Jimmy Banks', '82&amp;rsquor;|1:0|Christopher Sullivan|for Bruce Murray']"/>
  </r>
  <r>
    <s v="Uruguay"/>
    <s v="Spain"/>
    <n v="0"/>
    <m/>
    <m/>
    <n v="0"/>
    <m/>
    <m/>
    <s v="Oscar Tabarez"/>
    <s v="Enzo Francescoli"/>
    <s v="Luis Suarez"/>
    <s v="Emilio Butragueño"/>
    <n v="35713"/>
    <s v="Dacia Arena, Udine"/>
    <s v="Helmut Kohl (Referee) · Alexey Spirin (AR1) · Siegfried Kirschen (AR2)"/>
    <x v="5"/>
    <x v="216"/>
    <s v="0–0"/>
    <s v="Helmut Kohl"/>
    <s v=""/>
    <x v="8"/>
    <x v="8"/>
    <s v=""/>
    <s v=""/>
    <s v=""/>
    <s v=""/>
    <s v=""/>
    <s v=""/>
    <s v=""/>
    <s v=""/>
    <s v=""/>
    <s v=""/>
    <s v=""/>
    <s v=""/>
    <s v=""/>
    <s v=""/>
    <s v=""/>
    <s v=""/>
    <s v=""/>
    <s v=""/>
    <s v="['10&amp;rsquor;|0:0|José Perdomo', '80&amp;rsquor;|0:0|Enzo Francescoli']"/>
    <s v="['24&amp;rsquor;|0:0|Manuel Jiménez Abalo', '68&amp;rsquor;|0:0|Francisco Villarroya']"/>
    <s v="['65&amp;rsquor;|0:0|Gabriel Correa|for Ruben Pereira', '65&amp;rsquor;|0:0|Carlos Aguilera|for Antonio Alzamendi']"/>
    <s v="['79&amp;rsquor;|0:0|Alberto Górriz', '79&amp;rsquor;|0:0|Rafael Paz|for Manolo']"/>
  </r>
  <r>
    <s v="Argentina"/>
    <s v="Soviet Union"/>
    <n v="2"/>
    <m/>
    <m/>
    <n v="0"/>
    <m/>
    <m/>
    <s v="Carlos Bilardo"/>
    <s v="Diego Maradona"/>
    <s v="Valeriy Lobanovskyi"/>
    <s v="Oleh Kuznetsov"/>
    <n v="55759"/>
    <s v="San Paolo, Naples"/>
    <s v="Erik Fredriksson (Referee) · Jose Ramiz Wright (AR1) · Jamal Al Sharif (AR2)"/>
    <x v="5"/>
    <x v="216"/>
    <s v="2–0"/>
    <s v="Erik Fredriksson"/>
    <s v=""/>
    <x v="8"/>
    <x v="8"/>
    <s v="Pedro Troglio · 27|Jorge Burruchaga · 79"/>
    <s v=""/>
    <s v="['27&amp;rsquor;|1:0|Pedro Troglio', '79&amp;rsquor;|2:0|Jorge Burruchaga']"/>
    <s v=""/>
    <s v=""/>
    <s v=""/>
    <s v=""/>
    <s v=""/>
    <s v=""/>
    <s v=""/>
    <s v=""/>
    <s v=""/>
    <s v=""/>
    <s v=""/>
    <s v=""/>
    <s v="Volodymyr Bezsonov · 48"/>
    <s v=""/>
    <s v=""/>
    <s v="['55&amp;rsquor;|1:0|José Serrizuela', '57&amp;rsquor;|1:0|Claudio Caniggia', '70&amp;rsquor;|1:0|Diego Maradona', '73&amp;rsquor;|1:0|Jorge Burruchaga', '77&amp;rsquor;|1:0|Pedro Monzón']"/>
    <s v="['51&amp;rsquor;|1:0|Andrei Zygmantovich']"/>
    <s v="['11&amp;rsquor;|0:0|Sergio Goycochea|for Nery Pumpido', '78&amp;rsquor;|1:0|Néstor Lorenzo|for Pedro Monzón']"/>
    <s v="['75&amp;rsquor;|1:0|Hennadiy Lytovchenko|for Oleh Protasov', '80&amp;rsquor;|2:0|Volodymyr Lyutyi|for Oleksandr Zavarov']"/>
  </r>
  <r>
    <s v="Belgium"/>
    <s v="Korea Republic"/>
    <n v="2"/>
    <m/>
    <m/>
    <n v="0"/>
    <m/>
    <m/>
    <s v="Guy Thys"/>
    <s v="Eric Gerets"/>
    <s v="Hoe Taik Lee"/>
    <s v="Chung Yong-hwan"/>
    <n v="32790"/>
    <s v="Marc Antonio Bentegodi, Verona"/>
    <s v="Vincent Mauro (Referee) · Alan Snoddy (AR1) · George Courtney (AR2)"/>
    <x v="5"/>
    <x v="217"/>
    <s v="2–0"/>
    <s v="Vincent Mauro"/>
    <s v=""/>
    <x v="8"/>
    <x v="8"/>
    <s v="Marc Degryse · 53|Michel De Wolf · 64"/>
    <s v=""/>
    <s v="['53&amp;rsquor;|1:0|Marc Degryse', '64&amp;rsquor;|2:0|Michel De Wolf']"/>
    <s v=""/>
    <s v=""/>
    <s v=""/>
    <s v=""/>
    <s v=""/>
    <s v=""/>
    <s v=""/>
    <s v=""/>
    <s v=""/>
    <s v=""/>
    <s v=""/>
    <s v=""/>
    <s v=""/>
    <s v=""/>
    <s v=""/>
    <s v=""/>
    <s v="['39&amp;rsquor;|0:0|Choi Soon-ho']"/>
    <s v="['46&amp;rsquor;|0:0|Jan Ceulemans|for Marc Van Der Linden']"/>
    <s v="['46&amp;rsquor;|0:0|Cho Min-kook|for Lee Young-jin', '62&amp;rsquor;|1:0|Lee Tae-ho|for Noh Soo-jin']"/>
  </r>
  <r>
    <s v="Netherlands"/>
    <s v="Egypt"/>
    <n v="1"/>
    <m/>
    <m/>
    <n v="1"/>
    <m/>
    <m/>
    <s v="Leo Beenhakker"/>
    <s v="Ruud Gullit"/>
    <s v="Mahmoud El Gohary"/>
    <s v="Gamal Abdel-Hameed"/>
    <n v="33288"/>
    <s v="Della Favorita, Palermo"/>
    <s v="Emilio Soriano Aladren (Referee) · Edgardo Codesal Mendez (AR1) · Juan Cardellino De San Vicente (AR2)"/>
    <x v="5"/>
    <x v="217"/>
    <s v="1–1"/>
    <s v="Emilio Soriano Aladren"/>
    <s v=""/>
    <x v="8"/>
    <x v="8"/>
    <s v="Wim Kieft · 58"/>
    <s v=""/>
    <s v="['58&amp;rsquor;|1:0|Wim Kieft']"/>
    <s v=""/>
    <s v=""/>
    <s v=""/>
    <s v=""/>
    <s v="Magdi Abdelghani (P) · 83"/>
    <s v=""/>
    <s v=""/>
    <s v=""/>
    <s v=""/>
    <s v=""/>
    <s v=""/>
    <s v=""/>
    <s v=""/>
    <s v=""/>
    <s v=""/>
    <s v="['58&amp;rsquor;|1:0|Wim Kieft']"/>
    <s v="['55&amp;rsquor;|0:0|Ahmed Ramzy']"/>
    <s v="['46&amp;rsquor;|0:0|Wim Kieft|for Gerald Vanenburg', '70&amp;rsquor;|1:0|Richard Witschge']"/>
    <s v="['70&amp;rsquor;|1:0|Magdy Tolba|for Ahmed Ramzy', '70&amp;rsquor;|1:0|Adel Abdelrahman|for Gamal Abdel-Hameed']"/>
  </r>
  <r>
    <s v="Costa Rica"/>
    <s v="Scotland"/>
    <n v="1"/>
    <m/>
    <m/>
    <n v="0"/>
    <m/>
    <m/>
    <s v="Bora Milutinovic"/>
    <s v="Róger Flores"/>
    <s v="Andy Roxburgh"/>
    <s v="Roy Aitken"/>
    <n v="30867"/>
    <s v="Luigi Ferraris, Genoa"/>
    <s v="Juan Loustau (Referee) · Carlos Maciel (AR1) · Elias V. Jacome Guerrero (AR2)"/>
    <x v="5"/>
    <x v="218"/>
    <s v="1–0"/>
    <s v="Juan Loustau"/>
    <s v=""/>
    <x v="8"/>
    <x v="8"/>
    <s v="Juan Cayasso · 49"/>
    <s v=""/>
    <s v="['49&amp;rsquor;|1:0|Juan Cayasso']"/>
    <s v=""/>
    <s v=""/>
    <s v=""/>
    <s v=""/>
    <s v=""/>
    <s v=""/>
    <s v=""/>
    <s v=""/>
    <s v=""/>
    <s v=""/>
    <s v=""/>
    <s v=""/>
    <s v=""/>
    <s v=""/>
    <s v=""/>
    <s v=""/>
    <s v=""/>
    <s v="['86&amp;rsquor;|1:0|Hernán Medford|for Claudio Jara']"/>
    <s v="['46&amp;rsquor;|0:0|Stewart McKimmie|for Richard Gough', '73&amp;rsquor;|1:0|Ally McCoist|for Jim Bett']"/>
  </r>
  <r>
    <s v="England"/>
    <s v="Republic of Ireland"/>
    <n v="1"/>
    <m/>
    <m/>
    <n v="1"/>
    <m/>
    <m/>
    <s v="Bobby Robson"/>
    <s v="Bryan Robson"/>
    <s v="Jack Charlton"/>
    <s v="Mick McCarthy"/>
    <n v="35238"/>
    <s v="Sant Elia, Cagliari"/>
    <s v="Aron Schmidhuber (Referee) · Erik Fredriksson (AR1) · Kurt Roethlisberger (AR2)"/>
    <x v="5"/>
    <x v="218"/>
    <s v="1–1"/>
    <s v="Aron Schmidhuber"/>
    <s v=""/>
    <x v="8"/>
    <x v="8"/>
    <s v="Gary Lineker · 9"/>
    <s v="Kevin Sheedy · 73"/>
    <s v="['9&amp;rsquor;|1:0|Gary Lineker']"/>
    <s v="['73&amp;rsquor;|1:1|Kevin Sheedy']"/>
    <s v=""/>
    <s v=""/>
    <s v=""/>
    <s v=""/>
    <s v=""/>
    <s v=""/>
    <s v=""/>
    <s v=""/>
    <s v=""/>
    <s v=""/>
    <s v=""/>
    <s v=""/>
    <s v=""/>
    <s v=""/>
    <s v="['75&amp;rsquor;|1:1|Steve McMahon']"/>
    <s v=""/>
    <s v="['69&amp;rsquor;|1:0|Steve McMahon|for Peter Beardsley', '83&amp;rsquor;|1:1|Steve Bull|for Gary Lineker']"/>
    <s v="['64&amp;rsquor;|1:0|Alan McLoughlin|for John Aldridge']"/>
  </r>
  <r>
    <s v="United States"/>
    <s v="Czechoslovakia"/>
    <n v="1"/>
    <m/>
    <m/>
    <n v="5"/>
    <m/>
    <m/>
    <s v="Bob Gansler"/>
    <s v="Mike Windischmann"/>
    <s v="Jozef Venglos"/>
    <s v="Ivan Hašek"/>
    <n v="33266"/>
    <s v="Comunale, Florence"/>
    <s v="Kurt Roethlisberger (Referee) · Marcel Van Langenhove (AR1) · Aron Schmidhuber (AR2)"/>
    <x v="5"/>
    <x v="219"/>
    <s v="1–5"/>
    <s v="Kurt Roethlisberger"/>
    <s v=""/>
    <x v="8"/>
    <x v="8"/>
    <s v="Paul Caligiuri · 60"/>
    <s v="Tomáš Skuhravý · 26|Ivan Hašek · 50|Tomáš Skuhravý · 78|Milan Luhový · 90"/>
    <s v="['60&amp;rsquor;|1:3|Paul Caligiuri']"/>
    <s v="['26&amp;rsquor;|0:1|Tomáš Skuhravý', '50&amp;rsquor;|0:3|Ivan Hašek', '78&amp;rsquor;|1:4|Tomáš Skuhravý', '90&amp;rsquor;|1:5|Milan Luhový']"/>
    <s v=""/>
    <s v=""/>
    <s v=""/>
    <s v="Michal Bílek (P) · 40"/>
    <s v=""/>
    <s v=""/>
    <s v=""/>
    <s v=""/>
    <s v=""/>
    <s v=""/>
    <s v="Eric Wynalda · 52"/>
    <s v=""/>
    <s v=""/>
    <s v=""/>
    <s v="['39&amp;rsquor;|0:1|Tony Meola', '44&amp;rsquor;|0:2|Steve Trittschuh']"/>
    <s v="['30&amp;rsquor;|0:1|Luboš Kubík', '62&amp;rsquor;|1:3|Miroslav Kadlec']"/>
    <s v="['64&amp;rsquor;|1:3|Marcelo Balboa|for John Stollmeyer', '77&amp;rsquor;|1:3|Christopher Sullivan|for Bruce Murray']"/>
    <s v="['76&amp;rsquor;|1:3|Milan Luhový|for Ivo Knoflíček', '83&amp;rsquor;|1:4|Vladimír Weiss|for Ľubomír Moravčík']"/>
  </r>
  <r>
    <s v="West Germany"/>
    <s v="Yugoslavia"/>
    <n v="4"/>
    <m/>
    <m/>
    <n v="1"/>
    <m/>
    <m/>
    <s v="Franz Beckenbauer"/>
    <s v="Lothar Matthäus"/>
    <s v="Ivica Osim"/>
    <s v="Zlatko Vujović"/>
    <n v="74765"/>
    <s v="Giuseppe Meazza, Milan"/>
    <s v="Peter Mikkelsen (Referee) · Jassim Mandi (AR1) · Michal Listkiewicz (AR2)"/>
    <x v="5"/>
    <x v="219"/>
    <s v="4–1"/>
    <s v="Peter Mikkelsen"/>
    <s v=""/>
    <x v="8"/>
    <x v="8"/>
    <s v="Lothar Matthäus · 28|Jürgen Klinsmann · 39|Lothar Matthäus · 64|Rudi Völler · 70"/>
    <s v="Davor Jozić · 55"/>
    <s v="['28&amp;rsquor;|1:0|Lothar Matthäus', '39&amp;rsquor;|2:0|Jürgen Klinsmann', '64&amp;rsquor;|3:1|Lothar Matthäus', '70&amp;rsquor;|4:1|Rudi Völler']"/>
    <s v="['55&amp;rsquor;|2:1|Davor Jozić']"/>
    <s v=""/>
    <s v=""/>
    <s v=""/>
    <s v=""/>
    <s v=""/>
    <s v=""/>
    <s v=""/>
    <s v=""/>
    <s v=""/>
    <s v=""/>
    <s v=""/>
    <s v=""/>
    <s v=""/>
    <s v=""/>
    <s v="['6&amp;rsquor;|0:0|Andreas Brehme']"/>
    <s v=""/>
    <s v="['75&amp;rsquor;|4:1|Pierre Littbarski|for Uwe Bein', '75&amp;rsquor;|4:1|Andreas Möller|for Thomas Häßler']"/>
    <s v="['55&amp;rsquor;|2:1|Dragoljub Brnović|for Dejan Savićević', '55&amp;rsquor;|2:1|Robert Prosinečki|for Safet Sušić']"/>
  </r>
  <r>
    <s v="Brazil"/>
    <s v="Sweden"/>
    <n v="2"/>
    <m/>
    <m/>
    <n v="1"/>
    <m/>
    <m/>
    <s v="Sebastiao Lazaroni"/>
    <s v="Ricardo Gomes"/>
    <s v="Olle Nordin"/>
    <s v="Jonas Thern"/>
    <n v="62628"/>
    <s v="Stadio delle Alpi, Turin"/>
    <s v="Tullio Lanese (Referee) · Michel Vautrot (AR1) · Neji Jouini (AR2)"/>
    <x v="5"/>
    <x v="219"/>
    <s v="2–1"/>
    <s v="Tullio Lanese"/>
    <s v=""/>
    <x v="8"/>
    <x v="8"/>
    <s v="Careca · 40|Careca · 63"/>
    <s v="Tomas Brolin · 79"/>
    <s v="['40&amp;rsquor;|1:0|Careca', '63&amp;rsquor;|2:0|Careca']"/>
    <s v="['79&amp;rsquor;|2:1|Tomas Brolin']"/>
    <s v=""/>
    <s v=""/>
    <s v=""/>
    <s v=""/>
    <s v=""/>
    <s v=""/>
    <s v=""/>
    <s v=""/>
    <s v=""/>
    <s v=""/>
    <s v=""/>
    <s v=""/>
    <s v=""/>
    <s v=""/>
    <s v="['38&amp;rsquor;|0:0|Carlos Mozer', '60&amp;rsquor;|1:0|Branco', '88&amp;rsquor;|2:1|Dunga']"/>
    <s v="['83&amp;rsquor;|2:1|Joakim Nilsson']"/>
    <s v="['82&amp;rsquor;|2:1|Silas Pereira|for Valdo Filho']"/>
    <s v="['46&amp;rsquor;|1:0|Stefan Pettersson|for Mats Magnusson', '70&amp;rsquor;|2:0|Glenn Strömberg|for Roger Ljung']"/>
  </r>
  <r>
    <s v="United Arab Emirates"/>
    <s v="Colombia"/>
    <n v="0"/>
    <m/>
    <m/>
    <n v="2"/>
    <m/>
    <m/>
    <s v="Carlos Alberto Parreira"/>
    <s v="Fahad Khamees"/>
    <s v="Francisco Maturana"/>
    <s v="Carlos Valderrama"/>
    <n v="30791"/>
    <s v="Renato Dall Ara, Bologna"/>
    <s v="George Courtney (Referee) · Shizuo Takada (AR1) · Alan Snoddy (AR2)"/>
    <x v="5"/>
    <x v="220"/>
    <s v="0–2"/>
    <s v="George Courtney"/>
    <s v=""/>
    <x v="8"/>
    <x v="8"/>
    <s v=""/>
    <s v="Bernardo Redín · 50|Carlos Valderrama · 85"/>
    <s v=""/>
    <s v="['50&amp;rsquor;|0:1|Bernardo Redín', '85&amp;rsquor;|0:2|Carlos Valderrama']"/>
    <s v=""/>
    <s v=""/>
    <s v=""/>
    <s v=""/>
    <s v=""/>
    <s v=""/>
    <s v=""/>
    <s v=""/>
    <s v=""/>
    <s v=""/>
    <s v=""/>
    <s v=""/>
    <s v=""/>
    <s v=""/>
    <s v="['5&amp;rsquor;|0:0|Eissa Meer', '55&amp;rsquor;|0:1|Yousuf Hussain', '70&amp;rsquor;|0:1|Ibrahim Meer']"/>
    <s v=""/>
    <s v="['57&amp;rsquor;|0:1|Zuhair Bakheet|for Fahad Khamees', '74&amp;rsquor;|0:1|Abdullah Ali Sultan|for Eissa Meer']"/>
    <s v="['75&amp;rsquor;|0:1|Carlos Estrada']"/>
  </r>
  <r>
    <s v="Soviet Union"/>
    <s v="Romania"/>
    <n v="0"/>
    <m/>
    <m/>
    <n v="2"/>
    <m/>
    <m/>
    <s v="Valeriy Lobanovskyi"/>
    <s v="Rinat Dasayev"/>
    <s v="Emerich Jenei"/>
    <s v="Silviu Lung"/>
    <n v="42907"/>
    <s v="Stadio San Nicola, Bari"/>
    <s v="Juan Cardellino De San Vicente (Referee) · Emilio Soriano Aladren (AR1) · Hernan Silva Arce (AR2)"/>
    <x v="5"/>
    <x v="220"/>
    <s v="0–2"/>
    <s v="Juan Cardellino De San Vicente"/>
    <s v=""/>
    <x v="8"/>
    <x v="8"/>
    <s v=""/>
    <s v="Marius Lăcătuș · 41"/>
    <s v=""/>
    <s v="['41&amp;rsquor;|0:1|Marius Lăcătuș']"/>
    <s v=""/>
    <s v=""/>
    <s v=""/>
    <s v="Marius Lăcătuș (P) · 55"/>
    <s v=""/>
    <s v=""/>
    <s v=""/>
    <s v=""/>
    <s v=""/>
    <s v=""/>
    <s v=""/>
    <s v=""/>
    <s v=""/>
    <s v=""/>
    <s v="['11&amp;rsquor;|0:0|Vagiz Khidiyatullin']"/>
    <s v="['44&amp;rsquor;|0:1|Marius Lăcătuș']"/>
    <s v="['66&amp;rsquor;|0:2|Ivan Yaremchuk|for Hennadiy Lytovchenko', '71&amp;rsquor;|0:2|Aleksandr Borodyuk|for Igor Dobrovolski']"/>
    <s v="['80&amp;rsquor;|0:2|Gabi Balint', '87&amp;rsquor;|0:2|Ilie Dumitrescu|for Marius Lăcătuș']"/>
  </r>
  <r>
    <s v="Italy"/>
    <s v="Austria"/>
    <n v="1"/>
    <m/>
    <m/>
    <n v="0"/>
    <m/>
    <m/>
    <s v="Azeglio Vicini"/>
    <s v="Giuseppe Bergomi"/>
    <s v="Josef Hickersberger"/>
    <s v="Toni Polster"/>
    <n v="73303"/>
    <s v="Stadio Olimpico, Rome"/>
    <s v="Jose Ramiz Wright (Referee) · Armando Perez Hoyos (AR1) · Carlos Alberto Silva Valente (AR2)"/>
    <x v="5"/>
    <x v="220"/>
    <s v="1–0"/>
    <s v="Jose Ramiz Wright"/>
    <s v=""/>
    <x v="8"/>
    <x v="8"/>
    <s v="Salvatore Schillaci · 78"/>
    <s v=""/>
    <s v="['78&amp;rsquor;|1:0|Salvatore Schillaci']"/>
    <s v=""/>
    <s v=""/>
    <s v=""/>
    <s v=""/>
    <s v=""/>
    <s v=""/>
    <s v=""/>
    <s v=""/>
    <s v=""/>
    <s v=""/>
    <s v=""/>
    <s v=""/>
    <s v=""/>
    <s v=""/>
    <s v=""/>
    <s v=""/>
    <s v="['6&amp;rsquor;|0:0|Andreas Herzog']"/>
    <s v="['46&amp;rsquor;|0:0|Luigi De Agostini|for Carlo Ancelotti', '75&amp;rsquor;|0:0|Salvatore Schillaci|for Andrea Carnevale']"/>
    <s v="['61&amp;rsquor;|0:0|Manfred Zsak|for Peter Artner', '77&amp;rsquor;|0:0|Alfred Hörtnagl|for Manfred Linzmaier']"/>
  </r>
  <r>
    <s v="Argentina"/>
    <s v="Cameroon"/>
    <n v="0"/>
    <m/>
    <m/>
    <n v="1"/>
    <m/>
    <m/>
    <s v="Carlos Bilardo"/>
    <s v="Diego Maradona"/>
    <s v="Valeri Nepomnyashchi"/>
    <s v="Stephen Tataw"/>
    <n v="73780"/>
    <s v="Giuseppe Meazza, Milan"/>
    <s v="Michel Vautrot (Referee) · Vincent Mauro (AR1) · Michal Listkiewicz (AR2)"/>
    <x v="5"/>
    <x v="221"/>
    <s v="0–1"/>
    <s v="Michel Vautrot"/>
    <s v=""/>
    <x v="8"/>
    <x v="8"/>
    <s v=""/>
    <s v="François Omam-Biyik · 67"/>
    <s v=""/>
    <s v="['67&amp;rsquor;|0:1|François Omam-Biyik']"/>
    <s v=""/>
    <s v=""/>
    <s v=""/>
    <s v=""/>
    <s v=""/>
    <s v=""/>
    <s v=""/>
    <s v=""/>
    <s v=""/>
    <s v=""/>
    <s v=""/>
    <s v="André Kana-Biyik · 61|Benjamin Massing · 88"/>
    <s v=""/>
    <s v=""/>
    <s v="['27&amp;rsquor;|0:0|Roberto Sensini']"/>
    <s v="['9&amp;rsquor;|0:0|Benjamin Massing', &quot;23&amp;rsquor;|0:0|Victor N'Dip&quot;, '53&amp;rsquor;|0:0|Émile Mbouh']"/>
    <s v="['46&amp;rsquor;|0:0|Claudio Caniggia|for Oscar Ruggeri', '69&amp;rsquor;|0:1|Gabriel Calderón|for Roberto Sensini']"/>
    <s v="[&quot;66&amp;rsquor;|0:0|Thomas Libiih|for Louis-Paul M'Fédé&quot;, '81&amp;rsquor;|0:1|Roger Milla|for Cyrille Makanaky']"/>
  </r>
  <r>
    <s v="Argentina"/>
    <s v="West Germany"/>
    <n v="3"/>
    <m/>
    <m/>
    <n v="2"/>
    <m/>
    <m/>
    <s v="Carlos Bilardo"/>
    <s v="Diego Maradona"/>
    <s v="Franz Beckenbauer"/>
    <s v="Karl-Heinz Rummenigge"/>
    <n v="114600"/>
    <s v="Estadio Azteca, Mexico City"/>
    <s v="Romualdo Arppi Filho (Referee) · Erik Fredriksson (AR1) · Berny Ulloa Morera (AR2)"/>
    <x v="0"/>
    <x v="222"/>
    <s v="3–2"/>
    <s v="Romualdo Arppi Filho"/>
    <s v=""/>
    <x v="9"/>
    <x v="9"/>
    <s v="José Luis Brown · 23|Jorge Valdano · 56|Jorge Burruchaga · 84"/>
    <s v="Karl-Heinz Rummenigge · 74|Rudi Völler · 81"/>
    <s v="['23&amp;rsquor;|1:0|José Luis Brown', '56&amp;rsquor;|2:0|Jorge Valdano', '84&amp;rsquor;|3:2|Jorge Burruchaga']"/>
    <s v="['74&amp;rsquor;|2:1|Karl-Heinz Rummenigge', '81&amp;rsquor;|2:2|Rudi Völler']"/>
    <s v=""/>
    <s v=""/>
    <s v=""/>
    <s v=""/>
    <s v=""/>
    <s v=""/>
    <s v=""/>
    <s v=""/>
    <s v=""/>
    <s v=""/>
    <s v=""/>
    <s v=""/>
    <s v=""/>
    <s v=""/>
    <s v="['17&amp;rsquor;|0:0|Diego Maradona', '77&amp;rsquor;|2:1|Julio Olarticoechea', '81&amp;rsquor;|2:2|Héctor Enrique', '85&amp;rsquor;|3:2|Nery Pumpido']"/>
    <s v="['21&amp;rsquor;|0:0|Lothar Matthäus', '62&amp;rsquor;|2:0|Hans-Peter Briegel']"/>
    <s v="['90&amp;rsquor;|3:2|Marcelo Trobbiani|for Jorge Burruchaga']"/>
    <s v="['46&amp;rsquor;|1:0|Rudi Völler|for Klaus Allofs', '62&amp;rsquor;|2:0|Dieter Hoeneß|for Felix Magath']"/>
  </r>
  <r>
    <s v="France"/>
    <s v="Belgium"/>
    <n v="4"/>
    <m/>
    <m/>
    <n v="2"/>
    <m/>
    <m/>
    <s v="Henri Michel"/>
    <s v="Patrick Battiston"/>
    <s v="Guy Thys"/>
    <s v="Jan Ceulemans"/>
    <n v="21000"/>
    <s v="Cuauhtemoc, Puebla"/>
    <s v="George Courtney (Referee) · Hernan Silva Arce (AR1) · Jamal Al Sharif (AR2)"/>
    <x v="1"/>
    <x v="223"/>
    <s v="4–2"/>
    <s v="George Courtney"/>
    <s v="Required Extra Time"/>
    <x v="9"/>
    <x v="9"/>
    <s v="Jean-Marc Ferreri · 27|Jean-Pierre Papin · 43|Bernard Genghini · 104"/>
    <s v="Jan Ceulemans · 11|Nico Claesen · 73"/>
    <s v="['27&amp;rsquor;|1:1|Jean-Marc Ferreri', '43&amp;rsquor;|2:1|Jean-Pierre Papin', '104&amp;rsquor;|3:2|Bernard Genghini']"/>
    <s v="['11&amp;rsquor;|0:1|Jan Ceulemans', '73&amp;rsquor;|2:2|Nico Claesen']"/>
    <s v=""/>
    <s v=""/>
    <s v="Manuel Amoros (P) · 111"/>
    <s v=""/>
    <s v=""/>
    <s v=""/>
    <s v=""/>
    <s v=""/>
    <s v=""/>
    <s v=""/>
    <s v=""/>
    <s v=""/>
    <s v=""/>
    <s v=""/>
    <s v=""/>
    <s v="['63&amp;rsquor;|2:1|Jean-Marie Pfaff']"/>
    <s v="['55&amp;rsquor;|2:1|Maxime Bossis|for Yvon Le Roux', '83&amp;rsquor;|2:2|Thierry Tusseau|for Jean Tigana']"/>
    <s v="['46&amp;rsquor;|2:1|Franky Van der Elst|for Michel Renquin', '64&amp;rsquor;|2:1|Leo Van der Elst']"/>
  </r>
  <r>
    <s v="France"/>
    <s v="West Germany"/>
    <n v="0"/>
    <m/>
    <m/>
    <n v="2"/>
    <m/>
    <m/>
    <s v="Henri Michel"/>
    <s v="Michel Platini"/>
    <s v="Franz Beckenbauer"/>
    <s v="Karl-Heinz Rummenigge"/>
    <n v="45000"/>
    <s v="Jalisco, Guadalajara"/>
    <s v="Luigi Agnolin (Referee) · Zoran Petrovic (AR1) · Lajos Nemeth (AR2)"/>
    <x v="2"/>
    <x v="224"/>
    <s v="0–2"/>
    <s v="Luigi Agnolin"/>
    <s v=""/>
    <x v="9"/>
    <x v="9"/>
    <s v=""/>
    <s v="Andreas Brehme · 9|Rudi Völler · 90"/>
    <s v=""/>
    <s v="['9&amp;rsquor;|0:1|Andreas Brehme', '90&amp;rsquor;|0:2|Rudi Völler']"/>
    <s v=""/>
    <s v=""/>
    <s v=""/>
    <s v=""/>
    <s v=""/>
    <s v=""/>
    <s v=""/>
    <s v=""/>
    <s v=""/>
    <s v=""/>
    <s v=""/>
    <s v=""/>
    <s v=""/>
    <s v=""/>
    <s v="['89&amp;rsquor;|0:1|Luis Fernández']"/>
    <s v="['59&amp;rsquor;|0:1|Felix Magath']"/>
    <s v="['66&amp;rsquor;|0:1|Daniel Xuereb|for Bruno Bellone', '72&amp;rsquor;|0:1|Philippe Vercruysse|for Alain Giresse']"/>
    <s v="['57&amp;rsquor;|0:1|Rudi Völler|for Karl-Heinz Rummenigge']"/>
  </r>
  <r>
    <s v="Argentina"/>
    <s v="Belgium"/>
    <n v="2"/>
    <m/>
    <m/>
    <n v="0"/>
    <m/>
    <m/>
    <s v="Carlos Bilardo"/>
    <s v="Diego Maradona"/>
    <s v="Guy Thys"/>
    <s v="Jan Ceulemans"/>
    <n v="114500"/>
    <s v="Estadio Azteca, Mexico City"/>
    <s v="Antonio Marquez Ramirez (Referee) · Romulo Mendez Molina (AR1) · Carlos Alberto Silva Valente (AR2)"/>
    <x v="2"/>
    <x v="224"/>
    <s v="2–0"/>
    <s v="Antonio Marquez Ramirez"/>
    <s v=""/>
    <x v="9"/>
    <x v="9"/>
    <s v="Diego Maradona · 51|Diego Maradona · 63"/>
    <s v=""/>
    <s v="['51&amp;rsquor;|1:0|Diego Maradona', '63&amp;rsquor;|2:0|Diego Maradona']"/>
    <s v=""/>
    <s v=""/>
    <s v=""/>
    <s v=""/>
    <s v=""/>
    <s v=""/>
    <s v=""/>
    <s v=""/>
    <s v=""/>
    <s v=""/>
    <s v=""/>
    <s v=""/>
    <s v=""/>
    <s v=""/>
    <s v=""/>
    <s v="['33&amp;rsquor;|0:0|Jorge Valdano']"/>
    <s v="['27&amp;rsquor;|0:0|Daniel Veyt']"/>
    <s v="['85&amp;rsquor;|2:0|Ricardo Bochini|for Jorge Burruchaga']"/>
    <s v="['54&amp;rsquor;|1:0|Philippe Desmet|for Michel Renquin']"/>
  </r>
  <r>
    <s v="Argentina"/>
    <s v="England"/>
    <n v="2"/>
    <m/>
    <m/>
    <n v="1"/>
    <m/>
    <m/>
    <s v="Carlos Bilardo"/>
    <s v="Diego Maradona"/>
    <s v="Bobby Robson"/>
    <s v="Peter Shilton"/>
    <n v="114580"/>
    <s v="Estadio Azteca, Mexico City"/>
    <s v="Ali Bennaceur (Referee) · Berny Ulloa Morera (AR1) · Bogdan Dotchev (AR2)"/>
    <x v="3"/>
    <x v="225"/>
    <s v="2–1"/>
    <s v="Ali Bennaceur"/>
    <s v=""/>
    <x v="9"/>
    <x v="9"/>
    <s v="Diego Maradona · 51|Diego Maradona · 55"/>
    <s v="Gary Lineker · 81"/>
    <s v="['51&amp;rsquor;|1:0|Diego Maradona', '55&amp;rsquor;|2:0|Diego Maradona']"/>
    <s v="['81&amp;rsquor;|2:1|Gary Lineker']"/>
    <s v=""/>
    <s v=""/>
    <s v=""/>
    <s v=""/>
    <s v=""/>
    <s v=""/>
    <s v=""/>
    <s v=""/>
    <s v=""/>
    <s v=""/>
    <s v=""/>
    <s v=""/>
    <s v=""/>
    <s v=""/>
    <s v="['60&amp;rsquor;|2:0|Sergio Batista']"/>
    <s v="['9&amp;rsquor;|0:0|Terry Fenwick']"/>
    <s v="['75&amp;rsquor;|2:0|Carlos Daniel Tapia']"/>
    <s v="['69&amp;rsquor;|2:0|Chris Waddle|for Peter Reid', '74&amp;rsquor;|2:0|John Barnes|for Trevor Steven']"/>
  </r>
  <r>
    <s v="Spain"/>
    <s v="Belgium"/>
    <n v="1"/>
    <m/>
    <n v="4"/>
    <n v="1"/>
    <m/>
    <n v="5"/>
    <s v="Miguel Munoz"/>
    <s v="José Antonio Camacho"/>
    <s v="Guy Thys"/>
    <s v="Jan Ceulemans"/>
    <n v="45000"/>
    <s v="Cuauhtemoc, Puebla"/>
    <s v="Siegfried Kirschen (Referee) · Edgardo Codesal Mendez (AR1) · Horst Brummeier (AR2)"/>
    <x v="3"/>
    <x v="225"/>
    <s v="(4) 1–1 (5)"/>
    <s v="Siegfried Kirschen"/>
    <s v="Belgium won on penalty kicks following extra time"/>
    <x v="9"/>
    <x v="9"/>
    <s v="Juan Antonio Señor · 85"/>
    <s v="Jan Ceulemans · 35"/>
    <s v="['85&amp;rsquor;|1:1|Juan Antonio Señor']"/>
    <s v="['35&amp;rsquor;|0:1|Jan Ceulemans']"/>
    <s v=""/>
    <s v=""/>
    <s v=""/>
    <s v=""/>
    <s v=""/>
    <s v=""/>
    <s v="['1|1:0|Juan Antonio Señor', '5|2:2|Chendo', '7|3:3|Emilio Butragueño', '9|4:4|Víctor Muñoz']"/>
    <s v="['2|1:1|Nico Claesen', '4|1:2|Enzo Scifo', '6|2:3|Hugo Broos', '8|3:4|Patrick Vervoort', '10|4:5|Leo Van der Elst']"/>
    <s v="['3|1:1|Eloy Olaya']"/>
    <s v=""/>
    <s v=""/>
    <s v=""/>
    <s v=""/>
    <s v=""/>
    <s v="['39&amp;rsquor;|0:1|Tomás Reñones', '44&amp;rsquor;|0:1|Ramón Calderé']"/>
    <s v="['24&amp;rsquor;|0:0|Stéphane Demol', '115&amp;rsquor;|1:1|Georges Grün']"/>
    <s v="['46&amp;rsquor;|0:1|Juan Antonio Señor|for Tomás Reñones', '63&amp;rsquor;|0:1|Eloy Olaya|for Julio Salinas']"/>
    <s v="['82&amp;rsquor;|0:1|Hugo Broos', '105&amp;rsquor;|1:1|Leo Van der Elst|for Franky Vercauteren']"/>
  </r>
  <r>
    <s v="Brazil"/>
    <s v="France"/>
    <n v="1"/>
    <m/>
    <n v="3"/>
    <n v="1"/>
    <m/>
    <n v="4"/>
    <s v="Tele Santana"/>
    <s v="Edinho"/>
    <s v="Henri Michel"/>
    <s v="Michel Platini"/>
    <n v="65000"/>
    <s v="Jalisco, Guadalajara"/>
    <s v="Ioan Igna (Referee) · Lajos Nemeth (AR1) · Vojtech Christov (AR2)"/>
    <x v="3"/>
    <x v="226"/>
    <s v="(3) 1–1 (4)"/>
    <s v="Ioan Igna"/>
    <s v="France won on penalty kicks following extra time"/>
    <x v="9"/>
    <x v="9"/>
    <s v="Careca · 17"/>
    <s v="Michel Platini · 41"/>
    <s v="['17&amp;rsquor;|1:0|Careca']"/>
    <s v="['41&amp;rsquor;|1:1|Michel Platini']"/>
    <s v=""/>
    <s v=""/>
    <s v=""/>
    <s v=""/>
    <s v=""/>
    <s v=""/>
    <s v="['3|1:1|Alemão', '5|2:2|Zico', '7|3:3|Branco']"/>
    <s v="['2|0:1|Yannick Stopyra', '4|1:2|Manuel Amoros', '6|2:3|Bruno Bellone', '10|3:4|Luis Fernández']"/>
    <s v="['1|0:0|Sócrates', '9|3:3|Júlio César']"/>
    <s v="['8|3:3|Michel Platini']"/>
    <s v=""/>
    <s v=""/>
    <s v=""/>
    <s v=""/>
    <s v=""/>
    <s v=""/>
    <s v="['71&amp;rsquor;|1:1|Zico|for Müller', '91&amp;rsquor;|1:1|Silas Pereira|for Leovegildo Lins da Gama Júnior']"/>
    <s v="['84&amp;rsquor;|1:1|Jean-Marc Ferreri|for Alain Giresse', '99&amp;rsquor;|1:1|Bruno Bellone']"/>
  </r>
  <r>
    <s v="West Germany"/>
    <s v="Mexico"/>
    <n v="0"/>
    <m/>
    <n v="4"/>
    <n v="0"/>
    <m/>
    <n v="1"/>
    <s v="Franz Beckenbauer"/>
    <s v="Karl-Heinz Rummenigge"/>
    <s v="Bora Milutinovic"/>
    <s v="Tomás Boy"/>
    <n v="41700"/>
    <s v="Estadio Universitario, Monterrey"/>
    <s v="Jesus Diaz Palacio (Referee) · Christopher Bambridge (AR1) · Alan Snoddy (AR2)"/>
    <x v="3"/>
    <x v="226"/>
    <s v="(4) 0–0 (1)"/>
    <s v="Jesus Diaz Palacio"/>
    <s v="West Germany won on penalty kicks following extra time"/>
    <x v="9"/>
    <x v="9"/>
    <s v=""/>
    <s v=""/>
    <s v=""/>
    <s v=""/>
    <s v=""/>
    <s v=""/>
    <s v=""/>
    <s v=""/>
    <s v=""/>
    <s v=""/>
    <s v="['1|1:0|Klaus Allofs', '3|2:1|Andreas Brehme', '5|3:1|Lothar Matthäus', '7|4:1|Pierre Littbarski']"/>
    <s v="['2|1:1|Manuel Negrete Arias']"/>
    <s v=""/>
    <s v="['4|2:1|Fernando Quirarte', '6|3:1|Raúl Servín']"/>
    <s v="Thomas Berthold · 65"/>
    <s v="Javier Aguirre · 100"/>
    <s v=""/>
    <s v=""/>
    <s v="['27&amp;rsquor;|0:0|Klaus Allofs', '56&amp;rsquor;|0:0|Karlheinz Förster', '86&amp;rsquor;|0:0|Lothar Matthäus']"/>
    <s v="['20&amp;rsquor;|0:0|Javier Aguirre', '27&amp;rsquor;|0:0|Fernando Quirarte', '75&amp;rsquor;|0:0|Carlos de los Cobos', '83&amp;rsquor;|0:0|Raúl Servín', '94&amp;rsquor;|0:0|Hugo Sánchez']"/>
    <s v="['58&amp;rsquor;|0:0|Dieter Hoeneß|for Karl-Heinz Rummenigge', '115&amp;rsquor;|0:0|Pierre Littbarski|for Norbert Eder']"/>
    <s v="['32&amp;rsquor;|0:0|Carlos de los Cobos|for Tomás Boy', '70&amp;rsquor;|0:0|Francisco Javier Cruz|for Rafael Amador']"/>
  </r>
  <r>
    <s v="England"/>
    <s v="Paraguay"/>
    <n v="3"/>
    <m/>
    <m/>
    <n v="0"/>
    <m/>
    <m/>
    <s v="Bobby Robson"/>
    <s v="Peter Shilton"/>
    <s v="Cayetano Re"/>
    <s v="Rogelio Delgado"/>
    <n v="98728"/>
    <s v="Estadio Azteca, Mexico City"/>
    <s v="Jamal Al Sharif (Referee) · Alexis Ponnet (AR1) · Fallaj Khuzam Al Shanar (AR2)"/>
    <x v="4"/>
    <x v="227"/>
    <s v="3–0"/>
    <s v="Jamal Al Sharif"/>
    <s v=""/>
    <x v="9"/>
    <x v="9"/>
    <s v="Gary Lineker · 31|Peter Beardsley · 56|Gary Lineker · 72"/>
    <s v=""/>
    <s v="['31&amp;rsquor;|1:0|Gary Lineker', '56&amp;rsquor;|2:0|Peter Beardsley', '72&amp;rsquor;|3:0|Gary Lineker']"/>
    <s v=""/>
    <s v=""/>
    <s v=""/>
    <s v=""/>
    <s v=""/>
    <s v=""/>
    <s v=""/>
    <s v=""/>
    <s v=""/>
    <s v=""/>
    <s v=""/>
    <s v=""/>
    <s v=""/>
    <s v=""/>
    <s v=""/>
    <s v="['37&amp;rsquor;|1:0|Alvin Martin', '67&amp;rsquor;|2:0|Steve Hodge']"/>
    <s v="['60&amp;rsquor;|2:0|Jorge Amado Nunes']"/>
    <s v="['58&amp;rsquor;|2:0|Gary Stevens|for Peter Reid', '80&amp;rsquor;|3:0|Mark Hateley|for Peter Beardsley']"/>
    <s v="['64&amp;rsquor;|2:0|Jorge Guasch|for Juan Torales']"/>
  </r>
  <r>
    <s v="Denmark"/>
    <s v="Spain"/>
    <n v="1"/>
    <m/>
    <m/>
    <n v="5"/>
    <m/>
    <m/>
    <s v="Sepp Piontek"/>
    <s v="Morten Olsen"/>
    <s v="Miguel Munoz"/>
    <s v="José Antonio Camacho"/>
    <n v="38500"/>
    <s v="Estadio Corregidora, Queretaro"/>
    <s v="Jan Keizer (Referee) · Ali Bennaceur (AR1) · Bogdan Dotchev (AR2)"/>
    <x v="4"/>
    <x v="227"/>
    <s v="1–5"/>
    <s v="Jan Keizer"/>
    <s v=""/>
    <x v="9"/>
    <x v="9"/>
    <s v=""/>
    <s v="Emilio Butragueño · 43|Emilio Butragueño · 57|Emilio Butragueño · 80"/>
    <s v=""/>
    <s v="['43&amp;rsquor;|1:1|Emilio Butragueño', '57&amp;rsquor;|1:2|Emilio Butragueño', '80&amp;rsquor;|1:4|Emilio Butragueño']"/>
    <s v=""/>
    <s v=""/>
    <s v="Jesper Olsen (P) · 33"/>
    <s v="Andoni Goikoetxea (P) · 68|Emilio Butragueño (P) · 89"/>
    <s v=""/>
    <s v=""/>
    <s v=""/>
    <s v=""/>
    <s v=""/>
    <s v=""/>
    <s v=""/>
    <s v=""/>
    <s v=""/>
    <s v=""/>
    <s v="['26&amp;rsquor;|0:0|Henrik Andersen']"/>
    <s v="['27&amp;rsquor;|0:0|Andoni Goikoetxea', '32&amp;rsquor;|0:0|José Antonio Camacho', '60&amp;rsquor;|1:2|Míchel']"/>
    <s v="['60&amp;rsquor;|1:2|John Eriksen', '71&amp;rsquor;|1:3|Jan Mølby|for Jesper Olsen']"/>
    <s v="['46&amp;rsquor;|1:1|Eloy Olaya|for Julio Salinas', '83&amp;rsquor;|1:4|Francisco|for Míchel']"/>
  </r>
  <r>
    <s v="Italy"/>
    <s v="France"/>
    <n v="0"/>
    <m/>
    <m/>
    <n v="2"/>
    <m/>
    <m/>
    <s v="Enzo Bearzot"/>
    <s v="Gaetano Scirea"/>
    <s v="Henri Michel"/>
    <s v="Michel Platini"/>
    <n v="70000"/>
    <s v="Estadio Olï¿½mpico Universitario, Mexico City"/>
    <s v="Carlos Esposito (Referee) · Jose Luis Martinez Bazan (AR1) · Jesus Diaz Palacio (AR2)"/>
    <x v="4"/>
    <x v="228"/>
    <s v="0–2"/>
    <s v="Carlos Esposito"/>
    <s v=""/>
    <x v="9"/>
    <x v="9"/>
    <s v=""/>
    <s v="Michel Platini · 15|Yannick Stopyra · 57"/>
    <s v=""/>
    <s v="['15&amp;rsquor;|0:1|Michel Platini', '57&amp;rsquor;|0:2|Yannick Stopyra']"/>
    <s v=""/>
    <s v=""/>
    <s v=""/>
    <s v=""/>
    <s v=""/>
    <s v=""/>
    <s v=""/>
    <s v=""/>
    <s v=""/>
    <s v=""/>
    <s v=""/>
    <s v=""/>
    <s v=""/>
    <s v=""/>
    <s v="['16&amp;rsquor;|0:1|Fernando De Napoli', '67&amp;rsquor;|0:2|Antonio Di Gennaro']"/>
    <s v="['40&amp;rsquor;|0:1|William Ayache']"/>
    <s v="['46&amp;rsquor;|0:1|Antonio Di Gennaro|for Giuseppe Baresi', '58&amp;rsquor;|0:2|Gianluca Vialli|for Giuseppe Galderisi']"/>
    <s v="['73&amp;rsquor;|0:2|Thierry Tusseau|for Luis Fernández', '85&amp;rsquor;|0:2|Jean-Marc Ferreri|for Michel Platini']"/>
  </r>
  <r>
    <s v="Morocco"/>
    <s v="West Germany"/>
    <n v="0"/>
    <m/>
    <m/>
    <n v="1"/>
    <m/>
    <m/>
    <s v="Jose Faria"/>
    <s v="Ezzaki Badou"/>
    <s v="Franz Beckenbauer"/>
    <s v="Karl-Heinz Rummenigge"/>
    <n v="19800"/>
    <s v="Estadio Universitario, Monterrey"/>
    <s v="Zoran Petrovic (Referee) · Lajos Nemeth (AR1) · Horst Brummeier (AR2)"/>
    <x v="4"/>
    <x v="228"/>
    <s v="0–1"/>
    <s v="Zoran Petrovic"/>
    <s v=""/>
    <x v="9"/>
    <x v="9"/>
    <s v=""/>
    <s v="Lothar Matthäus · 88"/>
    <s v=""/>
    <s v="['88&amp;rsquor;|0:1|Lothar Matthäus']"/>
    <s v=""/>
    <s v=""/>
    <s v=""/>
    <s v=""/>
    <s v=""/>
    <s v=""/>
    <s v=""/>
    <s v=""/>
    <s v=""/>
    <s v=""/>
    <s v=""/>
    <s v=""/>
    <s v=""/>
    <s v=""/>
    <s v="['29&amp;rsquor;|0:0|Abdelmajid Lamriss', '65&amp;rsquor;|0:0|Labid Khalifa']"/>
    <s v=""/>
    <s v=""/>
    <s v="['73&amp;rsquor;|0:0|Pierre Littbarski|for Rudi Völler']"/>
  </r>
  <r>
    <s v="Brazil"/>
    <s v="Poland"/>
    <n v="4"/>
    <m/>
    <m/>
    <n v="0"/>
    <m/>
    <m/>
    <s v="Tele Santana"/>
    <s v="Edinho"/>
    <s v="Antoni Piechniczek"/>
    <s v="Zbigniew Boniek"/>
    <n v="45000"/>
    <s v="Jalisco, Guadalajara"/>
    <s v="Volker Roth (Referee) · Antonio Marquez Ramirez (AR1) · Alan Snoddy (AR2)"/>
    <x v="4"/>
    <x v="229"/>
    <s v="4–0"/>
    <s v="Volker Roth"/>
    <s v=""/>
    <x v="9"/>
    <x v="9"/>
    <s v="Josimar · 55|Edinho · 79"/>
    <s v=""/>
    <s v="['55&amp;rsquor;|2:0|Josimar', '79&amp;rsquor;|3:0|Edinho']"/>
    <s v=""/>
    <s v=""/>
    <s v=""/>
    <s v="Sócrates (P) · 30|Careca (P) · 83"/>
    <s v=""/>
    <s v=""/>
    <s v=""/>
    <s v=""/>
    <s v=""/>
    <s v=""/>
    <s v=""/>
    <s v=""/>
    <s v=""/>
    <s v=""/>
    <s v=""/>
    <s v="['36&amp;rsquor;|1:0|Careca', '83&amp;rsquor;|4:0|Edinho']"/>
    <s v="['13&amp;rsquor;|0:0|Dariusz Dziekanowski', '30&amp;rsquor;|1:0|Zbigniew Boniek', '32&amp;rsquor;|1:0|Włodzimierz Smolarek']"/>
    <s v="['69&amp;rsquor;|2:0|Zico', '73&amp;rsquor;|2:0|Silas Pereira|for Müller']"/>
    <s v="['59&amp;rsquor;|2:0|Jan Furtok|for Kazimierz Przybyś', '83&amp;rsquor;|4:0|Władysław Żmuda|for Jan Urban']"/>
  </r>
  <r>
    <s v="Argentina"/>
    <s v="Uruguay"/>
    <n v="1"/>
    <m/>
    <m/>
    <n v="0"/>
    <m/>
    <m/>
    <s v="Carlos Bilardo"/>
    <s v="Diego Maradona"/>
    <s v="Omar Borras"/>
    <s v="Jorge Barrios"/>
    <n v="26000"/>
    <s v="Cuauhtemoc, Puebla"/>
    <s v="Luigi Agnolin (Referee) · George Courtney (AR1) · Carlos Alberto Silva Valente (AR2)"/>
    <x v="4"/>
    <x v="229"/>
    <s v="1–0"/>
    <s v="Luigi Agnolin"/>
    <s v=""/>
    <x v="9"/>
    <x v="9"/>
    <s v="Pedro Pasculli · 42"/>
    <s v=""/>
    <s v="['42&amp;rsquor;|1:0|Pedro Pasculli']"/>
    <s v=""/>
    <s v=""/>
    <s v=""/>
    <s v=""/>
    <s v=""/>
    <s v=""/>
    <s v=""/>
    <s v=""/>
    <s v=""/>
    <s v=""/>
    <s v=""/>
    <s v=""/>
    <s v=""/>
    <s v=""/>
    <s v=""/>
    <s v="['30&amp;rsquor;|0:0|Oscar Garré', '49&amp;rsquor;|1:0|José Luis Brown', '83&amp;rsquor;|1:0|Nery Pumpido']"/>
    <s v="['35&amp;rsquor;|0:0|Enzo Francescoli', '58&amp;rsquor;|1:0|Eduardo Acevedo', '68&amp;rsquor;|1:0|Sergio Santín', '85&amp;rsquor;|1:0|Jorge Orosmán da Silva']"/>
    <s v="['85&amp;rsquor;|1:0|Julio Olarticoechea|for Sergio Batista']"/>
    <s v="['46&amp;rsquor;|1:0|Jorge Orosmán da Silva|for Wilmar Cabrera', '61&amp;rsquor;|1:0|Rubén Paz|for Eduardo Acevedo']"/>
  </r>
  <r>
    <s v="Mexico"/>
    <s v="Bulgaria"/>
    <n v="2"/>
    <m/>
    <m/>
    <n v="0"/>
    <m/>
    <m/>
    <s v="Bora Milutinovic"/>
    <s v="Tomás Boy"/>
    <s v="Ivan Vutsov"/>
    <s v="Georgi Dimitrov"/>
    <n v="114580"/>
    <s v="Estadio Azteca, Mexico City"/>
    <s v="Romualdo Arppi Filho (Referee) · Romulo Mendez Molina (AR1) · Ioan Igna (AR2)"/>
    <x v="4"/>
    <x v="230"/>
    <s v="2–0"/>
    <s v="Romualdo Arppi Filho"/>
    <s v=""/>
    <x v="9"/>
    <x v="9"/>
    <s v="Manuel Negrete Arias · 34|Raúl Servín · 61"/>
    <s v=""/>
    <s v="['34&amp;rsquor;|1:0|Manuel Negrete Arias', '61&amp;rsquor;|2:0|Raúl Servín']"/>
    <s v=""/>
    <s v=""/>
    <s v=""/>
    <s v=""/>
    <s v=""/>
    <s v=""/>
    <s v=""/>
    <s v=""/>
    <s v=""/>
    <s v=""/>
    <s v=""/>
    <s v=""/>
    <s v=""/>
    <s v=""/>
    <s v=""/>
    <s v=""/>
    <s v="['58&amp;rsquor;|1:0|Nikolay Arabov']"/>
    <s v="['79&amp;rsquor;|2:0|Carlos de los Cobos|for Tomás Boy']"/>
    <s v="['59&amp;rsquor;|1:0|Nasko Sirakov|for Plamen Getov', '70&amp;rsquor;|2:0|Bozhidar Iskrenov|for Atanas Pashev']"/>
  </r>
  <r>
    <s v="Soviet Union"/>
    <s v="Belgium"/>
    <n v="3"/>
    <m/>
    <m/>
    <n v="4"/>
    <m/>
    <m/>
    <s v="Valeriy Lobanovskyi"/>
    <s v="Anatoliy Demyanenko"/>
    <s v="Guy Thys"/>
    <s v="Jan Ceulemans"/>
    <n v="32277"/>
    <s v="Nou Camp - Estadio Leï¿½n, Leon"/>
    <s v="Erik Fredriksson (Referee) · Victoriano Sanchez Arminio (AR1) · David Socha (AR2)"/>
    <x v="4"/>
    <x v="230"/>
    <s v="3–4"/>
    <s v="Erik Fredriksson"/>
    <s v="Required Extra Time"/>
    <x v="9"/>
    <x v="9"/>
    <s v="Igor Belanov · 27|Igor Belanov · 70"/>
    <s v="Enzo Scifo · 56|Jan Ceulemans · 77|Stéphane Demol · 102|Nico Claesen · 110"/>
    <s v="['27&amp;rsquor;|1:0|Igor Belanov', '70&amp;rsquor;|2:1|Igor Belanov']"/>
    <s v="['56&amp;rsquor;|1:1|Enzo Scifo', '77&amp;rsquor;|2:2|Jan Ceulemans', '102&amp;rsquor;|2:3|Stéphane Demol', '110&amp;rsquor;|2:4|Nico Claesen']"/>
    <s v=""/>
    <s v=""/>
    <s v="Igor Belanov (P) · 111"/>
    <s v=""/>
    <s v=""/>
    <s v=""/>
    <s v=""/>
    <s v=""/>
    <s v=""/>
    <s v=""/>
    <s v=""/>
    <s v=""/>
    <s v=""/>
    <s v=""/>
    <s v=""/>
    <s v="['65&amp;rsquor;|1:1|Michel Renquin']"/>
    <s v="['72&amp;rsquor;|2:1|Sergey Rodionov|for Oleksandr Zavarov', '79&amp;rsquor;|2:2|Vadym Yevtushenko|for Pavlo Yakovenko']"/>
    <s v="['99&amp;rsquor;|2:2|Lei Clijsters|for Georges Grün', '112&amp;rsquor;|3:4|Leo Van der Elst|for Eric Gerets']"/>
  </r>
  <r>
    <s v="Scotland"/>
    <s v="Uruguay"/>
    <n v="0"/>
    <m/>
    <m/>
    <n v="0"/>
    <m/>
    <m/>
    <s v="Alex Ferguson"/>
    <s v="Willie Miller"/>
    <s v="Omar Borras"/>
    <s v="Jorge Barrios"/>
    <n v="20000"/>
    <s v="Neza, Nezahualcoyotl"/>
    <s v="Joel Quiniou (Referee) · Jesus Diaz Palacio (AR1) · Ali Bennaceur (AR2)"/>
    <x v="5"/>
    <x v="231"/>
    <s v="0–0"/>
    <s v="Joel Quiniou"/>
    <s v=""/>
    <x v="9"/>
    <x v="9"/>
    <s v=""/>
    <s v=""/>
    <s v=""/>
    <s v=""/>
    <s v=""/>
    <s v=""/>
    <s v=""/>
    <s v=""/>
    <s v=""/>
    <s v=""/>
    <s v=""/>
    <s v=""/>
    <s v=""/>
    <s v=""/>
    <s v=""/>
    <s v="José Batista · 1"/>
    <s v=""/>
    <s v=""/>
    <s v="['48&amp;rsquor;|0:0|David Narey', '62&amp;rsquor;|0:0|Steve Nicol']"/>
    <s v="['32&amp;rsquor;|0:0|Wilmar Cabrera', '72&amp;rsquor;|0:0|Víctor Diogo', '87&amp;rsquor;|0:0|Fernando Álvez']"/>
    <s v="['70&amp;rsquor;|0:0|Charlie Nicholas', '70&amp;rsquor;|0:0|Davie Cooper|for Steve Nicol']"/>
    <s v="['70&amp;rsquor;|0:0|Mario Saralegui|for Venancio Ramos', '84&amp;rsquor;|0:0|Antonio Alzamendi|for Enzo Francescoli']"/>
  </r>
  <r>
    <s v="Denmark"/>
    <s v="West Germany"/>
    <n v="2"/>
    <m/>
    <m/>
    <n v="0"/>
    <m/>
    <m/>
    <s v="Sepp Piontek"/>
    <s v="Morten Olsen"/>
    <s v="Franz Beckenbauer"/>
    <s v="Harald Schumacher"/>
    <n v="36000"/>
    <s v="Estadio Corregidora, Queretaro"/>
    <s v="Alexis Ponnet (Referee) · Christopher Bambridge (AR1) · Erik Fredriksson (AR2)"/>
    <x v="5"/>
    <x v="231"/>
    <s v="2–0"/>
    <s v="Alexis Ponnet"/>
    <s v=""/>
    <x v="9"/>
    <x v="9"/>
    <s v="John Eriksen · 62"/>
    <s v=""/>
    <s v="['62&amp;rsquor;|2:0|John Eriksen']"/>
    <s v=""/>
    <s v=""/>
    <s v=""/>
    <s v="Jesper Olsen (P) · 43"/>
    <s v=""/>
    <s v=""/>
    <s v=""/>
    <s v=""/>
    <s v=""/>
    <s v=""/>
    <s v=""/>
    <s v="Frank Arnesen · 88"/>
    <s v=""/>
    <s v=""/>
    <s v=""/>
    <s v="['36&amp;rsquor;|0:0|Frank Arnesen']"/>
    <s v="['48&amp;rsquor;|1:0|Norbert Eder', '51&amp;rsquor;|1:0|Ditmar Jakobs']"/>
    <s v="['46&amp;rsquor;|1:0|John Eriksen|for Preben Elkjær', '71&amp;rsquor;|2:0|Allan Simonsen|for Jesper Olsen']"/>
    <s v="['46&amp;rsquor;|1:0|Pierre Littbarski|for Wolfgang Rolff', '71&amp;rsquor;|2:0|Karl-Heinz Rummenigge|for Karlheinz Förster']"/>
  </r>
  <r>
    <s v="Algeria"/>
    <s v="Spain"/>
    <n v="0"/>
    <m/>
    <m/>
    <n v="3"/>
    <m/>
    <m/>
    <s v="Rabah Saadane"/>
    <s v="Mahmoud Guendouz"/>
    <s v="Miguel Munoz"/>
    <s v="José Antonio Camacho"/>
    <n v="23980"/>
    <s v="Tecnologico, Monterrey"/>
    <s v="Shizuo Takada (Referee) · Edwin Picon-Ackong (AR1) · Carlos Esposito (AR2)"/>
    <x v="5"/>
    <x v="232"/>
    <s v="0–3"/>
    <s v="Shizuo Takada"/>
    <s v=""/>
    <x v="9"/>
    <x v="9"/>
    <s v=""/>
    <s v="Ramón Calderé · 15|Ramón Calderé · 68|Eloy Olaya · 70"/>
    <s v=""/>
    <s v="['15&amp;rsquor;|0:1|Ramón Calderé', '68&amp;rsquor;|0:2|Ramón Calderé', '70&amp;rsquor;|0:3|Eloy Olaya']"/>
    <s v=""/>
    <s v=""/>
    <s v=""/>
    <s v=""/>
    <s v=""/>
    <s v=""/>
    <s v=""/>
    <s v=""/>
    <s v=""/>
    <s v=""/>
    <s v=""/>
    <s v=""/>
    <s v=""/>
    <s v=""/>
    <s v="['33&amp;rsquor;|0:1|Rabah Madjer']"/>
    <s v="['89&amp;rsquor;|0:3|Andoni Goikoetxea']"/>
    <s v="['20&amp;rsquor;|0:1|Larbi El Hadi|for Nacerdine Drid', '58&amp;rsquor;|0:1|Djamel Menad|for Djamel Zidane']"/>
    <s v="['46&amp;rsquor;|0:1|Eloy Olaya|for Emilio Butragueño', '63&amp;rsquor;|0:1|Juan Antonio Señor']"/>
  </r>
  <r>
    <s v="Northern Ireland"/>
    <s v="Brazil"/>
    <n v="0"/>
    <m/>
    <m/>
    <n v="3"/>
    <m/>
    <m/>
    <s v="Billy Bingham"/>
    <s v="Sammy McIlroy"/>
    <s v="Tele Santana"/>
    <s v="Edinho"/>
    <n v="51000"/>
    <s v="Jalisco, Guadalajara"/>
    <s v="Siegfried Kirschen (Referee) · Idrissa Traore (AR1) · George Courtney (AR2)"/>
    <x v="5"/>
    <x v="232"/>
    <s v="0–3"/>
    <s v="Siegfried Kirschen"/>
    <s v=""/>
    <x v="9"/>
    <x v="9"/>
    <s v=""/>
    <s v="Careca · 15|Josimar · 42|Careca · 87"/>
    <s v=""/>
    <s v="['15&amp;rsquor;|0:1|Careca', '42&amp;rsquor;|0:2|Josimar', '87&amp;rsquor;|0:3|Careca']"/>
    <s v=""/>
    <s v=""/>
    <s v=""/>
    <s v=""/>
    <s v=""/>
    <s v=""/>
    <s v=""/>
    <s v=""/>
    <s v=""/>
    <s v=""/>
    <s v=""/>
    <s v=""/>
    <s v=""/>
    <s v=""/>
    <s v="['12&amp;rsquor;|0:0|Mal Donaghy']"/>
    <s v=""/>
    <s v="['67&amp;rsquor;|0:2|Billy Hamilton|for Norman Whiteside', '71&amp;rsquor;|0:2|Gerry Armstrong|for David Campbell']"/>
    <s v="['27&amp;rsquor;|0:1|Walter Casagrande|for Müller', '68&amp;rsquor;|0:2|Zico|for Sócrates']"/>
  </r>
  <r>
    <s v="Paraguay"/>
    <s v="Belgium"/>
    <n v="2"/>
    <m/>
    <m/>
    <n v="2"/>
    <m/>
    <m/>
    <s v="Cayetano Re"/>
    <s v="Rogelio Delgado"/>
    <s v="Guy Thys"/>
    <s v="Jan Ceulemans"/>
    <n v="16000"/>
    <s v="Bombonera - Estadio Nemesio Diez, Toluca"/>
    <s v="Bogdan Dotchev (Referee) · Ali Bennaceur (AR1) · Hernan Silva Arce (AR2)"/>
    <x v="5"/>
    <x v="233"/>
    <s v="2–2"/>
    <s v="Bogdan Dotchev"/>
    <s v=""/>
    <x v="9"/>
    <x v="9"/>
    <s v="Roberto Cabañas · 50|Roberto Cabañas · 76"/>
    <s v="Franky Vercauteren · 30|Daniel Veyt · 59"/>
    <s v="['50&amp;rsquor;|1:1|Roberto Cabañas', '76&amp;rsquor;|2:2|Roberto Cabañas']"/>
    <s v="['30&amp;rsquor;|0:1|Franky Vercauteren', '59&amp;rsquor;|1:2|Daniel Veyt']"/>
    <s v=""/>
    <s v=""/>
    <s v=""/>
    <s v=""/>
    <s v=""/>
    <s v=""/>
    <s v=""/>
    <s v=""/>
    <s v=""/>
    <s v=""/>
    <s v=""/>
    <s v=""/>
    <s v=""/>
    <s v=""/>
    <s v="['55&amp;rsquor;|1:1|Julio César Romero']"/>
    <s v="['55&amp;rsquor;|1:1|Jan Ceulemans']"/>
    <s v="['68&amp;rsquor;|1:2|Ramón Hicks|for Alfredo Mendoza']"/>
    <s v="['89&amp;rsquor;|2:2|Franky Van der Elst']"/>
  </r>
  <r>
    <s v="Iraq"/>
    <s v="Mexico"/>
    <n v="0"/>
    <m/>
    <m/>
    <n v="1"/>
    <m/>
    <m/>
    <s v="Evaristo"/>
    <s v="Khalil Allawi"/>
    <s v="Bora Milutinovic"/>
    <s v="Tomás Boy"/>
    <n v="103763"/>
    <s v="Estadio Azteca, Mexico City"/>
    <s v="Zoran Petrovic (Referee) · Lajos Nemeth (AR1) · Luigi Agnolin (AR2)"/>
    <x v="5"/>
    <x v="233"/>
    <s v="0–1"/>
    <s v="Zoran Petrovic"/>
    <s v=""/>
    <x v="9"/>
    <x v="9"/>
    <s v=""/>
    <s v="Fernando Quirarte · 54"/>
    <s v=""/>
    <s v="['54&amp;rsquor;|0:1|Fernando Quirarte']"/>
    <s v=""/>
    <s v=""/>
    <s v=""/>
    <s v=""/>
    <s v=""/>
    <s v=""/>
    <s v=""/>
    <s v=""/>
    <s v=""/>
    <s v=""/>
    <s v=""/>
    <s v=""/>
    <s v=""/>
    <s v=""/>
    <s v="['30&amp;rsquor;|0:0|Karim Saddam', '73&amp;rsquor;|0:1|Khalil Allawi']"/>
    <s v=""/>
    <s v="['60&amp;rsquor;|0:1|Rahim Hameed|for Natik Hashim', '70&amp;rsquor;|0:1|Shaker Mahmoud|for Anad Abid']"/>
    <s v="['62&amp;rsquor;|0:1|Alejandro Domínguez|for Rafael Amador', '79&amp;rsquor;|0:1|Francisco Javier Cruz|for Carlos de los Cobos']"/>
  </r>
  <r>
    <s v="England"/>
    <s v="Poland"/>
    <n v="3"/>
    <m/>
    <m/>
    <n v="0"/>
    <m/>
    <m/>
    <s v="Bobby Robson"/>
    <s v="Peter Shilton"/>
    <s v="Antoni Piechniczek"/>
    <s v="Zbigniew Boniek"/>
    <n v="22700"/>
    <s v="Tecnologico, Monterrey"/>
    <s v="Andre Daina (Referee) · Horst Brummeier (AR1) · Vojtech Christov (AR2)"/>
    <x v="5"/>
    <x v="233"/>
    <s v="3–0"/>
    <s v="Andre Daina"/>
    <s v=""/>
    <x v="9"/>
    <x v="9"/>
    <s v="Gary Lineker · 9|Gary Lineker · 14|Gary Lineker · 34"/>
    <s v=""/>
    <s v="['9&amp;rsquor;|1:0|Gary Lineker', '14&amp;rsquor;|2:0|Gary Lineker', '34&amp;rsquor;|3:0|Gary Lineker']"/>
    <s v=""/>
    <s v=""/>
    <s v=""/>
    <s v=""/>
    <s v=""/>
    <s v=""/>
    <s v=""/>
    <s v=""/>
    <s v=""/>
    <s v=""/>
    <s v=""/>
    <s v=""/>
    <s v=""/>
    <s v=""/>
    <s v=""/>
    <s v="['52&amp;rsquor;|3:0|Terry Fenwick']"/>
    <s v=""/>
    <s v="['75&amp;rsquor;|3:0|Chris Waddle', '86&amp;rsquor;|3:0|Kerry Dixon|for Gary Lineker']"/>
    <s v="['22&amp;rsquor;|2:0|Jan Karaś|for Ryszard Komornicki', '46&amp;rsquor;|3:0|Andrzej Buncol|for Waldemar Matysik']"/>
  </r>
  <r>
    <s v="Portugal"/>
    <s v="Morocco"/>
    <n v="1"/>
    <m/>
    <m/>
    <n v="3"/>
    <m/>
    <m/>
    <s v="Jose Torres"/>
    <s v="Fernando Gomes"/>
    <s v="Jose Faria"/>
    <s v="Ezzaki Badou"/>
    <n v="28000"/>
    <s v="Tres de Marzo, Guadalajara"/>
    <s v="Alan Snoddy (Referee) · Valeri Butenko (AR1) · Volker Roth (AR2)"/>
    <x v="5"/>
    <x v="233"/>
    <s v="1–3"/>
    <s v="Alan Snoddy"/>
    <s v=""/>
    <x v="9"/>
    <x v="9"/>
    <s v="Diamantino Miranda · 79"/>
    <s v="Abderrazak Khairi · 19|Abderrazak Khairi · 27|Abdelkrim Merry · 62"/>
    <s v="['79&amp;rsquor;|1:3|Diamantino Miranda']"/>
    <s v="['19&amp;rsquor;|0:1|Abderrazak Khairi', '27&amp;rsquor;|0:2|Abderrazak Khairi', '62&amp;rsquor;|0:3|Abdelkrim Merry']"/>
    <s v=""/>
    <s v=""/>
    <s v=""/>
    <s v=""/>
    <s v=""/>
    <s v=""/>
    <s v=""/>
    <s v=""/>
    <s v=""/>
    <s v=""/>
    <s v=""/>
    <s v=""/>
    <s v=""/>
    <s v=""/>
    <s v="['64&amp;rsquor;|0:3|Fernando Gomes']"/>
    <s v=""/>
    <s v="['55&amp;rsquor;|0:2|Rui Águas|for Álvaro Magalhães', '69&amp;rsquor;|0:3|Diamantino Miranda|for António Sousa']"/>
    <s v="['71&amp;rsquor;|0:3|Abdelaziz Souleimani']"/>
  </r>
  <r>
    <s v="Argentina"/>
    <s v="Bulgaria"/>
    <n v="2"/>
    <m/>
    <m/>
    <n v="0"/>
    <m/>
    <m/>
    <s v="Carlos Bilardo"/>
    <s v="Diego Maradona"/>
    <s v="Ivan Vutsov"/>
    <s v="Georgi Dimitrov"/>
    <n v="65000"/>
    <s v="Estadio Olï¿½mpico Universitario, Mexico City"/>
    <s v="Berny Ulloa Morera (Referee) · Romualdo Arppi Filho (AR1) · Jose Luis Martinez Bazan (AR2)"/>
    <x v="5"/>
    <x v="234"/>
    <s v="2–0"/>
    <s v="Berny Ulloa Morera"/>
    <s v=""/>
    <x v="9"/>
    <x v="9"/>
    <s v="Jorge Valdano · 3|Jorge Burruchaga · 76"/>
    <s v=""/>
    <s v="['3&amp;rsquor;|1:0|Jorge Valdano', '76&amp;rsquor;|2:0|Jorge Burruchaga']"/>
    <s v=""/>
    <s v=""/>
    <s v=""/>
    <s v=""/>
    <s v=""/>
    <s v=""/>
    <s v=""/>
    <s v=""/>
    <s v=""/>
    <s v=""/>
    <s v=""/>
    <s v=""/>
    <s v=""/>
    <s v=""/>
    <s v=""/>
    <s v="['25&amp;rsquor;|1:0|José Luis Cuciuffo']"/>
    <s v=""/>
    <s v="['46&amp;rsquor;|1:0|Héctor Enrique|for Claudio Borghi', '46&amp;rsquor;|1:0|Julio Olarticoechea|for Sergio Batista']"/>
    <s v="['52&amp;rsquor;|1:0|Boycho Velichkov|for Stoycho Mladenov', '71&amp;rsquor;|1:0|Radoslav Zdravkov']"/>
  </r>
  <r>
    <s v="Korea Republic"/>
    <s v="Italy"/>
    <n v="2"/>
    <m/>
    <m/>
    <n v="3"/>
    <m/>
    <m/>
    <s v="Jung Nam Kim"/>
    <s v="Park Chang-sun"/>
    <s v="Enzo Bearzot"/>
    <s v="Gaetano Scirea"/>
    <n v="20000"/>
    <s v="Cuauhtemoc, Puebla"/>
    <s v="David Socha (Referee) · Joaquin Urrea (AR1) · Jamal Al Sharif (AR2)"/>
    <x v="5"/>
    <x v="234"/>
    <s v="2–3"/>
    <s v="David Socha"/>
    <s v=""/>
    <x v="9"/>
    <x v="9"/>
    <s v="Choi Soon-ho · 62|Huh Jung-moo · 83"/>
    <s v="Alessandro Altobelli · 17|Alessandro Altobelli · 73"/>
    <s v="['62&amp;rsquor;|1:1|Choi Soon-ho', '83&amp;rsquor;|2:3|Huh Jung-moo']"/>
    <s v="['17&amp;rsquor;|0:1|Alessandro Altobelli', '73&amp;rsquor;|1:2|Alessandro Altobelli']"/>
    <s v=""/>
    <s v="Cho Kwang-rae (OG) · 82"/>
    <s v=""/>
    <s v=""/>
    <s v=""/>
    <s v=""/>
    <s v=""/>
    <s v=""/>
    <s v=""/>
    <s v=""/>
    <s v=""/>
    <s v=""/>
    <s v=""/>
    <s v=""/>
    <s v="['17&amp;rsquor;|0:0|Kim Joo-sung', '35&amp;rsquor;|0:1|Park Kyung-hoon', '71&amp;rsquor;|1:1|Cho Young-jeung']"/>
    <s v="['31&amp;rsquor;|0:1|Salvatore Bagni', '65&amp;rsquor;|1:1|Gaetano Scirea', '70&amp;rsquor;|1:1|Pietro Vierchowod']"/>
    <s v="['46&amp;rsquor;|0:1|Chung Jong-soo|for Kim Joo-sung', '70&amp;rsquor;|1:1|Kim Jong-boo|for Byun Byung-joo']"/>
    <s v="['67&amp;rsquor;|1:1|Giuseppe Baresi', '88&amp;rsquor;|2:3|Gianluca Vialli|for Giuseppe Galderisi']"/>
  </r>
  <r>
    <s v="Soviet Union"/>
    <s v="Canada"/>
    <n v="2"/>
    <m/>
    <m/>
    <n v="0"/>
    <m/>
    <m/>
    <s v="Valeriy Lobanovskyi"/>
    <s v="Oleh Blokhin"/>
    <s v="Tony Waiters"/>
    <s v="Bruce Wilson"/>
    <n v="14200"/>
    <s v="Estadio Irapuato, Irapuato"/>
    <s v="Idrissa Traore (Referee) · Fallaj Khuzam Al Shanar (AR1) · Gabriel Gonzalez Roa (AR2)"/>
    <x v="5"/>
    <x v="235"/>
    <s v="2–0"/>
    <s v="Idrissa Traore"/>
    <s v=""/>
    <x v="9"/>
    <x v="9"/>
    <s v="Oleh Blokhin · 58|Oleksandr Zavarov · 74"/>
    <s v=""/>
    <s v="['58&amp;rsquor;|1:0|Oleh Blokhin', '74&amp;rsquor;|2:0|Oleksandr Zavarov']"/>
    <s v=""/>
    <s v=""/>
    <s v=""/>
    <s v=""/>
    <s v=""/>
    <s v=""/>
    <s v=""/>
    <s v=""/>
    <s v=""/>
    <s v=""/>
    <s v=""/>
    <s v=""/>
    <s v=""/>
    <s v=""/>
    <s v=""/>
    <s v=""/>
    <s v=""/>
    <s v="['57&amp;rsquor;|0:0|Igor Belanov|for Oleh Protasov', '62&amp;rsquor;|1:0|Oleksandr Zavarov|for Oleh Blokhin']"/>
    <s v="['64&amp;rsquor;|1:0|Branko Šegota|for Paul James', '69&amp;rsquor;|1:0|George Pakos|for Gerry Gray']"/>
  </r>
  <r>
    <s v="Hungary"/>
    <s v="France"/>
    <n v="0"/>
    <m/>
    <m/>
    <n v="3"/>
    <m/>
    <m/>
    <s v="Gyorgy Mezey"/>
    <s v="Imre Garaba"/>
    <s v="Henri Michel"/>
    <s v="Michel Platini"/>
    <n v="31420"/>
    <s v="Nou Camp - Estadio Leï¿½n, Leon"/>
    <s v="Carlos Alberto Silva Valente (Referee) · Alexis Ponnet (AR1) · Andre Daina (AR2)"/>
    <x v="5"/>
    <x v="235"/>
    <s v="0–3"/>
    <s v="Carlos Alberto Silva Valente"/>
    <s v=""/>
    <x v="9"/>
    <x v="9"/>
    <s v=""/>
    <s v="Yannick Stopyra · 29|Jean Tigana · 62|Dominique Rocheteau · 84"/>
    <s v=""/>
    <s v="['29&amp;rsquor;|0:1|Yannick Stopyra', '62&amp;rsquor;|0:2|Jean Tigana', '84&amp;rsquor;|0:3|Dominique Rocheteau']"/>
    <s v=""/>
    <s v=""/>
    <s v=""/>
    <s v=""/>
    <s v=""/>
    <s v=""/>
    <s v=""/>
    <s v=""/>
    <s v=""/>
    <s v=""/>
    <s v=""/>
    <s v=""/>
    <s v=""/>
    <s v=""/>
    <s v=""/>
    <s v="['41&amp;rsquor;|0:1|William Ayache', '69&amp;rsquor;|0:2|Dominique Rocheteau']"/>
    <s v="['46&amp;rsquor;|0:1|Antal Nagy|for Péter Hannich', '65&amp;rsquor;|0:2|György Bognár|for Kálmán Kovács']"/>
    <s v="['61&amp;rsquor;|0:1|Dominique Rocheteau|for Jean-Pierre Papin', '71&amp;rsquor;|0:2|Jean-Marc Ferreri|for Yannick Stopyra']"/>
  </r>
  <r>
    <s v="West Germany"/>
    <s v="Scotland"/>
    <n v="2"/>
    <m/>
    <m/>
    <n v="1"/>
    <m/>
    <m/>
    <s v="Franz Beckenbauer"/>
    <s v="Harald Schumacher"/>
    <s v="Alex Ferguson"/>
    <s v="Graeme Souness"/>
    <n v="30000"/>
    <s v="Estadio Corregidora, Queretaro"/>
    <s v="Ioan Igna (Referee) · Bogdan Dotchev (AR1) · Alan Snoddy (AR2)"/>
    <x v="5"/>
    <x v="236"/>
    <s v="2–1"/>
    <s v="Ioan Igna"/>
    <s v=""/>
    <x v="9"/>
    <x v="9"/>
    <s v="Rudi Völler · 22|Klaus Allofs · 50"/>
    <s v="Gordon Strachan · 18"/>
    <s v="['22&amp;rsquor;|1:1|Rudi Völler', '50&amp;rsquor;|2:1|Klaus Allofs']"/>
    <s v="['18&amp;rsquor;|0:1|Gordon Strachan']"/>
    <s v=""/>
    <s v=""/>
    <s v=""/>
    <s v=""/>
    <s v=""/>
    <s v=""/>
    <s v=""/>
    <s v=""/>
    <s v=""/>
    <s v=""/>
    <s v=""/>
    <s v=""/>
    <s v=""/>
    <s v=""/>
    <s v=""/>
    <s v="['30&amp;rsquor;|1:1|Steve Archibald', '44&amp;rsquor;|1:1|Eamonn Bannon', '74&amp;rsquor;|2:1|Maurice Malpas']"/>
    <s v="['63&amp;rsquor;|2:1|Ditmar Jakobs|for Hans-Peter Briegel', '76&amp;rsquor;|2:1|Karl-Heinz Rummenigge|for Pierre Littbarski']"/>
    <s v="['60&amp;rsquor;|2:1|Frank McAvennie|for Steve Nicol', '74&amp;rsquor;|2:1|Davie Cooper|for Eamonn Bannon']"/>
  </r>
  <r>
    <s v="Iraq"/>
    <s v="Belgium"/>
    <n v="1"/>
    <m/>
    <m/>
    <n v="2"/>
    <m/>
    <m/>
    <s v="Evaristo"/>
    <s v="Raad Hammoudi"/>
    <s v="Guy Thys"/>
    <s v="Jan Ceulemans"/>
    <n v="20000"/>
    <s v="Bombonera - Estadio Nemesio Diez, Toluca"/>
    <s v="Jesus Diaz Palacio (Referee) · Vojtech Christov (AR1) · Victoriano Sanchez Arminio (AR2)"/>
    <x v="5"/>
    <x v="236"/>
    <s v="1–2"/>
    <s v="Jesus Diaz Palacio"/>
    <s v=""/>
    <x v="9"/>
    <x v="9"/>
    <s v="Ahmed Radhi · 59"/>
    <s v="Enzo Scifo · 16"/>
    <s v="['59&amp;rsquor;|1:2|Ahmed Radhi']"/>
    <s v="['16&amp;rsquor;|0:1|Enzo Scifo']"/>
    <s v=""/>
    <s v=""/>
    <s v=""/>
    <s v="Nico Claesen (P) · 21"/>
    <s v=""/>
    <s v=""/>
    <s v=""/>
    <s v=""/>
    <s v=""/>
    <s v=""/>
    <s v=""/>
    <s v=""/>
    <s v="Basil Gorgis · 52"/>
    <s v=""/>
    <s v="['1&amp;rsquor;|0:0|Basil Gorgis', '20&amp;rsquor;|0:1|Raad Hammoudi', '29&amp;rsquor;|0:2|Nadhum Shaker', '42&amp;rsquor;|0:2|Haris Mohammed', '48&amp;rsquor;|0:2|Samir Shaker', '65&amp;rsquor;|1:2|Natik Hashim']"/>
    <s v="['16&amp;rsquor;|0:1|Nico Claesen']"/>
    <s v="['81&amp;rsquor;|1:2|Rahim Hameed|for Karim Saddam']"/>
    <s v="['67&amp;rsquor;|1:2|Lei Clijsters|for Enzo Scifo', '69&amp;rsquor;|1:2|Georges Grün|for Stéphane Demol']"/>
  </r>
  <r>
    <s v="Denmark"/>
    <s v="Uruguay"/>
    <n v="6"/>
    <m/>
    <m/>
    <n v="1"/>
    <m/>
    <m/>
    <s v="Sepp Piontek"/>
    <s v="Morten Olsen"/>
    <s v="Omar Borras"/>
    <s v="Eduardo Acevedo"/>
    <n v="26500"/>
    <s v="Neza, Nezahualcoyotl"/>
    <s v="Antonio Marquez Ramirez (Referee) · Jan Keizer (AR1) · Romualdo Arppi Filho (AR2)"/>
    <x v="5"/>
    <x v="236"/>
    <s v="6–1"/>
    <s v="Antonio Marquez Ramirez"/>
    <s v=""/>
    <x v="9"/>
    <x v="9"/>
    <s v="Preben Elkjær · 11|Søren Lerby · 41|Michael Laudrup · 52|Preben Elkjær · 67|Preben Elkjær · 80|Jesper Olsen · 88"/>
    <s v=""/>
    <s v="['11&amp;rsquor;|1:0|Preben Elkjær', '41&amp;rsquor;|2:0|Søren Lerby', '52&amp;rsquor;|3:1|Michael Laudrup', '67&amp;rsquor;|4:1|Preben Elkjær', '80&amp;rsquor;|5:1|Preben Elkjær', '88&amp;rsquor;|6:1|Jesper Olsen']"/>
    <s v=""/>
    <s v=""/>
    <s v=""/>
    <s v=""/>
    <s v="Enzo Francescoli (P) · 45"/>
    <s v=""/>
    <s v=""/>
    <s v=""/>
    <s v=""/>
    <s v=""/>
    <s v=""/>
    <s v=""/>
    <s v="Miguel Bossio · 19"/>
    <s v=""/>
    <s v=""/>
    <s v="['7&amp;rsquor;|0:0|Ivan Nielsen']"/>
    <s v="['13&amp;rsquor;|1:0|Miguel Bossio', '35&amp;rsquor;|1:0|Jorge Orosmán da Silva']"/>
    <s v="['57&amp;rsquor;|3:1|Jan Mølby|for Jens Jørn Bertelsen', '81&amp;rsquor;|5:1|Jesper Olsen|for Michael Laudrup']"/>
    <s v="['57&amp;rsquor;|3:1|José Zalazar|for Sergio Santín', '57&amp;rsquor;|3:1|Venancio Ramos|for Antonio Alzamendi']"/>
  </r>
  <r>
    <s v="Mexico"/>
    <s v="Paraguay"/>
    <n v="1"/>
    <m/>
    <m/>
    <n v="1"/>
    <m/>
    <m/>
    <s v="Bora Milutinovic"/>
    <s v="Tomás Boy"/>
    <s v="Cayetano Re"/>
    <s v="Rogelio Delgado"/>
    <n v="114600"/>
    <s v="Estadio Azteca, Mexico City"/>
    <s v="George Courtney (Referee) · Erik Fredriksson (AR1) · Ioan Igna (AR2)"/>
    <x v="5"/>
    <x v="237"/>
    <s v="1–1"/>
    <s v="George Courtney"/>
    <s v=""/>
    <x v="9"/>
    <x v="9"/>
    <s v="Luis Flores · 3"/>
    <s v="Julio César Romero · 85"/>
    <s v="['3&amp;rsquor;|1:0|Luis Flores']"/>
    <s v="['85&amp;rsquor;|1:1|Julio César Romero']"/>
    <s v=""/>
    <s v=""/>
    <s v=""/>
    <s v=""/>
    <s v=""/>
    <s v=""/>
    <s v=""/>
    <s v=""/>
    <s v=""/>
    <s v=""/>
    <s v=""/>
    <s v=""/>
    <s v=""/>
    <s v=""/>
    <s v="['26&amp;rsquor;|1:0|Manuel Negrete Arias', '75&amp;rsquor;|1:0|Hugo Sánchez', '80&amp;rsquor;|1:0|Mario Trejo']"/>
    <s v="['5&amp;rsquor;|1:0|Alfredo Mendoza', '30&amp;rsquor;|1:0|Vladimiro Schettina']"/>
    <s v="['58&amp;rsquor;|1:0|Miguel España|for Tomás Boy', '77&amp;rsquor;|1:0|Francisco Javier Cruz|for Luis Flores']"/>
    <s v="['62&amp;rsquor;|1:0|Jorge Guasch|for Alfredo Mendoza', '80&amp;rsquor;|1:0|Ramón Hicks|for Juan Torales']"/>
  </r>
  <r>
    <s v="Northern Ireland"/>
    <s v="Spain"/>
    <n v="1"/>
    <m/>
    <m/>
    <n v="2"/>
    <m/>
    <m/>
    <s v="Billy Bingham"/>
    <s v="Sammy McIlroy"/>
    <s v="Miguel Munoz"/>
    <s v="José Antonio Camacho"/>
    <n v="28000"/>
    <s v="Tres de Marzo, Guadalajara"/>
    <s v="Horst Brummeier (Referee) · Luigi Agnolin (AR1) · Lajos Nemeth (AR2)"/>
    <x v="5"/>
    <x v="237"/>
    <s v="1–2"/>
    <s v="Horst Brummeier"/>
    <s v=""/>
    <x v="9"/>
    <x v="9"/>
    <s v="Colin Clarke · 47"/>
    <s v="Emilio Butragueño · 2|Julio Salinas · 18"/>
    <s v="['47&amp;rsquor;|1:2|Colin Clarke']"/>
    <s v="['2&amp;rsquor;|0:1|Emilio Butragueño', '18&amp;rsquor;|0:2|Julio Salinas']"/>
    <s v=""/>
    <s v=""/>
    <s v=""/>
    <s v=""/>
    <s v=""/>
    <s v=""/>
    <s v=""/>
    <s v=""/>
    <s v=""/>
    <s v=""/>
    <s v=""/>
    <s v=""/>
    <s v=""/>
    <s v=""/>
    <s v="['85&amp;rsquor;|1:2|Billy Hamilton']"/>
    <s v="['50&amp;rsquor;|1:2|Víctor Muñoz']"/>
    <s v="['54&amp;rsquor;|1:2|Ian Stewart|for Steve Penney', '70&amp;rsquor;|1:2|Billy Hamilton']"/>
    <s v="['54&amp;rsquor;|1:2|Ramón Calderé|for Rafael Gordillo', '78&amp;rsquor;|1:2|Juan Antonio Señor|for Julio Salinas']"/>
  </r>
  <r>
    <s v="Poland"/>
    <s v="Portugal"/>
    <n v="1"/>
    <m/>
    <m/>
    <n v="0"/>
    <m/>
    <m/>
    <s v="Antoni Piechniczek"/>
    <s v="Zbigniew Boniek"/>
    <s v="Jose Torres"/>
    <s v="Fernando Gomes"/>
    <n v="19915"/>
    <s v="Estadio Universitario, Monterrey"/>
    <s v="Ali Bennaceur (Referee) · Edwin Picon-Ackong (AR1) · Shizuo Takada (AR2)"/>
    <x v="5"/>
    <x v="237"/>
    <s v="1–0"/>
    <s v="Ali Bennaceur"/>
    <s v=""/>
    <x v="9"/>
    <x v="9"/>
    <s v="Włodzimierz Smolarek · 68"/>
    <s v=""/>
    <s v="['68&amp;rsquor;|1:0|Włodzimierz Smolarek']"/>
    <s v=""/>
    <s v=""/>
    <s v=""/>
    <s v=""/>
    <s v=""/>
    <s v=""/>
    <s v=""/>
    <s v=""/>
    <s v=""/>
    <s v=""/>
    <s v=""/>
    <s v=""/>
    <s v=""/>
    <s v=""/>
    <s v=""/>
    <s v="['46&amp;rsquor;|0:0|Roman Wójcicki', '89&amp;rsquor;|1:0|Dariusz Dziekanowski']"/>
    <s v=""/>
    <s v="['57&amp;rsquor;|0:0|Jan Karaś|for Ryszard Komornicki', '74&amp;rsquor;|1:0|Andrzej Zgutczyński']"/>
    <s v="['46&amp;rsquor;|0:0|Paulo Futre|for Fernando Gomes', '72&amp;rsquor;|1:0|Jaime Magalhães|for António André']"/>
  </r>
  <r>
    <s v="Brazil"/>
    <s v="Algeria"/>
    <n v="1"/>
    <m/>
    <m/>
    <n v="0"/>
    <m/>
    <m/>
    <s v="Tele Santana"/>
    <s v="Edinho"/>
    <s v="Rabah Saadane"/>
    <s v="Mahmoud Guendouz"/>
    <n v="48000"/>
    <s v="Jalisco, Guadalajara"/>
    <s v="Romulo Mendez Molina (Referee) · Jose Luis Martinez Bazan (AR1) · Joel Quiniou (AR2)"/>
    <x v="5"/>
    <x v="238"/>
    <s v="1–0"/>
    <s v="Romulo Mendez Molina"/>
    <s v=""/>
    <x v="9"/>
    <x v="9"/>
    <s v="Careca · 66"/>
    <s v=""/>
    <s v="['66&amp;rsquor;|1:0|Careca']"/>
    <s v=""/>
    <s v=""/>
    <s v=""/>
    <s v=""/>
    <s v=""/>
    <s v=""/>
    <s v=""/>
    <s v=""/>
    <s v=""/>
    <s v=""/>
    <s v=""/>
    <s v=""/>
    <s v=""/>
    <s v=""/>
    <s v=""/>
    <s v=""/>
    <s v=""/>
    <s v="['10&amp;rsquor;|0:0|Paulo Roberto Falcão|for Édson Boaro', '59&amp;rsquor;|0:0|Müller|for Walter Casagrande']"/>
    <s v="['68&amp;rsquor;|1:0|Tedj Bensaoula|for Salah Assad', '80&amp;rsquor;|1:0|Djamel Zidane|for Lakhdar Belloumi']"/>
  </r>
  <r>
    <s v="Hungary"/>
    <s v="Canada"/>
    <n v="2"/>
    <m/>
    <m/>
    <n v="0"/>
    <m/>
    <m/>
    <s v="Gyorgy Mezey"/>
    <s v="Antal Nagy"/>
    <s v="Tony Waiters"/>
    <s v="Bruce Wilson"/>
    <n v="13800"/>
    <s v="Estadio Irapuato, Irapuato"/>
    <s v="Jamal Al Sharif (Referee) · Zoran Petrovic (AR1) · Christopher Bambridge (AR2)"/>
    <x v="5"/>
    <x v="238"/>
    <s v="2–0"/>
    <s v="Jamal Al Sharif"/>
    <s v=""/>
    <x v="9"/>
    <x v="9"/>
    <s v="Márton Esterházy · 2|Lajos Détári · 75"/>
    <s v=""/>
    <s v="['2&amp;rsquor;|1:0|Márton Esterházy', '75&amp;rsquor;|2:0|Lajos Détári']"/>
    <s v=""/>
    <s v=""/>
    <s v=""/>
    <s v=""/>
    <s v=""/>
    <s v=""/>
    <s v=""/>
    <s v=""/>
    <s v=""/>
    <s v=""/>
    <s v=""/>
    <s v=""/>
    <s v="Mike Sweeney · 85"/>
    <s v=""/>
    <s v=""/>
    <s v=""/>
    <s v="['52&amp;rsquor;|1:0|Mike Sweeney', '83&amp;rsquor;|2:0|Bob Lenarduzzi']"/>
    <s v="['28&amp;rsquor;|1:0|Antal Róth|for Győző Burcsa', '62&amp;rsquor;|1:0|László Dajka']"/>
    <s v="['41&amp;rsquor;|1:0|Mike Sweeney|for Bruce Wilson', '53&amp;rsquor;|1:0|Branko Šegota|for Paul James']"/>
  </r>
  <r>
    <s v="England"/>
    <s v="Morocco"/>
    <n v="0"/>
    <m/>
    <m/>
    <n v="0"/>
    <m/>
    <m/>
    <s v="Bobby Robson"/>
    <s v="Bryan Robson"/>
    <s v="Jose Faria"/>
    <s v="Ezzaki Badou"/>
    <n v="20200"/>
    <s v="Tecnologico, Monterrey"/>
    <s v="Gabriel Gonzalez Roa (Referee) · Carlos Esposito (AR1) · Siegfried Kirschen (AR2)"/>
    <x v="5"/>
    <x v="238"/>
    <s v="0–0"/>
    <s v="Gabriel Gonzalez Roa"/>
    <s v=""/>
    <x v="9"/>
    <x v="9"/>
    <s v=""/>
    <s v=""/>
    <s v=""/>
    <s v=""/>
    <s v=""/>
    <s v=""/>
    <s v=""/>
    <s v=""/>
    <s v=""/>
    <s v=""/>
    <s v=""/>
    <s v=""/>
    <s v=""/>
    <s v=""/>
    <s v="Ray Wilkins · 42"/>
    <s v=""/>
    <s v=""/>
    <s v=""/>
    <s v="['40&amp;rsquor;|0:0|Ray Wilkins', '68&amp;rsquor;|0:0|Mark Hateley']"/>
    <s v="['50&amp;rsquor;|0:0|Labid Khalifa', '76&amp;rsquor;|0:0|Abderrazak Khairi']"/>
    <s v="['41&amp;rsquor;|0:0|Steve Hodge|for Bryan Robson', '76&amp;rsquor;|0:0|Gary Stevens']"/>
    <s v="['73&amp;rsquor;|0:0|Lahcen Ouadani|for Abdelmajid Lamriss', '87&amp;rsquor;|0:0|Abdelaziz Souleimani|for Mustafa Merry']"/>
  </r>
  <r>
    <s v="Italy"/>
    <s v="Argentina"/>
    <n v="1"/>
    <m/>
    <m/>
    <n v="1"/>
    <m/>
    <m/>
    <s v="Enzo Bearzot"/>
    <s v="Gaetano Scirea"/>
    <s v="Carlos Bilardo"/>
    <s v="Diego Maradona"/>
    <n v="32000"/>
    <s v="Cuauhtemoc, Puebla"/>
    <s v="Jan Keizer (Referee) · Antonio Marquez Ramirez (AR1) · Alan Snoddy (AR2)"/>
    <x v="5"/>
    <x v="239"/>
    <s v="1–1"/>
    <s v="Jan Keizer"/>
    <s v=""/>
    <x v="9"/>
    <x v="9"/>
    <s v=""/>
    <s v="Diego Maradona · 34"/>
    <s v=""/>
    <s v="['34&amp;rsquor;|1:1|Diego Maradona']"/>
    <s v=""/>
    <s v=""/>
    <s v="Alessandro Altobelli (P) · 6"/>
    <s v=""/>
    <s v=""/>
    <s v=""/>
    <s v=""/>
    <s v=""/>
    <s v=""/>
    <s v=""/>
    <s v=""/>
    <s v=""/>
    <s v=""/>
    <s v=""/>
    <s v="['54&amp;rsquor;|1:1|Giuseppe Bergomi']"/>
    <s v="['58&amp;rsquor;|1:1|Ricardo Giusti', '65&amp;rsquor;|1:1|Oscar Garré']"/>
    <s v="['65&amp;rsquor;|1:1|Gianluca Vialli|for Bruno Conti', '87&amp;rsquor;|1:1|Giuseppe Baresi|for Fernando De Napoli']"/>
    <s v="['59&amp;rsquor;|1:1|Julio Olarticoechea|for Sergio Batista', '74&amp;rsquor;|1:1|Héctor Enrique|for Claudio Borghi']"/>
  </r>
  <r>
    <s v="France"/>
    <s v="Soviet Union"/>
    <n v="1"/>
    <m/>
    <m/>
    <n v="1"/>
    <m/>
    <m/>
    <s v="Henri Michel"/>
    <s v="Michel Platini"/>
    <s v="Valeriy Lobanovskyi"/>
    <s v="Anatoliy Demyanenko"/>
    <n v="36540"/>
    <s v="Nou Camp - Estadio Leï¿½n, Leon"/>
    <s v="Romualdo Arppi Filho (Referee) · Victoriano Sanchez Arminio (AR1) · Shizuo Takada (AR2)"/>
    <x v="5"/>
    <x v="239"/>
    <s v="1–1"/>
    <s v="Romualdo Arppi Filho"/>
    <s v=""/>
    <x v="9"/>
    <x v="9"/>
    <s v="Luis Fernández · 62"/>
    <s v="Vasyl Rats · 53"/>
    <s v="['62&amp;rsquor;|1:1|Luis Fernández']"/>
    <s v="['53&amp;rsquor;|0:1|Vasyl Rats']"/>
    <s v=""/>
    <s v=""/>
    <s v=""/>
    <s v=""/>
    <s v=""/>
    <s v=""/>
    <s v=""/>
    <s v=""/>
    <s v=""/>
    <s v=""/>
    <s v=""/>
    <s v=""/>
    <s v=""/>
    <s v=""/>
    <s v="['40&amp;rsquor;|0:0|Luis Fernández', '43&amp;rsquor;|0:0|Manuel Amoros']"/>
    <s v="['30&amp;rsquor;|0:0|Vasyl Rats', '33&amp;rsquor;|0:0|Igor Belanov']"/>
    <s v="['76&amp;rsquor;|1:1|Bruno Bellone|for Jean-Pierre Papin', '83&amp;rsquor;|1:1|Philippe Vercruysse|for Alain Giresse']"/>
    <s v="['58&amp;rsquor;|0:1|Oleh Blokhin|for Oleksandr Zavarov', '68&amp;rsquor;|1:1|Sergey Rodionov']"/>
  </r>
  <r>
    <s v="Korea Republic"/>
    <s v="Bulgaria"/>
    <n v="1"/>
    <m/>
    <m/>
    <n v="1"/>
    <m/>
    <m/>
    <s v="Jung Nam Kim"/>
    <s v="Park Chang-sun"/>
    <s v="Ivan Vutsov"/>
    <s v="Georgi Dimitrov"/>
    <n v="45000"/>
    <s v="Estadio Olï¿½mpico Universitario, Mexico City"/>
    <s v="Fallaj Khuzam Al Shanar (Referee) · Ioan Igna (AR1) · Valeri Butenko (AR2)"/>
    <x v="5"/>
    <x v="239"/>
    <s v="1–1"/>
    <s v="Fallaj Khuzam Al Shanar"/>
    <s v=""/>
    <x v="9"/>
    <x v="9"/>
    <s v="Kim Jong-boo · 70"/>
    <s v="Plamen Getov · 11"/>
    <s v="['70&amp;rsquor;|1:1|Kim Jong-boo']"/>
    <s v="['11&amp;rsquor;|0:1|Plamen Getov']"/>
    <s v=""/>
    <s v=""/>
    <s v=""/>
    <s v=""/>
    <s v=""/>
    <s v=""/>
    <s v=""/>
    <s v=""/>
    <s v=""/>
    <s v=""/>
    <s v=""/>
    <s v=""/>
    <s v=""/>
    <s v=""/>
    <s v="['31&amp;rsquor;|0:1|Kim Joo-sung', '60&amp;rsquor;|0:1|Cho Young-jeung']"/>
    <s v="['49&amp;rsquor;|0:1|Zhivko Gospodinov']"/>
    <s v="['46&amp;rsquor;|0:1|Kim Jong-boo|for Noh Soo-jin', '72&amp;rsquor;|1:1|Cho Min-kook|for Cho Kwang-rae']"/>
    <s v="['46&amp;rsquor;|0:1|Kostadin Kostadinov|for Bozhidar Iskrenov', '58&amp;rsquor;|0:1|Andrey Zhelyazkov|for Plamen Getov']"/>
  </r>
  <r>
    <s v="Paraguay"/>
    <s v="Iraq"/>
    <n v="1"/>
    <m/>
    <m/>
    <n v="0"/>
    <m/>
    <m/>
    <s v="Cayetano Re"/>
    <s v="Rogelio Delgado"/>
    <s v="Evaristo"/>
    <s v="Raad Hammoudi"/>
    <n v="24000"/>
    <s v="Bombonera - Estadio Nemesio Diez, Toluca"/>
    <s v="Edwin Picon-Ackong (Referee) · Berny Ulloa Morera (AR1) · David Socha (AR2)"/>
    <x v="5"/>
    <x v="240"/>
    <s v="1–0"/>
    <s v="Edwin Picon-Ackong"/>
    <s v=""/>
    <x v="9"/>
    <x v="9"/>
    <s v="Julio César Romero · 35"/>
    <s v=""/>
    <s v="['35&amp;rsquor;|1:0|Julio César Romero']"/>
    <s v=""/>
    <s v=""/>
    <s v=""/>
    <s v=""/>
    <s v=""/>
    <s v=""/>
    <s v=""/>
    <s v=""/>
    <s v=""/>
    <s v=""/>
    <s v=""/>
    <s v=""/>
    <s v=""/>
    <s v=""/>
    <s v=""/>
    <s v="['45&amp;rsquor;|1:0|Vladimiro Schettina']"/>
    <s v="['29&amp;rsquor;|0:0|Samir Shaker']"/>
    <s v="['88&amp;rsquor;|1:0|Jorge Guasch|for Alfredo Mendoza']"/>
    <s v="['67&amp;rsquor;|1:0|Rahim Hameed|for Haris Mohammed', '81&amp;rsquor;|1:0|Basim Qasim|for Basil Gorgis']"/>
  </r>
  <r>
    <s v="Uruguay"/>
    <s v="West Germany"/>
    <n v="1"/>
    <m/>
    <m/>
    <n v="1"/>
    <m/>
    <m/>
    <s v="Omar Borras"/>
    <s v="Jorge Barrios"/>
    <s v="Franz Beckenbauer"/>
    <s v="Harald Schumacher"/>
    <n v="30500"/>
    <s v="Estadio Corregidora, Queretaro"/>
    <s v="Vojtech Christov (Referee) · Hernan Silva Arce (AR1) · Carlos Alberto Silva Valente (AR2)"/>
    <x v="5"/>
    <x v="240"/>
    <s v="1–1"/>
    <s v="Vojtech Christov"/>
    <s v=""/>
    <x v="9"/>
    <x v="9"/>
    <s v="Antonio Alzamendi · 4"/>
    <s v="Klaus Allofs · 84"/>
    <s v="['4&amp;rsquor;|1:0|Antonio Alzamendi']"/>
    <s v="['84&amp;rsquor;|1:1|Klaus Allofs']"/>
    <s v=""/>
    <s v=""/>
    <s v=""/>
    <s v=""/>
    <s v=""/>
    <s v=""/>
    <s v=""/>
    <s v=""/>
    <s v=""/>
    <s v=""/>
    <s v=""/>
    <s v=""/>
    <s v=""/>
    <s v=""/>
    <s v="['28&amp;rsquor;|1:0|Víctor Diogo', '62&amp;rsquor;|1:0|Mario Saralegui']"/>
    <s v=""/>
    <s v="['56&amp;rsquor;|1:0|Mario Saralegui|for Jorge Barrios', '80&amp;rsquor;|1:0|Venancio Ramos|for Antonio Alzamendi']"/>
    <s v="['46&amp;rsquor;|1:0|Pierre Littbarski|for Andreas Brehme', '70&amp;rsquor;|1:0|Karl-Heinz Rummenigge|for Lothar Matthäus']"/>
  </r>
  <r>
    <s v="Scotland"/>
    <s v="Denmark"/>
    <n v="0"/>
    <m/>
    <m/>
    <n v="1"/>
    <m/>
    <m/>
    <s v="Alex Ferguson"/>
    <s v="Graeme Souness"/>
    <s v="Sepp Piontek"/>
    <s v="Morten Olsen"/>
    <n v="18000"/>
    <s v="Neza, Nezahualcoyotl"/>
    <s v="Lajos Nemeth (Referee) · Siegfried Kirschen (AR1) · Fallaj Khuzam Al Shanar (AR2)"/>
    <x v="5"/>
    <x v="240"/>
    <s v="0–1"/>
    <s v="Lajos Nemeth"/>
    <s v=""/>
    <x v="9"/>
    <x v="9"/>
    <s v=""/>
    <s v="Preben Elkjær · 57"/>
    <s v=""/>
    <s v="['57&amp;rsquor;|0:1|Preben Elkjær']"/>
    <s v=""/>
    <s v=""/>
    <s v=""/>
    <s v=""/>
    <s v=""/>
    <s v=""/>
    <s v=""/>
    <s v=""/>
    <s v=""/>
    <s v=""/>
    <s v=""/>
    <s v=""/>
    <s v=""/>
    <s v=""/>
    <s v=""/>
    <s v="['84&amp;rsquor;|0:1|Klaus Berggreen']"/>
    <s v="['61&amp;rsquor;|0:1|Frank McAvennie|for Paul Sturrock', '74&amp;rsquor;|0:1|Eamonn Bannon|for Gordon Strachan']"/>
    <s v="['74&amp;rsquor;|0:1|John Sivebæk|for Frank Arnesen', '80&amp;rsquor;|0:1|Jan Mølby|for Jesper Olsen']"/>
  </r>
  <r>
    <s v="Belgium"/>
    <s v="Mexico"/>
    <n v="1"/>
    <m/>
    <m/>
    <n v="2"/>
    <m/>
    <m/>
    <s v="Guy Thys"/>
    <s v="Jan Ceulemans"/>
    <s v="Bora Milutinovic"/>
    <s v="Tomás Boy"/>
    <n v="110000"/>
    <s v="Estadio Azteca, Mexico City"/>
    <s v="Carlos Esposito (Referee) · Carlos Alberto Silva Valente (AR1) · Romulo Mendez Molina (AR2)"/>
    <x v="5"/>
    <x v="241"/>
    <s v="1–2"/>
    <s v="Carlos Esposito"/>
    <s v=""/>
    <x v="9"/>
    <x v="9"/>
    <s v="Erwin Vandenbergh · 45"/>
    <s v="Fernando Quirarte · 23|Hugo Sánchez · 39"/>
    <s v="['45&amp;rsquor;|1:2|Erwin Vandenbergh']"/>
    <s v="['23&amp;rsquor;|0:1|Fernando Quirarte', '39&amp;rsquor;|0:2|Hugo Sánchez']"/>
    <s v=""/>
    <s v=""/>
    <s v=""/>
    <s v=""/>
    <s v=""/>
    <s v=""/>
    <s v=""/>
    <s v=""/>
    <s v=""/>
    <s v=""/>
    <s v=""/>
    <s v=""/>
    <s v=""/>
    <s v=""/>
    <s v="['56&amp;rsquor;|1:2|Franky Van der Elst']"/>
    <s v="['23&amp;rsquor;|0:1|Hugo Sánchez', '83&amp;rsquor;|1:2|Carlos Muñoz']"/>
    <s v="['60&amp;rsquor;|1:2|Nico Claesen|for Philippe Desmet', '66&amp;rsquor;|1:2|Stéphane Demol|for Erwin Vandenbergh']"/>
    <s v="['69&amp;rsquor;|1:2|Miguel España|for Tomás Boy', '79&amp;rsquor;|1:2|Francisco Javier Cruz|for Luis Flores']"/>
  </r>
  <r>
    <s v="Algeria"/>
    <s v="Northern Ireland"/>
    <n v="1"/>
    <m/>
    <m/>
    <n v="1"/>
    <m/>
    <m/>
    <s v="Rabah Saadane"/>
    <s v="Mahmoud Guendouz"/>
    <s v="Billy Bingham"/>
    <s v="Sammy McIlroy"/>
    <n v="22000"/>
    <s v="Tres de Marzo, Guadalajara"/>
    <s v="Valeri Butenko (Referee) · Andre Daina (AR1) · Zoran Petrovic (AR2)"/>
    <x v="5"/>
    <x v="241"/>
    <s v="1–1"/>
    <s v="Valeri Butenko"/>
    <s v=""/>
    <x v="9"/>
    <x v="9"/>
    <s v="Djamel Zidane · 59"/>
    <s v="Norman Whiteside · 6"/>
    <s v="['59&amp;rsquor;|1:1|Djamel Zidane']"/>
    <s v="['6&amp;rsquor;|0:1|Norman Whiteside']"/>
    <s v=""/>
    <s v=""/>
    <s v=""/>
    <s v=""/>
    <s v=""/>
    <s v=""/>
    <s v=""/>
    <s v=""/>
    <s v=""/>
    <s v=""/>
    <s v=""/>
    <s v=""/>
    <s v=""/>
    <s v=""/>
    <s v="['36&amp;rsquor;|0:1|Faouzi Mansouri']"/>
    <s v="['58&amp;rsquor;|0:1|Nigel Worthington', '78&amp;rsquor;|1:1|Sammy McIlroy', '79&amp;rsquor;|1:1|Norman Whiteside']"/>
    <s v="['33&amp;rsquor;|0:1|Rachid Harkouk|for Rabah Madjer', '71&amp;rsquor;|1:1|Lakhdar Belloumi']"/>
    <s v="['67&amp;rsquor;|1:1|Ian Stewart|for Steve Penney', '81&amp;rsquor;|1:1|Colin Clarke|for Norman Whiteside']"/>
  </r>
  <r>
    <s v="Portugal"/>
    <s v="England"/>
    <n v="1"/>
    <m/>
    <m/>
    <n v="0"/>
    <m/>
    <m/>
    <s v="Jose Torres"/>
    <s v="Manuel Bento"/>
    <s v="Bobby Robson"/>
    <s v="Bryan Robson"/>
    <n v="23000"/>
    <s v="Tecnologico, Monterrey"/>
    <s v="Volker Roth (Referee) · Bogdan Dotchev (AR1) · Jamal Al Sharif (AR2)"/>
    <x v="5"/>
    <x v="241"/>
    <s v="1–0"/>
    <s v="Volker Roth"/>
    <s v=""/>
    <x v="9"/>
    <x v="9"/>
    <s v="Carlos Manuel · 75"/>
    <s v=""/>
    <s v="['75&amp;rsquor;|1:0|Carlos Manuel']"/>
    <s v=""/>
    <s v=""/>
    <s v=""/>
    <s v=""/>
    <s v=""/>
    <s v=""/>
    <s v=""/>
    <s v=""/>
    <s v=""/>
    <s v=""/>
    <s v=""/>
    <s v=""/>
    <s v=""/>
    <s v=""/>
    <s v=""/>
    <s v="['88&amp;rsquor;|1:0|Jaime Pacheco']"/>
    <s v="['17&amp;rsquor;|0:0|Terry Fenwick', '78&amp;rsquor;|1:0|Terry Butcher']"/>
    <s v="['73&amp;rsquor;|0:0|Paulo Futre|for Fernando Gomes', '82&amp;rsquor;|1:0|José António Bargiela|for Diamantino Miranda']"/>
    <s v="['80&amp;rsquor;|1:0|Steve Hodge|for Chris Waddle', '80&amp;rsquor;|1:0|Peter Beardsley|for Bryan Robson']"/>
  </r>
  <r>
    <s v="Soviet Union"/>
    <s v="Hungary"/>
    <n v="6"/>
    <m/>
    <m/>
    <n v="0"/>
    <m/>
    <m/>
    <s v="Valeriy Lobanovskyi"/>
    <s v="Anatoliy Demyanenko"/>
    <s v="Gyorgy Mezey"/>
    <s v="Antal Nagy"/>
    <n v="16500"/>
    <s v="Estadio Irapuato, Irapuato"/>
    <s v="Luigi Agnolin (Referee) · George Courtney (AR1) · Horst Brummeier (AR2)"/>
    <x v="5"/>
    <x v="242"/>
    <s v="6–0"/>
    <s v="Luigi Agnolin"/>
    <s v=""/>
    <x v="9"/>
    <x v="9"/>
    <s v="Pavlo Yakovenko · 2|Sergei Aleinikov · 4|Ivan Yaremchuk · 66|Sergey Rodionov · 80"/>
    <s v=""/>
    <s v="['2&amp;rsquor;|1:0|Pavlo Yakovenko', '4&amp;rsquor;|2:0|Sergei Aleinikov', '66&amp;rsquor;|4:0|Ivan Yaremchuk', '80&amp;rsquor;|6:0|Sergey Rodionov']"/>
    <s v=""/>
    <s v="László Dajka (OG) · 73"/>
    <s v=""/>
    <s v="Igor Belanov (P) · 24"/>
    <s v=""/>
    <s v=""/>
    <s v=""/>
    <s v=""/>
    <s v=""/>
    <s v=""/>
    <s v=""/>
    <s v=""/>
    <s v=""/>
    <s v=""/>
    <s v=""/>
    <s v=""/>
    <s v=""/>
    <s v="['69&amp;rsquor;|4:0|Sergey Rodionov', '72&amp;rsquor;|4:0|Vadym Yevtushenko|for Pavlo Yakovenko']"/>
    <s v="['13&amp;rsquor;|2:0|Győző Burcsa|for Antal Róth', '62&amp;rsquor;|3:0|László Dajka|for Zoltán Péter']"/>
  </r>
  <r>
    <s v="Argentina"/>
    <s v="Korea Republic"/>
    <n v="3"/>
    <m/>
    <m/>
    <n v="1"/>
    <m/>
    <m/>
    <s v="Carlos Bilardo"/>
    <s v="Diego Maradona"/>
    <s v="Jung Nam Kim"/>
    <s v="Park Chang-sun"/>
    <n v="60000"/>
    <s v="Estadio Olï¿½mpico Universitario, Mexico City"/>
    <s v="Victoriano Sanchez Arminio (Referee) · Gabriel Gonzalez Roa (AR1) · Jesus Diaz Palacio (AR2)"/>
    <x v="5"/>
    <x v="242"/>
    <s v="3–1"/>
    <s v="Victoriano Sanchez Arminio"/>
    <s v=""/>
    <x v="9"/>
    <x v="9"/>
    <s v="Jorge Valdano · 6|Oscar Ruggeri · 18|Jorge Valdano · 46"/>
    <s v="Park Chang-sun · 73"/>
    <s v="['6&amp;rsquor;|1:0|Jorge Valdano', '18&amp;rsquor;|2:0|Oscar Ruggeri', '46&amp;rsquor;|3:0|Jorge Valdano']"/>
    <s v="['73&amp;rsquor;|3:1|Park Chang-sun']"/>
    <s v=""/>
    <s v=""/>
    <s v=""/>
    <s v=""/>
    <s v=""/>
    <s v=""/>
    <s v=""/>
    <s v=""/>
    <s v=""/>
    <s v=""/>
    <s v=""/>
    <s v=""/>
    <s v=""/>
    <s v=""/>
    <s v=""/>
    <s v="['44&amp;rsquor;|2:0|Huh Jung-moo', '50&amp;rsquor;|3:0|Park Chang-sun']"/>
    <s v="['74&amp;rsquor;|3:1|Carlos Daniel Tapia|for Pedro Pasculli', '75&amp;rsquor;|3:1|Julio Olarticoechea|for Sergio Batista']"/>
    <s v="['23&amp;rsquor;|2:0|Cho Kwang-rae|for Kim Pyung-seok', '46&amp;rsquor;|3:0|Byun Byung-joo|for Kim Yong-se']"/>
  </r>
  <r>
    <s v="Morocco"/>
    <s v="Poland"/>
    <n v="0"/>
    <m/>
    <m/>
    <n v="0"/>
    <m/>
    <m/>
    <s v="Jose Faria"/>
    <s v="Ezzaki Badou"/>
    <s v="Antoni Piechniczek"/>
    <s v="Zbigniew Boniek"/>
    <n v="19900"/>
    <s v="Estadio Universitario, Monterrey"/>
    <s v="Jose Luis Martinez Bazan (Referee) · Joel Quiniou (AR1) · Idrissa Traore (AR2)"/>
    <x v="5"/>
    <x v="242"/>
    <s v="0–0"/>
    <s v="Jose Luis Martinez Bazan"/>
    <s v=""/>
    <x v="9"/>
    <x v="9"/>
    <s v=""/>
    <s v=""/>
    <s v=""/>
    <s v=""/>
    <s v=""/>
    <s v=""/>
    <s v=""/>
    <s v=""/>
    <s v=""/>
    <s v=""/>
    <s v=""/>
    <s v=""/>
    <s v=""/>
    <s v=""/>
    <s v=""/>
    <s v=""/>
    <s v=""/>
    <s v=""/>
    <s v="['33&amp;rsquor;|0:0|Mohamed Timoumi']"/>
    <s v=""/>
    <s v="['87&amp;rsquor;|0:0|Abdelaziz Souleimani|for Mustafa El Haddaoui', '88&amp;rsquor;|0:0|Abderrazak Khairi|for Mohamed Timoumi']"/>
    <s v="['46&amp;rsquor;|0:0|Kazimierz Przybyś|for Dariusz Kubicki', '56&amp;rsquor;|0:0|Jan Urban|for Dariusz Dziekanowski']"/>
  </r>
  <r>
    <s v="Spain"/>
    <s v="Brazil"/>
    <n v="0"/>
    <m/>
    <m/>
    <n v="1"/>
    <m/>
    <m/>
    <s v="Miguel Munoz"/>
    <s v="José Antonio Camacho"/>
    <s v="Tele Santana"/>
    <s v="Edinho"/>
    <n v="35748"/>
    <s v="Jalisco, Guadalajara"/>
    <s v="Christopher Bambridge (Referee) · David Socha (AR1) · Jan Keizer (AR2)"/>
    <x v="5"/>
    <x v="243"/>
    <s v="0–1"/>
    <s v="Christopher Bambridge"/>
    <s v=""/>
    <x v="9"/>
    <x v="9"/>
    <s v=""/>
    <s v="Sócrates · 62"/>
    <s v=""/>
    <s v="['62&amp;rsquor;|0:1|Sócrates']"/>
    <s v=""/>
    <s v=""/>
    <s v=""/>
    <s v=""/>
    <s v=""/>
    <s v=""/>
    <s v=""/>
    <s v=""/>
    <s v=""/>
    <s v=""/>
    <s v=""/>
    <s v=""/>
    <s v=""/>
    <s v=""/>
    <s v="['4&amp;rsquor;|0:0|Julio Alberto Moreno']"/>
    <s v="['82&amp;rsquor;|0:1|Branco']"/>
    <s v="['82&amp;rsquor;|0:1|Juan Antonio Señor|for Francisco']"/>
    <s v="['66&amp;rsquor;|0:1|Müller|for Walter Casagrande', '79&amp;rsquor;|0:1|Paulo Roberto Falcão|for Leovegildo Lins da Gama Júnior']"/>
  </r>
  <r>
    <s v="Canada"/>
    <s v="France"/>
    <n v="0"/>
    <m/>
    <m/>
    <n v="1"/>
    <m/>
    <m/>
    <s v="Tony Waiters"/>
    <s v="Bruce Wilson"/>
    <s v="Henri Michel"/>
    <s v="Michel Platini"/>
    <n v="65500"/>
    <s v="Nou Camp - Estadio Leï¿½n, Leon"/>
    <s v="Hernan Silva Arce (Referee) · Romulo Mendez Molina (AR1) · Berny Ulloa Morera (AR2)"/>
    <x v="5"/>
    <x v="243"/>
    <s v="0–1"/>
    <s v="Hernan Silva Arce"/>
    <s v=""/>
    <x v="9"/>
    <x v="9"/>
    <s v=""/>
    <s v="Jean-Pierre Papin · 79"/>
    <s v=""/>
    <s v="['79&amp;rsquor;|0:1|Jean-Pierre Papin']"/>
    <s v=""/>
    <s v=""/>
    <s v=""/>
    <s v=""/>
    <s v=""/>
    <s v=""/>
    <s v=""/>
    <s v=""/>
    <s v=""/>
    <s v=""/>
    <s v=""/>
    <s v=""/>
    <s v=""/>
    <s v=""/>
    <s v=""/>
    <s v=""/>
    <s v="['54&amp;rsquor;|0:0|Jamie Lowery|for Mike Sweeney', '81&amp;rsquor;|0:1|Branko Šegota|for Paul James']"/>
    <s v="['70&amp;rsquor;|0:0|Yannick Stopyra|for Dominique Rocheteau']"/>
  </r>
  <r>
    <s v="Bulgaria"/>
    <s v="Italy"/>
    <n v="1"/>
    <m/>
    <m/>
    <n v="1"/>
    <m/>
    <m/>
    <s v="Ivan Vutsov"/>
    <s v="Georgi Dimitrov"/>
    <s v="Enzo Bearzot"/>
    <s v="Gaetano Scirea"/>
    <n v="96000"/>
    <s v="Estadio Azteca, Mexico City"/>
    <s v="Erik Fredriksson (Referee) · Edgardo Codesal Mendez (AR1) · Volker Roth (AR2)"/>
    <x v="5"/>
    <x v="244"/>
    <s v="1–1"/>
    <s v="Erik Fredriksson"/>
    <s v=""/>
    <x v="9"/>
    <x v="9"/>
    <s v="Nasko Sirakov · 85"/>
    <s v="Alessandro Altobelli · 43"/>
    <s v="['85&amp;rsquor;|1:1|Nasko Sirakov']"/>
    <s v="['43&amp;rsquor;|0:1|Alessandro Altobelli']"/>
    <s v=""/>
    <s v=""/>
    <s v=""/>
    <s v=""/>
    <s v=""/>
    <s v=""/>
    <s v=""/>
    <s v=""/>
    <s v=""/>
    <s v=""/>
    <s v=""/>
    <s v=""/>
    <s v=""/>
    <s v=""/>
    <s v="['51&amp;rsquor;|0:1|Aleksandar Markov']"/>
    <s v="['48&amp;rsquor;|0:1|Giuseppe Bergomi', '64&amp;rsquor;|0:1|Antonio Cabrini']"/>
    <s v="['65&amp;rsquor;|0:1|Kostadin Kostadinov|for Bozhidar Iskrenov', '74&amp;rsquor;|0:1|Andrey Zhelyazkov']"/>
    <s v="['65&amp;rsquor;|0:1|Gianluca Vialli|for Bruno Conti']"/>
  </r>
  <r>
    <s v="Italy"/>
    <s v="West Germany"/>
    <n v="3"/>
    <m/>
    <m/>
    <n v="1"/>
    <m/>
    <m/>
    <s v="Enzo Bearzot"/>
    <s v="Dino Zoff"/>
    <s v="Jupp Derwall"/>
    <s v="Karl-Heinz Rummenigge"/>
    <n v="90000"/>
    <s v="Santiago Bernabeu, Madrid"/>
    <s v="Arnaldo Coelho (Referee) · Abraham Klein (AR1) · Vojtech Christov (AR2)"/>
    <x v="0"/>
    <x v="245"/>
    <s v="3–1"/>
    <s v="Arnaldo Coelho"/>
    <s v=""/>
    <x v="10"/>
    <x v="10"/>
    <s v="Paolo Rossi · 57|Marco Tardelli · 69|Alessandro Altobelli · 81"/>
    <s v="Paul Breitner · 83"/>
    <s v="['57&amp;rsquor;|1:0|Paolo Rossi', '69&amp;rsquor;|2:0|Marco Tardelli', '81&amp;rsquor;|3:0|Alessandro Altobelli']"/>
    <s v="['83&amp;rsquor;|3:1|Paul Breitner']"/>
    <s v=""/>
    <s v=""/>
    <s v=""/>
    <s v=""/>
    <s v=""/>
    <s v=""/>
    <s v=""/>
    <s v=""/>
    <s v=""/>
    <s v=""/>
    <s v=""/>
    <s v=""/>
    <s v=""/>
    <s v=""/>
    <s v="['31&amp;rsquor;|0:0|Bruno Conti', '73&amp;rsquor;|2:0|Gabriele Oriali']"/>
    <s v="['61&amp;rsquor;|1:0|Wolfgang Dremmler', '73&amp;rsquor;|2:0|Uli Stielike', '88&amp;rsquor;|3:1|Pierre Littbarski']"/>
    <s v="['7&amp;rsquor;|0:0|Alessandro Altobelli|for Francesco Graziani', '89&amp;rsquor;|3:1|Franco Causio|for Alessandro Altobelli']"/>
    <s v="['62&amp;rsquor;|1:0|Horst Hrubesch|for Wolfgang Dremmler', '70&amp;rsquor;|2:0|Hansi Müller']"/>
  </r>
  <r>
    <s v="Poland"/>
    <s v="France"/>
    <n v="3"/>
    <m/>
    <m/>
    <n v="2"/>
    <m/>
    <m/>
    <s v="Antoni Piechniczek"/>
    <s v="Władysław Żmuda"/>
    <s v="Michel Hidalgo"/>
    <s v="Marius Trésor"/>
    <n v="28000"/>
    <s v="Jose Rico Perez, Alicante"/>
    <s v="Antonio Garrido (Referee) · Mario Rubio Vazquez (AR1) · Belaid Lacarne (AR2)"/>
    <x v="1"/>
    <x v="246"/>
    <s v="3–2"/>
    <s v="Antonio Garrido"/>
    <s v=""/>
    <x v="10"/>
    <x v="10"/>
    <s v="Andrzej Szarmach · 40|Stefan Majewski · 44|Janusz Kupcewicz · 46"/>
    <s v="René Girard · 13|Alain Couriol · 72"/>
    <s v="['40&amp;rsquor;|1:1|Andrzej Szarmach', '44&amp;rsquor;|2:1|Stefan Majewski', '46&amp;rsquor;|3:1|Janusz Kupcewicz']"/>
    <s v="['13&amp;rsquor;|0:1|René Girard', '72&amp;rsquor;|3:2|Alain Couriol']"/>
    <s v=""/>
    <s v=""/>
    <s v=""/>
    <s v=""/>
    <s v=""/>
    <s v=""/>
    <s v=""/>
    <s v=""/>
    <s v=""/>
    <s v=""/>
    <s v=""/>
    <s v=""/>
    <s v=""/>
    <s v=""/>
    <s v="['62&amp;rsquor;|3:1|Andrzej Buncol', '71&amp;rsquor;|3:1|Roman Wójcicki']"/>
    <s v="['79&amp;rsquor;|3:2|Gérard Soler']"/>
    <s v="['46&amp;rsquor;|3:1|Roman Wójcicki|for Waldemar Matysik']"/>
    <s v="['66&amp;rsquor;|3:1|Christian Lopez|for Gérard Janvion', '83&amp;rsquor;|3:2|Didier Six|for Jean Tigana']"/>
  </r>
  <r>
    <s v="Poland"/>
    <s v="Italy"/>
    <n v="0"/>
    <m/>
    <m/>
    <n v="2"/>
    <m/>
    <m/>
    <s v="Antoni Piechniczek"/>
    <s v="Władysław Żmuda"/>
    <s v="Enzo Bearzot"/>
    <s v="Dino Zoff"/>
    <n v="50000"/>
    <s v="Camp Nou, Barcelona"/>
    <s v="Juan Cardellino De San Vicente (Referee) · David Socha (AR1) · Gilberto Aristizabal Murcia (AR2)"/>
    <x v="2"/>
    <x v="247"/>
    <s v="0–2"/>
    <s v="Juan Cardellino De San Vicente"/>
    <s v=""/>
    <x v="10"/>
    <x v="10"/>
    <s v=""/>
    <s v="Paolo Rossi · 22|Paolo Rossi · 73"/>
    <s v=""/>
    <s v="['22&amp;rsquor;|0:1|Paolo Rossi', '73&amp;rsquor;|0:2|Paolo Rossi']"/>
    <s v=""/>
    <s v=""/>
    <s v=""/>
    <s v=""/>
    <s v=""/>
    <s v=""/>
    <s v=""/>
    <s v=""/>
    <s v=""/>
    <s v=""/>
    <s v=""/>
    <s v=""/>
    <s v=""/>
    <s v=""/>
    <s v="['43&amp;rsquor;|0:1|Stefan Majewski', '51&amp;rsquor;|0:1|Władysław Żmuda', '57&amp;rsquor;|0:1|Włodzimierz Smolarek']"/>
    <s v="['57&amp;rsquor;|0:1|Fulvio Collovati']"/>
    <s v="['46&amp;rsquor;|0:1|Andrzej Pałasz|for Włodzimierz Ciołek', '77&amp;rsquor;|0:2|Marek Kusto|for Włodzimierz Smolarek']"/>
    <s v="['28&amp;rsquor;|0:1|Gianpiero Marini|for Giancarlo Antognoni', '70&amp;rsquor;|0:1|Alessandro Altobelli|for Francesco Graziani']"/>
  </r>
  <r>
    <s v="West Germany"/>
    <s v="France"/>
    <n v="3"/>
    <m/>
    <n v="5"/>
    <n v="3"/>
    <m/>
    <n v="4"/>
    <s v="Jupp Derwall"/>
    <s v="Manfred Kaltz"/>
    <s v="Michel Hidalgo"/>
    <s v="Michel Platini"/>
    <n v="70000"/>
    <s v="Ramon Sanchez Pizjuan, Seville"/>
    <s v="Charles Corver (Referee) · Bruno Galler (AR1) · Robert Valentine (AR2)"/>
    <x v="2"/>
    <x v="247"/>
    <s v="(5) 3–3 (4)"/>
    <s v="Charles Corver"/>
    <s v="West Germany won on penalty kicks following extra time"/>
    <x v="10"/>
    <x v="10"/>
    <s v="Pierre Littbarski · 17|Karl-Heinz Rummenigge · 102|Klaus Fischer · 108"/>
    <s v="Marius Trésor · 92|Alain Giresse · 98"/>
    <s v="['17&amp;rsquor;|1:0|Pierre Littbarski', '102&amp;rsquor;|2:3|Karl-Heinz Rummenigge', '108&amp;rsquor;|3:3|Klaus Fischer']"/>
    <s v="['92&amp;rsquor;|1:2|Marius Trésor', '98&amp;rsquor;|1:3|Alain Giresse']"/>
    <s v=""/>
    <s v=""/>
    <s v=""/>
    <s v="Michel Platini (P) · 26"/>
    <s v=""/>
    <s v=""/>
    <s v="['2|1:1|Manfred Kaltz', '4|2:2|Paul Breitner', '8|3:3|Pierre Littbarski', '10|4:4|Karl-Heinz Rummenigge', '12|5:4|Horst Hrubesch']"/>
    <s v="['1|0:1|Alain Giresse', '3|1:2|Manuel Amoros', '5|2:3|Dominique Rocheteau', '9|3:4|Michel Platini']"/>
    <s v="['6|2:3|Uli Stielike']"/>
    <s v="['7|2:3|Didier Six', '11|4:4|Maxime Bossis']"/>
    <s v=""/>
    <s v=""/>
    <s v=""/>
    <s v=""/>
    <s v="['46&amp;rsquor;|1:1|Bernd Förster']"/>
    <s v="['35&amp;rsquor;|1:1|Alain Giresse', '40&amp;rsquor;|1:1|Bernard Genghini']"/>
    <s v="['73&amp;rsquor;|1:1|Horst Hrubesch|for Felix Magath', '97&amp;rsquor;|1:2|Karl-Heinz Rummenigge|for Hans-Peter Briegel']"/>
    <s v="['50&amp;rsquor;|1:1|Patrick Battiston|for Bernard Genghini', '60&amp;rsquor;|1:1|Christian Lopez|for Patrick Battiston']"/>
  </r>
  <r>
    <s v="Italy"/>
    <s v="Brazil"/>
    <n v="3"/>
    <m/>
    <m/>
    <n v="2"/>
    <m/>
    <m/>
    <s v="Enzo Bearzot"/>
    <s v="Dino Zoff"/>
    <s v="Tele Santana"/>
    <s v="Sócrates"/>
    <n v="44000"/>
    <s v="Sarria, Barcelona"/>
    <s v="Abraham Klein (Referee) · Thomson Tam Sun Chan (AR1) · Bogdan Dotchev (AR2)"/>
    <x v="6"/>
    <x v="248"/>
    <s v="3–2"/>
    <s v="Abraham Klein"/>
    <s v=""/>
    <x v="10"/>
    <x v="10"/>
    <s v="Paolo Rossi · 5|Paolo Rossi · 25|Paolo Rossi · 74"/>
    <s v="Sócrates · 12|Paulo Roberto Falcão · 68"/>
    <s v="['5&amp;rsquor;|1:0|Paolo Rossi', '25&amp;rsquor;|2:1|Paolo Rossi', '74&amp;rsquor;|3:2|Paolo Rossi']"/>
    <s v="['12&amp;rsquor;|1:1|Sócrates', '68&amp;rsquor;|2:2|Paulo Roberto Falcão']"/>
    <s v=""/>
    <s v=""/>
    <s v=""/>
    <s v=""/>
    <s v=""/>
    <s v=""/>
    <s v=""/>
    <s v=""/>
    <s v=""/>
    <s v=""/>
    <s v=""/>
    <s v=""/>
    <s v=""/>
    <s v=""/>
    <s v="['13&amp;rsquor;|1:1|Claudio Gentile', '78&amp;rsquor;|3:2|Gabriele Oriali']"/>
    <s v=""/>
    <s v="['34&amp;rsquor;|2:1|Giuseppe Bergomi|for Fulvio Collovati', '75&amp;rsquor;|3:2|Gianpiero Marini|for Marco Tardelli']"/>
    <s v="['69&amp;rsquor;|2:2|Paulo Isidoro|for Serginho Chulapa']"/>
  </r>
  <r>
    <s v="Spain"/>
    <s v="England"/>
    <n v="0"/>
    <m/>
    <m/>
    <n v="0"/>
    <m/>
    <m/>
    <s v="Jose Santamaria"/>
    <s v="Luis Arconada"/>
    <s v="Ron Greenwood"/>
    <s v="Mick Mills"/>
    <n v="75000"/>
    <s v="Santiago Bernabeu, Madrid"/>
    <s v="Alexis Ponnet (Referee) · Michel Vautrot (AR1) · Belaid Lacarne (AR2)"/>
    <x v="6"/>
    <x v="248"/>
    <s v="0–0"/>
    <s v="Alexis Ponnet"/>
    <s v=""/>
    <x v="10"/>
    <x v="10"/>
    <s v=""/>
    <s v=""/>
    <s v=""/>
    <s v=""/>
    <s v=""/>
    <s v=""/>
    <s v=""/>
    <s v=""/>
    <s v=""/>
    <s v=""/>
    <s v=""/>
    <s v=""/>
    <s v=""/>
    <s v=""/>
    <s v=""/>
    <s v=""/>
    <s v=""/>
    <s v=""/>
    <s v=""/>
    <s v="['15&amp;rsquor;|0:0|Ray Wilkins']"/>
    <s v="['67&amp;rsquor;|0:0|Pedro Uralde|for Enrique Saura', '73&amp;rsquor;|0:0|Antonio Maceda|for Miguel Tendillo']"/>
    <s v="['63&amp;rsquor;|0:0|Trevor Brooking|for Graham Rix', '64&amp;rsquor;|0:0|Kevin Keegan|for Tony Woodcock']"/>
  </r>
  <r>
    <s v="France"/>
    <s v="Northern Ireland"/>
    <n v="4"/>
    <m/>
    <m/>
    <n v="1"/>
    <m/>
    <m/>
    <s v="Michel Hidalgo"/>
    <s v="Michel Platini"/>
    <s v="Billy Bingham"/>
    <s v="Martin O'Neill"/>
    <n v="37000"/>
    <s v="Vicente Calderon, Madrid"/>
    <s v="Alojzy Jarguz (Referee) · Nicolae Rainea (AR1) · Yusef Mohamed El Ghoul (AR2)"/>
    <x v="6"/>
    <x v="249"/>
    <s v="4–1"/>
    <s v="Alojzy Jarguz"/>
    <s v=""/>
    <x v="10"/>
    <x v="10"/>
    <s v="Alain Giresse · 33|Dominique Rocheteau · 46|Dominique Rocheteau · 68|Alain Giresse · 80"/>
    <s v="Gerry Armstrong · 75"/>
    <s v="['33&amp;rsquor;|1:0|Alain Giresse', '46&amp;rsquor;|2:0|Dominique Rocheteau', '68&amp;rsquor;|3:0|Dominique Rocheteau', '80&amp;rsquor;|4:1|Alain Giresse']"/>
    <s v="['75&amp;rsquor;|3:1|Gerry Armstrong']"/>
    <s v=""/>
    <s v=""/>
    <s v=""/>
    <s v=""/>
    <s v=""/>
    <s v=""/>
    <s v=""/>
    <s v=""/>
    <s v=""/>
    <s v=""/>
    <s v=""/>
    <s v=""/>
    <s v=""/>
    <s v=""/>
    <s v="['57&amp;rsquor;|2:0|Jean Tigana']"/>
    <s v="['59&amp;rsquor;|2:0|Billy Hamilton']"/>
    <s v="['63&amp;rsquor;|2:0|Didier Six|for Gérard Soler', '83&amp;rsquor;|4:1|Alain Couriol|for Dominique Rocheteau']"/>
    <s v="[&quot;86&amp;rsquor;|4:1|John O'Neill|for David McCreery&quot;]"/>
  </r>
  <r>
    <s v="Poland"/>
    <s v="Soviet Union"/>
    <n v="0"/>
    <m/>
    <m/>
    <n v="0"/>
    <m/>
    <m/>
    <s v="Antoni Piechniczek"/>
    <s v="Władysław Żmuda"/>
    <s v="Konstantin Beskov"/>
    <s v="Aleksandre Chivadze"/>
    <n v="65000"/>
    <s v="Camp Nou, Barcelona"/>
    <s v="Robert Valentine (Referee) · Henning Lund-Sorensen (AR1) · Clive White (AR2)"/>
    <x v="6"/>
    <x v="249"/>
    <s v="0–0"/>
    <s v="Robert Valentine"/>
    <s v=""/>
    <x v="10"/>
    <x v="10"/>
    <s v=""/>
    <s v=""/>
    <s v=""/>
    <s v=""/>
    <s v=""/>
    <s v=""/>
    <s v=""/>
    <s v=""/>
    <s v=""/>
    <s v=""/>
    <s v=""/>
    <s v=""/>
    <s v=""/>
    <s v=""/>
    <s v=""/>
    <s v=""/>
    <s v=""/>
    <s v=""/>
    <s v="['65&amp;rsquor;|0:0|Andrzej Buncol', '88&amp;rsquor;|0:0|Zbigniew Boniek']"/>
    <s v="['1&amp;rsquor;|0:0|Aleksandre Chivadze', '87&amp;rsquor;|0:0|Sergei Borovsky', '90&amp;rsquor;|0:0|Sergei Pavlovich Baltacha']"/>
    <s v="['52&amp;rsquor;|0:0|Włodzimierz Ciołek|for Janusz Kupcewicz']"/>
    <s v="['57&amp;rsquor;|0:0|Sergey Andreyev|for Ramaz Shengelia', '78&amp;rsquor;|0:0|Vitaly Daraselia|for Yuri Gavrilov']"/>
  </r>
  <r>
    <s v="Argentina"/>
    <s v="Brazil"/>
    <n v="1"/>
    <m/>
    <m/>
    <n v="3"/>
    <m/>
    <m/>
    <s v="Cesar Luis Menotti"/>
    <s v="Daniel Passarella"/>
    <s v="Tele Santana"/>
    <s v="Sócrates"/>
    <n v="44000"/>
    <s v="Sarria, Barcelona"/>
    <s v="Mario Rubio Vazquez (Referee) · Gilberto Aristizabal Murcia (AR1) · Gaston Castro (AR2)"/>
    <x v="6"/>
    <x v="250"/>
    <s v="1–3"/>
    <s v="Mario Rubio Vazquez"/>
    <s v=""/>
    <x v="10"/>
    <x v="10"/>
    <s v="Ramón Díaz · 89"/>
    <s v="Zico · 11|Serginho Chulapa · 66|Leovegildo Lins da Gama Júnior · 75"/>
    <s v="['89&amp;rsquor;|1:3|Ramón Díaz']"/>
    <s v="['11&amp;rsquor;|0:1|Zico', '66&amp;rsquor;|0:2|Serginho Chulapa', '75&amp;rsquor;|0:3|Leovegildo Lins da Gama Júnior']"/>
    <s v=""/>
    <s v=""/>
    <s v=""/>
    <s v=""/>
    <s v=""/>
    <s v=""/>
    <s v=""/>
    <s v=""/>
    <s v=""/>
    <s v=""/>
    <s v="Diego Maradona · 85"/>
    <s v=""/>
    <s v=""/>
    <s v=""/>
    <s v="['33&amp;rsquor;|0:1|Daniel Passarella']"/>
    <s v="['77&amp;rsquor;|0:3|Waldir Peres', '85&amp;rsquor;|0:3|Paulo Roberto Falcão']"/>
    <s v="['46&amp;rsquor;|0:1|Ramón Díaz|for Mario Kempes', '64&amp;rsquor;|0:1|Santiago Santamaría|for Daniel Bertoni']"/>
    <s v="['82&amp;rsquor;|0:3|Edevaldo de Freitas|for José Leandro Ferreira', '83&amp;rsquor;|0:3|João Batista da Silva|for Zico']"/>
  </r>
  <r>
    <s v="West Germany"/>
    <s v="Spain"/>
    <n v="2"/>
    <m/>
    <m/>
    <n v="1"/>
    <m/>
    <m/>
    <s v="Jupp Derwall"/>
    <s v="Karl-Heinz Rummenigge"/>
    <s v="Jose Santamaria"/>
    <s v="Luis Arconada"/>
    <n v="90089"/>
    <s v="Santiago Bernabeu, Madrid"/>
    <s v="Paolo Casarin (Referee) · Franz Woehrer (AR1) · Karoly Palotai (AR2)"/>
    <x v="6"/>
    <x v="250"/>
    <s v="2–1"/>
    <s v="Paolo Casarin"/>
    <s v=""/>
    <x v="10"/>
    <x v="10"/>
    <s v="Pierre Littbarski · 50|Klaus Fischer · 75"/>
    <s v="Jesús María Zamora · 82"/>
    <s v="['50&amp;rsquor;|1:0|Pierre Littbarski', '75&amp;rsquor;|2:0|Klaus Fischer']"/>
    <s v="['82&amp;rsquor;|2:1|Jesús María Zamora']"/>
    <s v=""/>
    <s v=""/>
    <s v=""/>
    <s v=""/>
    <s v=""/>
    <s v=""/>
    <s v=""/>
    <s v=""/>
    <s v=""/>
    <s v=""/>
    <s v=""/>
    <s v=""/>
    <s v=""/>
    <s v=""/>
    <s v="['1&amp;rsquor;|0:0|Klaus Fischer', '84&amp;rsquor;|2:1|Hans-Peter Briegel']"/>
    <s v="['9&amp;rsquor;|0:0|José Ramón Alexanko', '83&amp;rsquor;|2:1|José Antonio Camacho', '84&amp;rsquor;|2:1|José Sanchez']"/>
    <s v="['46&amp;rsquor;|0:0|Uwe Reinders|for Karl-Heinz Rummenigge']"/>
    <s v="['46&amp;rsquor;|0:0|Roberto López Ufarte|for Juanito', '65&amp;rsquor;|1:0|José Sanchez|for Quini']"/>
  </r>
  <r>
    <s v="Austria"/>
    <s v="Northern Ireland"/>
    <n v="2"/>
    <m/>
    <m/>
    <n v="2"/>
    <m/>
    <m/>
    <s v="Georg Schmidt"/>
    <s v="Erich Obermayer"/>
    <s v="Billy Bingham"/>
    <s v="Martin O'Neill"/>
    <n v="20000"/>
    <s v="Vicente Calderon, Madrid"/>
    <s v="Adolf Prokop (Referee) · Erik Fredriksson (AR1) · Walter Eschweiler (AR2)"/>
    <x v="6"/>
    <x v="251"/>
    <s v="2–2"/>
    <s v="Adolf Prokop"/>
    <s v=""/>
    <x v="10"/>
    <x v="10"/>
    <s v="Bruno Pezzey · 50|Reinhold Hintermaier · 68"/>
    <s v="Billy Hamilton · 27|Billy Hamilton · 75"/>
    <s v="['50&amp;rsquor;|1:1|Bruno Pezzey', '68&amp;rsquor;|2:1|Reinhold Hintermaier']"/>
    <s v="['27&amp;rsquor;|0:1|Billy Hamilton', '75&amp;rsquor;|2:2|Billy Hamilton']"/>
    <s v=""/>
    <s v=""/>
    <s v=""/>
    <s v=""/>
    <s v=""/>
    <s v=""/>
    <s v=""/>
    <s v=""/>
    <s v=""/>
    <s v=""/>
    <s v=""/>
    <s v=""/>
    <s v=""/>
    <s v=""/>
    <s v="['86&amp;rsquor;|2:2|Anton Pichler']"/>
    <s v=""/>
    <s v="['46&amp;rsquor;|0:1|Reinhold Hintermaier|for Johann Pregesbauer', '46&amp;rsquor;|0:1|Kurt Welzl|for Max Hagmayr']"/>
    <s v="['68&amp;rsquor;|2:1|Noel Brotherston|for Norman Whiteside']"/>
  </r>
  <r>
    <s v="Belgium"/>
    <s v="Soviet Union"/>
    <n v="0"/>
    <m/>
    <m/>
    <n v="1"/>
    <m/>
    <m/>
    <s v="Guy Thys"/>
    <s v="Walter Meeuws"/>
    <s v="Konstantin Beskov"/>
    <s v="Aleksandre Chivadze"/>
    <n v="45000"/>
    <s v="Camp Nou, Barcelona"/>
    <s v="Michel Vautrot (Referee) · Charles Corver (AR1) · Antonio Garrido (AR2)"/>
    <x v="6"/>
    <x v="251"/>
    <s v="0–1"/>
    <s v="Michel Vautrot"/>
    <s v=""/>
    <x v="10"/>
    <x v="10"/>
    <s v=""/>
    <s v="Khoren Oganesian · 48"/>
    <s v=""/>
    <s v="['48&amp;rsquor;|0:1|Khoren Oganesian']"/>
    <s v=""/>
    <s v=""/>
    <s v=""/>
    <s v=""/>
    <s v=""/>
    <s v=""/>
    <s v=""/>
    <s v=""/>
    <s v=""/>
    <s v=""/>
    <s v=""/>
    <s v=""/>
    <s v=""/>
    <s v=""/>
    <s v=""/>
    <s v="['1&amp;rsquor;|0:0|Volodymyr Bezsonov']"/>
    <s v="['65&amp;rsquor;|0:1|Marc Millecamps|for Maurits De Schrijver', '67&amp;rsquor;|0:1|Alexandre Czerniatynski|for Guy Vandersmissen']"/>
    <s v="['87&amp;rsquor;|0:1|Vitaly Daraselia|for Andriy Bal', '89&amp;rsquor;|0:1|Sergey Rodionov']"/>
  </r>
  <r>
    <s v="Italy"/>
    <s v="Argentina"/>
    <n v="2"/>
    <m/>
    <m/>
    <n v="1"/>
    <m/>
    <m/>
    <s v="Enzo Bearzot"/>
    <s v="Dino Zoff"/>
    <s v="Cesar Luis Menotti"/>
    <s v="Daniel Passarella"/>
    <n v="43000"/>
    <s v="Sarria, Barcelona"/>
    <s v="Nicolae Rainea (Referee) · Bruno Galler (AR1) · Belaid Lacarne (AR2)"/>
    <x v="6"/>
    <x v="252"/>
    <s v="2–1"/>
    <s v="Nicolae Rainea"/>
    <s v=""/>
    <x v="10"/>
    <x v="10"/>
    <s v="Marco Tardelli · 57|Antonio Cabrini · 67"/>
    <s v="Daniel Passarella · 83"/>
    <s v="['57&amp;rsquor;|1:0|Marco Tardelli', '67&amp;rsquor;|2:0|Antonio Cabrini']"/>
    <s v="['83&amp;rsquor;|2:1|Daniel Passarella']"/>
    <s v=""/>
    <s v=""/>
    <s v=""/>
    <s v=""/>
    <s v=""/>
    <s v=""/>
    <s v=""/>
    <s v=""/>
    <s v=""/>
    <s v=""/>
    <s v=""/>
    <s v="Américo Gallego · 84"/>
    <s v=""/>
    <s v=""/>
    <s v="['1&amp;rsquor;|0:0|Claudio Gentile', '15&amp;rsquor;|0:0|Paolo Rossi']"/>
    <s v="['32&amp;rsquor;|0:0|Mario Kempes', '35&amp;rsquor;|0:0|Diego Maradona', '39&amp;rsquor;|0:0|Osvaldo Ardiles']"/>
    <s v="['75&amp;rsquor;|2:0|Gianpiero Marini|for Gabriele Oriali', '80&amp;rsquor;|2:0|Alessandro Altobelli|for Paolo Rossi']"/>
    <s v="['58&amp;rsquor;|1:0|José Daniel Valencia', '58&amp;rsquor;|1:0|Gabriel Calderón|for Mario Kempes']"/>
  </r>
  <r>
    <s v="West Germany"/>
    <s v="England"/>
    <n v="0"/>
    <m/>
    <m/>
    <n v="0"/>
    <m/>
    <m/>
    <s v="Jupp Derwall"/>
    <s v="Karl-Heinz Rummenigge"/>
    <s v="Ron Greenwood"/>
    <s v="Mick Mills"/>
    <n v="75000"/>
    <s v="Santiago Bernabeu, Madrid"/>
    <s v="Arnaldo Coelho (Referee) · Hector Ortiz (AR1) · Romulo Mendez Molina (AR2)"/>
    <x v="6"/>
    <x v="252"/>
    <s v="0–0"/>
    <s v="Arnaldo Coelho"/>
    <s v=""/>
    <x v="10"/>
    <x v="10"/>
    <s v=""/>
    <s v=""/>
    <s v=""/>
    <s v=""/>
    <s v=""/>
    <s v=""/>
    <s v=""/>
    <s v=""/>
    <s v=""/>
    <s v=""/>
    <s v=""/>
    <s v=""/>
    <s v=""/>
    <s v=""/>
    <s v=""/>
    <s v=""/>
    <s v=""/>
    <s v=""/>
    <s v="['68&amp;rsquor;|0:0|Uli Stielike']"/>
    <s v=""/>
    <s v="['63&amp;rsquor;|0:0|Pierre Littbarski|for Uwe Reinders', '74&amp;rsquor;|0:0|Klaus Fischer|for Hansi Müller']"/>
    <s v="['77&amp;rsquor;|0:0|Tony Woodcock|for Trevor Francis']"/>
  </r>
  <r>
    <s v="Austria"/>
    <s v="France"/>
    <n v="0"/>
    <m/>
    <m/>
    <n v="1"/>
    <m/>
    <m/>
    <s v="Georg Schmidt"/>
    <s v="Erich Obermayer"/>
    <s v="Michel Hidalgo"/>
    <s v="Marius Trésor"/>
    <n v="37000"/>
    <s v="Vicente Calderon, Madrid"/>
    <s v="Karoly Palotai (Referee) · Vojtech Christov (AR1) · Damir Matovinovic (AR2)"/>
    <x v="6"/>
    <x v="253"/>
    <s v="0–1"/>
    <s v="Karoly Palotai"/>
    <s v=""/>
    <x v="10"/>
    <x v="10"/>
    <s v=""/>
    <s v="Bernard Genghini · 39"/>
    <s v=""/>
    <s v="['39&amp;rsquor;|0:1|Bernard Genghini']"/>
    <s v=""/>
    <s v=""/>
    <s v=""/>
    <s v=""/>
    <s v=""/>
    <s v=""/>
    <s v=""/>
    <s v=""/>
    <s v=""/>
    <s v=""/>
    <s v=""/>
    <s v=""/>
    <s v=""/>
    <s v=""/>
    <s v="['60&amp;rsquor;|0:1|Erich Obermayer']"/>
    <s v=""/>
    <s v="['46&amp;rsquor;|0:1|Ernst Baumeister|for Josef Degeorgi', '46&amp;rsquor;|0:1|Kurt Welzl|for Kurt Jara']"/>
    <s v="['15&amp;rsquor;|0:0|Dominique Rocheteau|for Bernard Lacombe', '85&amp;rsquor;|0:1|René Girard']"/>
  </r>
  <r>
    <s v="Poland"/>
    <s v="Belgium"/>
    <n v="3"/>
    <m/>
    <m/>
    <n v="0"/>
    <m/>
    <m/>
    <s v="Antoni Piechniczek"/>
    <s v="Władysław Żmuda"/>
    <s v="Guy Thys"/>
    <s v="Walter Meeuws"/>
    <n v="65000"/>
    <s v="Camp Nou, Barcelona"/>
    <s v="Jesus Paulino Siles (Referee) · Enrique Labo Revoredo (AR1) · Gaston Castro (AR2)"/>
    <x v="6"/>
    <x v="253"/>
    <s v="3–0"/>
    <s v="Jesus Paulino Siles"/>
    <s v=""/>
    <x v="10"/>
    <x v="10"/>
    <s v="Zbigniew Boniek · 4|Zbigniew Boniek · 26|Zbigniew Boniek · 53"/>
    <s v=""/>
    <s v="['4&amp;rsquor;|1:0|Zbigniew Boniek', '26&amp;rsquor;|2:0|Zbigniew Boniek', '53&amp;rsquor;|3:0|Zbigniew Boniek']"/>
    <s v=""/>
    <s v=""/>
    <s v=""/>
    <s v=""/>
    <s v=""/>
    <s v=""/>
    <s v=""/>
    <s v=""/>
    <s v=""/>
    <s v=""/>
    <s v=""/>
    <s v=""/>
    <s v=""/>
    <s v=""/>
    <s v=""/>
    <s v="['48&amp;rsquor;|2:0|Włodzimierz Smolarek']"/>
    <s v=""/>
    <s v="['82&amp;rsquor;|3:0|Włodzimierz Ciołek|for Janusz Kupcewicz']"/>
    <s v="['46&amp;rsquor;|2:0|François Van der Elst|for Wilfried Van Moer', '88&amp;rsquor;|3:0|Marc Baecke']"/>
  </r>
  <r>
    <s v="England"/>
    <s v="Kuwait"/>
    <n v="1"/>
    <m/>
    <m/>
    <n v="0"/>
    <m/>
    <m/>
    <s v="Ron Greenwood"/>
    <s v="Mick Mills"/>
    <s v="Carlos Alberto Parreira"/>
    <s v="Saad Al-Houti"/>
    <n v="39700"/>
    <s v="San Mames, Bilbao"/>
    <s v="Gilberto Aristizabal Murcia (Referee) · Henning Lund-Sorensen (AR1) · Jose L. Garcia Carrion (AR2)"/>
    <x v="7"/>
    <x v="254"/>
    <s v="1–0"/>
    <s v="Gilberto Aristizabal Murcia"/>
    <s v=""/>
    <x v="10"/>
    <x v="10"/>
    <s v="Trevor Francis · 27"/>
    <s v=""/>
    <s v="['27&amp;rsquor;|1:0|Trevor Francis']"/>
    <s v=""/>
    <s v=""/>
    <s v=""/>
    <s v=""/>
    <s v=""/>
    <s v=""/>
    <s v=""/>
    <s v=""/>
    <s v=""/>
    <s v=""/>
    <s v=""/>
    <s v=""/>
    <s v=""/>
    <s v=""/>
    <s v=""/>
    <s v="['43&amp;rsquor;|1:0|Paul Mariner']"/>
    <s v="['44&amp;rsquor;|1:0|Naeem Saad']"/>
    <s v=""/>
    <s v="['76&amp;rsquor;|1:0|Hamoud Al-Shemmari|for Waleed Al-Jasem']"/>
  </r>
  <r>
    <s v="West Germany"/>
    <s v="Austria"/>
    <n v="1"/>
    <m/>
    <m/>
    <n v="0"/>
    <m/>
    <m/>
    <s v="Jupp Derwall"/>
    <s v="Karl-Heinz Rummenigge"/>
    <s v="Georg Schmidt"/>
    <s v="Erich Obermayer"/>
    <n v="41000"/>
    <s v="El Molinon, Gijon"/>
    <s v="Robert Valentine (Referee) · Ebrahim Al Doy (AR1) · Arnaldo Coelho (AR2)"/>
    <x v="7"/>
    <x v="254"/>
    <s v="1–0"/>
    <s v="Robert Valentine"/>
    <s v=""/>
    <x v="10"/>
    <x v="10"/>
    <s v="Horst Hrubesch · 10"/>
    <s v=""/>
    <s v="['10&amp;rsquor;|1:0|Horst Hrubesch']"/>
    <s v=""/>
    <s v=""/>
    <s v=""/>
    <s v=""/>
    <s v=""/>
    <s v=""/>
    <s v=""/>
    <s v=""/>
    <s v=""/>
    <s v=""/>
    <s v=""/>
    <s v=""/>
    <s v=""/>
    <s v=""/>
    <s v=""/>
    <s v=""/>
    <s v="['32&amp;rsquor;|1:0|Walter Schachner', '32&amp;rsquor;|1:0|Reinhold Hintermaier']"/>
    <s v="['66&amp;rsquor;|1:0|Lothar Matthäus|for Karl-Heinz Rummenigge', '69&amp;rsquor;|1:0|Klaus Fischer|for Horst Hrubesch']"/>
    <s v=""/>
  </r>
  <r>
    <s v="Northern Ireland"/>
    <s v="Spain"/>
    <n v="1"/>
    <m/>
    <m/>
    <n v="0"/>
    <m/>
    <m/>
    <s v="Billy Bingham"/>
    <s v="Martin O'Neill"/>
    <s v="Jose Santamaria"/>
    <s v="Luis Arconada"/>
    <n v="49562"/>
    <s v="Luis Casanova, Valencia"/>
    <s v="Hector Ortiz (Referee) · Enrique Labo Revoredo (AR1) · Alexis Ponnet (AR2)"/>
    <x v="7"/>
    <x v="254"/>
    <s v="1–0"/>
    <s v="Hector Ortiz"/>
    <s v=""/>
    <x v="10"/>
    <x v="10"/>
    <s v="Gerry Armstrong · 47"/>
    <s v=""/>
    <s v="['47&amp;rsquor;|1:0|Gerry Armstrong']"/>
    <s v=""/>
    <s v=""/>
    <s v=""/>
    <s v=""/>
    <s v=""/>
    <s v=""/>
    <s v=""/>
    <s v=""/>
    <s v=""/>
    <s v=""/>
    <s v=""/>
    <s v="Mal Donaghy · 62"/>
    <s v=""/>
    <s v=""/>
    <s v=""/>
    <s v="['41&amp;rsquor;|0:0|Billy Hamilton', '42&amp;rsquor;|0:0|Sammy McIlroy']"/>
    <s v="['20&amp;rsquor;|0:0|Juanito']"/>
    <s v="['50&amp;rsquor;|1:0|Tommy Cassidy|for Sammy McIlroy', '73&amp;rsquor;|1:0|Sammy Nelson|for Norman Whiteside']"/>
    <s v="['46&amp;rsquor;|0:0|Quini|for Jesús María Satrústegui', '78&amp;rsquor;|1:0|Ricardo Gallego|for Roberto López Ufarte']"/>
  </r>
  <r>
    <s v="France"/>
    <s v="Czechoslovakia"/>
    <n v="1"/>
    <m/>
    <m/>
    <n v="1"/>
    <m/>
    <m/>
    <s v="Michel Hidalgo"/>
    <s v="Michel Platini"/>
    <s v="Jozef Venglos"/>
    <s v="Zdeněk Nehoda"/>
    <n v="28000"/>
    <s v="Jose Zorrilla, Valladolid"/>
    <s v="Paolo Casarin (Referee) · Benjamin Dwomoh (AR1) · Karoly Palotai (AR2)"/>
    <x v="7"/>
    <x v="255"/>
    <s v="1–1"/>
    <s v="Paolo Casarin"/>
    <s v=""/>
    <x v="10"/>
    <x v="10"/>
    <s v="Didier Six · 66"/>
    <s v=""/>
    <s v="['66&amp;rsquor;|1:0|Didier Six']"/>
    <s v=""/>
    <s v=""/>
    <s v=""/>
    <s v=""/>
    <s v="Antonín Panenka (P) · 84"/>
    <s v=""/>
    <s v=""/>
    <s v=""/>
    <s v=""/>
    <s v=""/>
    <s v=""/>
    <s v=""/>
    <s v="Ladislav Vízek · 87"/>
    <s v=""/>
    <s v=""/>
    <s v="['47&amp;rsquor;|0:0|Manuel Amoros']"/>
    <s v="['75&amp;rsquor;|1:0|Antonín Panenka']"/>
    <s v="['70&amp;rsquor;|1:0|Alain Couriol|for Bernard Lacombe', '89&amp;rsquor;|1:1|René Girard|for Gérard Soler']"/>
    <s v="['31&amp;rsquor;|0:0|Marián Masný|for Tomáš Kříž', '70&amp;rsquor;|1:0|Antonín Panenka|for Petr Janečka']"/>
  </r>
  <r>
    <s v="Algeria"/>
    <s v="Chile"/>
    <n v="3"/>
    <m/>
    <m/>
    <n v="2"/>
    <m/>
    <m/>
    <s v="Rachid Mekhloufi"/>
    <s v="Ali Fergani"/>
    <s v="Luis Alberto Santibanez"/>
    <s v="Elías Figueroa"/>
    <n v="16000"/>
    <s v="Carlos Tartiere, Oviedo"/>
    <s v="Romulo Mendez Molina (Referee) · Erik Fredriksson (AR1) · Arnaldo Coelho (AR2)"/>
    <x v="7"/>
    <x v="255"/>
    <s v="3–2"/>
    <s v="Romulo Mendez Molina"/>
    <s v=""/>
    <x v="10"/>
    <x v="10"/>
    <s v="Salah Assad · 7|Salah Assad · 31|Tedj Bensaoula · 35"/>
    <s v="Juan Carlos Letelier · 73"/>
    <s v="['7&amp;rsquor;|1:0|Salah Assad', '31&amp;rsquor;|2:0|Salah Assad', '35&amp;rsquor;|3:0|Tedj Bensaoula']"/>
    <s v="['73&amp;rsquor;|3:2|Juan Carlos Letelier']"/>
    <s v=""/>
    <s v=""/>
    <s v=""/>
    <s v="Miguel Ángel Neira (P) · 59"/>
    <s v=""/>
    <s v=""/>
    <s v=""/>
    <s v=""/>
    <s v=""/>
    <s v=""/>
    <s v=""/>
    <s v=""/>
    <s v=""/>
    <s v=""/>
    <s v=""/>
    <s v="['1&amp;rsquor;|0:0|Juan Carlos Letelier']"/>
    <s v="['31&amp;rsquor;|2:0|Hocine Yahi|for Abdelmajid Bourebbou', '75&amp;rsquor;|3:2|Mustapha Dahleb|for Faouzi Mansouri']"/>
    <s v="['37&amp;rsquor;|3:0|Mario Soto|for Eduardo Bonvallet', '58&amp;rsquor;|3:0|Juan Carlos Letelier']"/>
  </r>
  <r>
    <s v="Honduras"/>
    <s v="Yugoslavia"/>
    <n v="0"/>
    <m/>
    <m/>
    <n v="1"/>
    <m/>
    <m/>
    <s v="Jose De La Paz"/>
    <s v="Ramón Maradiaga"/>
    <s v="Miljan Miljanic"/>
    <s v="Ivica Šurjak"/>
    <n v="25000"/>
    <s v="La Romareda, Zaragoza"/>
    <s v="Gaston Castro (Referee) · Jesus Paulino Siles (AR1) · Arturo Andres Ithurralde (AR2)"/>
    <x v="7"/>
    <x v="255"/>
    <s v="0–1"/>
    <s v="Gaston Castro"/>
    <s v=""/>
    <x v="10"/>
    <x v="10"/>
    <s v=""/>
    <s v=""/>
    <s v=""/>
    <s v=""/>
    <s v=""/>
    <s v=""/>
    <s v=""/>
    <s v="Vladimir Petrović (P) · 88"/>
    <s v=""/>
    <s v=""/>
    <s v=""/>
    <s v=""/>
    <s v=""/>
    <s v=""/>
    <s v="Gilberto Yearwood · 89"/>
    <s v=""/>
    <s v=""/>
    <s v=""/>
    <s v="['85&amp;rsquor;|0:0|Ramón Maradiaga']"/>
    <s v="['81&amp;rsquor;|0:0|Zlatko Krmpotić']"/>
    <s v="['65&amp;rsquor;|0:0|Eduardo Laing|for Juan Cruz Murillo']"/>
    <s v="['46&amp;rsquor;|0:0|Vahid Halilhodžić|for Nikola Jovanović', '62&amp;rsquor;|0:0|Miloš Šestić|for Zlatko Vujović']"/>
  </r>
  <r>
    <s v="Italy"/>
    <s v="Cameroon"/>
    <n v="1"/>
    <m/>
    <m/>
    <n v="1"/>
    <m/>
    <m/>
    <s v="Enzo Bearzot"/>
    <s v="Dino Zoff"/>
    <s v="Jean Vincent"/>
    <s v="Thomas N'Kono"/>
    <n v="20000"/>
    <s v="Estadio Municipal de Balaï¿½dos, Vigo"/>
    <s v="Bogdan Dotchev (Referee) · Emilio Soriano Aladren (AR1) · Victoriano Sanchez Arminio (AR2)"/>
    <x v="7"/>
    <x v="256"/>
    <s v="1–1"/>
    <s v="Bogdan Dotchev"/>
    <s v=""/>
    <x v="10"/>
    <x v="10"/>
    <s v="Francesco Graziani · 60"/>
    <s v="Grégoire M'Bida · 61"/>
    <s v="['60&amp;rsquor;|1:0|Francesco Graziani']"/>
    <s v="[&quot;61&amp;rsquor;|1:1|Grégoire M'Bida&quot;]"/>
    <s v=""/>
    <s v=""/>
    <s v=""/>
    <s v=""/>
    <s v=""/>
    <s v=""/>
    <s v=""/>
    <s v=""/>
    <s v=""/>
    <s v=""/>
    <s v=""/>
    <s v=""/>
    <s v=""/>
    <s v=""/>
    <s v="['36&amp;rsquor;|0:0|Giancarlo Antognoni']"/>
    <s v="[&quot;36&amp;rsquor;|0:0|René N'Djeya&quot;]"/>
    <s v=""/>
    <s v=""/>
  </r>
  <r>
    <s v="Argentina"/>
    <s v="El Salvador"/>
    <n v="2"/>
    <m/>
    <m/>
    <n v="0"/>
    <m/>
    <m/>
    <s v="Cesar Luis Menotti"/>
    <s v="Daniel Passarella"/>
    <s v="Mauricio Rodriguez"/>
    <s v="Norberto Huezo"/>
    <n v="32500"/>
    <s v="Jose Rico Perez, Alicante"/>
    <s v="Luis Barrancos (Referee) · Augusto Lamo Castillo (AR1) · Belaid Lacarne (AR2)"/>
    <x v="7"/>
    <x v="256"/>
    <s v="2–0"/>
    <s v="Luis Barrancos"/>
    <s v=""/>
    <x v="10"/>
    <x v="10"/>
    <s v="Daniel Bertoni · 54"/>
    <s v=""/>
    <s v="['54&amp;rsquor;|2:0|Daniel Bertoni']"/>
    <s v=""/>
    <s v=""/>
    <s v=""/>
    <s v="Daniel Passarella (P) · 22"/>
    <s v=""/>
    <s v=""/>
    <s v=""/>
    <s v=""/>
    <s v=""/>
    <s v=""/>
    <s v=""/>
    <s v=""/>
    <s v=""/>
    <s v=""/>
    <s v=""/>
    <s v="['31&amp;rsquor;|1:0|Jorge Olguín', '44&amp;rsquor;|1:0|Américo Gallego']"/>
    <s v="['20&amp;rsquor;|0:0|Francisco Osorto', '26&amp;rsquor;|1:0|Luis Ramírez Zapata', '45&amp;rsquor;|1:0|Carlos Recinos']"/>
    <s v="['67&amp;rsquor;|2:0|Ramón Díaz|for Daniel Bertoni', '78&amp;rsquor;|2:0|Santiago Santamaría|for Gabriel Calderón']"/>
    <s v="['33&amp;rsquor;|1:0|Miguel Ángel Díaz|for Francisco Osorto', '78&amp;rsquor;|2:0|Mauricio Alfaro|for Joaquín Ventura']"/>
  </r>
  <r>
    <s v="Brazil"/>
    <s v="New Zealand"/>
    <n v="4"/>
    <m/>
    <m/>
    <n v="0"/>
    <m/>
    <m/>
    <s v="Tele Santana"/>
    <s v="Sócrates"/>
    <s v="John Adshead"/>
    <s v="Steve Sumner"/>
    <n v="43000"/>
    <s v="Benito Villamarin, Seville"/>
    <s v="Damir Matovinovic (Referee) · Abraham Klein (AR1) · Charles Corver (AR2)"/>
    <x v="7"/>
    <x v="256"/>
    <s v="4–0"/>
    <s v="Damir Matovinovic"/>
    <s v=""/>
    <x v="10"/>
    <x v="10"/>
    <s v="Zico · 28|Zico · 31|Paulo Roberto Falcão · 64|Serginho Chulapa · 70"/>
    <s v=""/>
    <s v="['28&amp;rsquor;|1:0|Zico', '31&amp;rsquor;|2:0|Zico', '64&amp;rsquor;|3:0|Paulo Roberto Falcão', '70&amp;rsquor;|4:0|Serginho Chulapa']"/>
    <s v=""/>
    <s v=""/>
    <s v=""/>
    <s v=""/>
    <s v=""/>
    <s v=""/>
    <s v=""/>
    <s v=""/>
    <s v=""/>
    <s v=""/>
    <s v=""/>
    <s v=""/>
    <s v=""/>
    <s v=""/>
    <s v=""/>
    <s v=""/>
    <s v=""/>
    <s v="['75&amp;rsquor;|4:0|Paulo Isidoro|for Serginho Chulapa', '75&amp;rsquor;|4:0|Edinho|for Oscar']"/>
    <s v="['78&amp;rsquor;|4:0|Brian Turner|for Kenny Cresswell', '78&amp;rsquor;|4:0|Duncan Cole|for Wynton Rufer']"/>
  </r>
  <r>
    <s v="Poland"/>
    <s v="Peru"/>
    <n v="5"/>
    <m/>
    <m/>
    <n v="1"/>
    <m/>
    <m/>
    <s v="Antoni Piechniczek"/>
    <s v="Władysław Żmuda"/>
    <s v="Tim"/>
    <s v="Rubén Toribio Díaz"/>
    <n v="25000"/>
    <s v="Riazor, La Coruï¿½A"/>
    <s v="Mario Rubio Vazquez (Referee) · Emilio Soriano Aladren (AR1) · Victoriano Sanchez Arminio (AR2)"/>
    <x v="7"/>
    <x v="257"/>
    <s v="5–1"/>
    <s v="Mario Rubio Vazquez"/>
    <s v=""/>
    <x v="10"/>
    <x v="10"/>
    <s v="Włodzimierz Smolarek · 55|Grzegorz Lato · 58|Zbigniew Boniek · 61|Andrzej Buncol · 68|Włodzimierz Ciołek · 76"/>
    <s v="Guillermo La Rosa · 83"/>
    <s v="['55&amp;rsquor;|1:0|Włodzimierz Smolarek', '58&amp;rsquor;|2:0|Grzegorz Lato', '61&amp;rsquor;|3:0|Zbigniew Boniek', '68&amp;rsquor;|4:0|Andrzej Buncol', '76&amp;rsquor;|5:0|Włodzimierz Ciołek']"/>
    <s v="['83&amp;rsquor;|5:1|Guillermo La Rosa']"/>
    <s v=""/>
    <s v=""/>
    <s v=""/>
    <s v=""/>
    <s v=""/>
    <s v=""/>
    <s v=""/>
    <s v=""/>
    <s v=""/>
    <s v=""/>
    <s v=""/>
    <s v=""/>
    <s v=""/>
    <s v=""/>
    <s v=""/>
    <s v="['31&amp;rsquor;|0:0|José Velásquez']"/>
    <s v="['26&amp;rsquor;|0:0|Marek Dziuba|for Jan Jałocha', '74&amp;rsquor;|4:0|Włodzimierz Ciołek|for Włodzimierz Smolarek']"/>
    <s v="['50&amp;rsquor;|0:0|Gerónimo Barbadillo|for Juan Carlos Oblitas', '50&amp;rsquor;|0:0|Julio César Uribe|for Teófilo Cubillas']"/>
  </r>
  <r>
    <s v="Belgium"/>
    <s v="Hungary"/>
    <n v="1"/>
    <m/>
    <m/>
    <n v="1"/>
    <m/>
    <m/>
    <s v="Guy Thys"/>
    <s v="Eric Gerets"/>
    <s v="Kalman Meszoly"/>
    <s v="Tibor Nyilasi"/>
    <n v="37000"/>
    <s v="Nuevo Estadio, Elche"/>
    <s v="Clive White (Referee) · Walter Eschweiler (AR1) · Belaid Lacarne (AR2)"/>
    <x v="7"/>
    <x v="257"/>
    <s v="1–1"/>
    <s v="Clive White"/>
    <s v=""/>
    <x v="10"/>
    <x v="10"/>
    <s v="Alexandre Czerniatynski · 76"/>
    <s v="József Varga · 27"/>
    <s v="['76&amp;rsquor;|1:1|Alexandre Czerniatynski']"/>
    <s v="['27&amp;rsquor;|0:1|József Varga']"/>
    <s v=""/>
    <s v=""/>
    <s v=""/>
    <s v=""/>
    <s v=""/>
    <s v=""/>
    <s v=""/>
    <s v=""/>
    <s v=""/>
    <s v=""/>
    <s v=""/>
    <s v=""/>
    <s v=""/>
    <s v=""/>
    <s v="['65&amp;rsquor;|0:1|Jean-Marie Pfaff', '79&amp;rsquor;|1:1|Walter Meeuws']"/>
    <s v=""/>
    <s v="['46&amp;rsquor;|0:1|Wilfried Van Moer|for Guy Vandersmissen', '62&amp;rsquor;|0:1|Gerard Plessers|for Eric Gerets']"/>
    <s v="['67&amp;rsquor;|0:1|Sándor Sallai|for Sándor Müller', '70&amp;rsquor;|0:1|Ferenc Csongrádi']"/>
  </r>
  <r>
    <s v="Soviet Union"/>
    <s v="Scotland"/>
    <n v="2"/>
    <m/>
    <m/>
    <n v="2"/>
    <m/>
    <m/>
    <s v="Konstantin Beskov"/>
    <s v="Aleksandre Chivadze"/>
    <s v="Jock Stein"/>
    <s v="Graeme Souness"/>
    <n v="45000"/>
    <s v="La Rosaleda, Malaga"/>
    <s v="Nicolae Rainea (Referee) · Alojzy Jarguz (AR1) · Alexis Ponnet (AR2)"/>
    <x v="7"/>
    <x v="257"/>
    <s v="2–2"/>
    <s v="Nicolae Rainea"/>
    <s v=""/>
    <x v="10"/>
    <x v="10"/>
    <s v="Aleksandre Chivadze · 59|Ramaz Shengelia · 84"/>
    <s v="Joe Jordan · 15|Graeme Souness · 86"/>
    <s v="['59&amp;rsquor;|1:1|Aleksandre Chivadze', '84&amp;rsquor;|2:1|Ramaz Shengelia']"/>
    <s v="['15&amp;rsquor;|0:1|Joe Jordan', '86&amp;rsquor;|2:2|Graeme Souness']"/>
    <s v=""/>
    <s v=""/>
    <s v=""/>
    <s v=""/>
    <s v=""/>
    <s v=""/>
    <s v=""/>
    <s v=""/>
    <s v=""/>
    <s v=""/>
    <s v=""/>
    <s v=""/>
    <s v=""/>
    <s v=""/>
    <s v=""/>
    <s v="['5&amp;rsquor;|0:0|Graeme Souness']"/>
    <s v="['88&amp;rsquor;|2:2|Sergey Andreyev|for Ramaz Shengelia']"/>
    <s v="['71&amp;rsquor;|1:1|Danny McGrain|for Gordon Strachan', '71&amp;rsquor;|1:1|Alan Brazil|for Joe Jordan']"/>
  </r>
  <r>
    <s v="Algeria"/>
    <s v="Austria"/>
    <n v="0"/>
    <m/>
    <m/>
    <n v="2"/>
    <m/>
    <m/>
    <s v="Rachid Mekhloufi"/>
    <s v="Ali Fergani"/>
    <s v="Georg Schmidt"/>
    <s v="Erich Obermayer"/>
    <n v="22000"/>
    <s v="Carlos Tartiere, Oviedo"/>
    <s v="Tony Boskovic (Referee) · Vojtech Christov (AR1) · Ebrahim Al Doy (AR2)"/>
    <x v="7"/>
    <x v="258"/>
    <s v="0–2"/>
    <s v="Tony Boskovic"/>
    <s v=""/>
    <x v="10"/>
    <x v="10"/>
    <s v=""/>
    <s v="Walter Schachner · 55|Hans Krankl · 67"/>
    <s v=""/>
    <s v="['55&amp;rsquor;|0:1|Walter Schachner', '67&amp;rsquor;|0:2|Hans Krankl']"/>
    <s v=""/>
    <s v=""/>
    <s v=""/>
    <s v=""/>
    <s v=""/>
    <s v=""/>
    <s v=""/>
    <s v=""/>
    <s v=""/>
    <s v=""/>
    <s v=""/>
    <s v=""/>
    <s v=""/>
    <s v=""/>
    <s v="['67&amp;rsquor;|0:2|Faouzi Mansouri']"/>
    <s v=""/>
    <s v="['65&amp;rsquor;|0:1|Tedj Bensaoula|for Lakhdar Belloumi', '76&amp;rsquor;|0:2|Djamel Tlemçani|for Mustapha Dahleb']"/>
    <s v="['46&amp;rsquor;|0:0|Kurt Welzl|for Ernst Baumeister', '80&amp;rsquor;|0:2|Heribert Weber|for Herbert Prohaska']"/>
  </r>
  <r>
    <s v="France"/>
    <s v="Kuwait"/>
    <n v="4"/>
    <m/>
    <m/>
    <n v="1"/>
    <m/>
    <m/>
    <s v="Michel Hidalgo"/>
    <s v="Michel Platini"/>
    <s v="Carlos Alberto Parreira"/>
    <s v="Saad Al-Houti"/>
    <n v="30043"/>
    <s v="Jose Zorrilla, Valladolid"/>
    <s v="Miroslav Stupar (Referee) · Erik Fredriksson (AR1) · Damir Matovinovic (AR2)"/>
    <x v="7"/>
    <x v="258"/>
    <s v="4–1"/>
    <s v="Miroslav Stupar"/>
    <s v=""/>
    <x v="10"/>
    <x v="10"/>
    <s v="Bernard Genghini · 31|Michel Platini · 43|Didier Six · 48|Maxime Bossis · 89"/>
    <s v="Abdullah Al-Buloushi · 75"/>
    <s v="['31&amp;rsquor;|1:0|Bernard Genghini', '43&amp;rsquor;|2:0|Michel Platini', '48&amp;rsquor;|3:0|Didier Six', '89&amp;rsquor;|4:1|Maxime Bossis']"/>
    <s v="['75&amp;rsquor;|3:1|Abdullah Al-Buloushi']"/>
    <s v=""/>
    <s v=""/>
    <s v=""/>
    <s v=""/>
    <s v=""/>
    <s v=""/>
    <s v=""/>
    <s v=""/>
    <s v=""/>
    <s v=""/>
    <s v=""/>
    <s v=""/>
    <s v=""/>
    <s v=""/>
    <s v="['68&amp;rsquor;|3:0|Manuel Amoros']"/>
    <s v="['30&amp;rsquor;|0:0|Abdulaziz Al-Anberi', '85&amp;rsquor;|3:1|Fathi Kameel']"/>
    <s v="['59&amp;rsquor;|3:0|Christian Lopez|for Gérard Janvion', '81&amp;rsquor;|3:1|René Girard|for Michel Platini']"/>
    <s v="['46&amp;rsquor;|2:0|Fathi Kameel|for Mohammed Karam', '78&amp;rsquor;|3:1|Hamoud Al-Shemmari|for Waleed Al-Jasem']"/>
  </r>
  <r>
    <s v="Honduras"/>
    <s v="Northern Ireland"/>
    <n v="1"/>
    <m/>
    <m/>
    <n v="1"/>
    <m/>
    <m/>
    <s v="Jose De La Paz"/>
    <s v="Ramón Maradiaga"/>
    <s v="Billy Bingham"/>
    <s v="Martin O'Neill"/>
    <n v="15000"/>
    <s v="La Romareda, Zaragoza"/>
    <s v="Thomson Tam Sun Chan (Referee) · Enrique Labo Revoredo (AR1) · Paolo Casarin (AR2)"/>
    <x v="7"/>
    <x v="258"/>
    <s v="1–1"/>
    <s v="Thomson Tam Sun Chan"/>
    <s v=""/>
    <x v="10"/>
    <x v="10"/>
    <s v="Eduardo Laing · 60"/>
    <s v="Gerry Armstrong · 9"/>
    <s v="['60&amp;rsquor;|1:1|Eduardo Laing']"/>
    <s v="['9&amp;rsquor;|0:1|Gerry Armstrong']"/>
    <s v=""/>
    <s v=""/>
    <s v=""/>
    <s v=""/>
    <s v=""/>
    <s v=""/>
    <s v=""/>
    <s v=""/>
    <s v=""/>
    <s v=""/>
    <s v=""/>
    <s v=""/>
    <s v=""/>
    <s v=""/>
    <s v=""/>
    <s v=""/>
    <s v="['58&amp;rsquor;|0:1|Eduardo Laing|for Prudencio Norales']"/>
    <s v="['66&amp;rsquor;|1:1|Noel Brotherston|for Norman Whiteside', &quot;78&amp;rsquor;|1:1|Felix Healy|for Martin O'Neill&quot;]"/>
  </r>
  <r>
    <s v="West Germany"/>
    <s v="Chile"/>
    <n v="4"/>
    <m/>
    <m/>
    <n v="1"/>
    <m/>
    <m/>
    <s v="Jupp Derwall"/>
    <s v="Karl-Heinz Rummenigge"/>
    <s v="Luis Alberto Santibanez"/>
    <s v="Elías Figueroa"/>
    <n v="42000"/>
    <s v="El Molinon, Gijon"/>
    <s v="Bruno Galler (Referee) · Vojtech Christov (AR1) · Tony Boskovic (AR2)"/>
    <x v="7"/>
    <x v="259"/>
    <s v="4–1"/>
    <s v="Bruno Galler"/>
    <s v=""/>
    <x v="10"/>
    <x v="10"/>
    <s v="Karl-Heinz Rummenigge · 9|Karl-Heinz Rummenigge · 57|Karl-Heinz Rummenigge · 66|Uwe Reinders · 83"/>
    <s v="Gustavo Moscoso · 90"/>
    <s v="['9&amp;rsquor;|1:0|Karl-Heinz Rummenigge', '57&amp;rsquor;|2:0|Karl-Heinz Rummenigge', '66&amp;rsquor;|3:0|Karl-Heinz Rummenigge', '83&amp;rsquor;|4:0|Uwe Reinders']"/>
    <s v="['90&amp;rsquor;|4:1|Gustavo Moscoso']"/>
    <s v=""/>
    <s v=""/>
    <s v=""/>
    <s v=""/>
    <s v=""/>
    <s v=""/>
    <s v=""/>
    <s v=""/>
    <s v=""/>
    <s v=""/>
    <s v=""/>
    <s v=""/>
    <s v=""/>
    <s v=""/>
    <s v=""/>
    <s v="['11&amp;rsquor;|1:0|Rodolfo Dubó', '29&amp;rsquor;|1:0|Miguel Ángel Gamboa']"/>
    <s v="['61&amp;rsquor;|2:0|Lothar Matthäus|for Paul Breitner', '79&amp;rsquor;|3:0|Uwe Reinders|for Pierre Littbarski']"/>
    <s v="['46&amp;rsquor;|1:0|Juan Carlos Letelier|for Mario Soto', '66&amp;rsquor;|3:0|Miguel Ángel Neira|for Miguel Ángel Gamboa']"/>
  </r>
  <r>
    <s v="England"/>
    <s v="Czechoslovakia"/>
    <n v="2"/>
    <m/>
    <m/>
    <n v="0"/>
    <m/>
    <m/>
    <s v="Ron Greenwood"/>
    <s v="Mick Mills"/>
    <s v="Jozef Venglos"/>
    <s v="Zdeněk Nehoda"/>
    <n v="41123"/>
    <s v="San Mames, Bilbao"/>
    <s v="Charles Corver (Referee) · Bogdan Dotchev (AR1) · Gilberto Aristizabal Murcia (AR2)"/>
    <x v="7"/>
    <x v="259"/>
    <s v="2–0"/>
    <s v="Charles Corver"/>
    <s v=""/>
    <x v="10"/>
    <x v="10"/>
    <s v="Trevor Francis · 62"/>
    <s v=""/>
    <s v="['62&amp;rsquor;|1:0|Trevor Francis']"/>
    <s v=""/>
    <s v="Jozef Barmoš (OG) · 66"/>
    <s v=""/>
    <s v=""/>
    <s v=""/>
    <s v=""/>
    <s v=""/>
    <s v=""/>
    <s v=""/>
    <s v=""/>
    <s v=""/>
    <s v=""/>
    <s v=""/>
    <s v=""/>
    <s v=""/>
    <s v=""/>
    <s v="['40&amp;rsquor;|0:0|Pavel Chaloupka']"/>
    <s v="['46&amp;rsquor;|0:0|Glenn Hoddle|for Bryan Robson']"/>
    <s v="['75&amp;rsquor;|2:0|Karel Stromšík|for Stanislav Seman', '77&amp;rsquor;|2:0|Marián Masný|for Petr Janečka']"/>
  </r>
  <r>
    <s v="Spain"/>
    <s v="Yugoslavia"/>
    <n v="2"/>
    <m/>
    <m/>
    <n v="1"/>
    <m/>
    <m/>
    <s v="Jose Santamaria"/>
    <s v="Luis Arconada"/>
    <s v="Miljan Miljanic"/>
    <s v="Ivica Šurjak"/>
    <n v="48000"/>
    <s v="Luis Casanova, Valencia"/>
    <s v="Henning Lund-Sorensen (Referee) · Antonio Garrido (AR1) · Arturo Andres Ithurralde (AR2)"/>
    <x v="7"/>
    <x v="259"/>
    <s v="2–1"/>
    <s v="Henning Lund-Sorensen"/>
    <s v=""/>
    <x v="10"/>
    <x v="10"/>
    <s v="Enrique Saura · 66"/>
    <s v="Ivan Gudelj · 10"/>
    <s v="['66&amp;rsquor;|2:1|Enrique Saura']"/>
    <s v="['10&amp;rsquor;|0:1|Ivan Gudelj']"/>
    <s v=""/>
    <s v=""/>
    <s v="Juanito (P) · 14"/>
    <s v=""/>
    <s v=""/>
    <s v=""/>
    <s v=""/>
    <s v=""/>
    <s v=""/>
    <s v=""/>
    <s v=""/>
    <s v=""/>
    <s v=""/>
    <s v=""/>
    <s v="['80&amp;rsquor;|2:1|Jesús María Zamora', '87&amp;rsquor;|2:1|Rafael Gordillo']"/>
    <s v="['35&amp;rsquor;|1:1|Nenad Stojković', '78&amp;rsquor;|2:1|Edhem Šljivo']"/>
    <s v="['63&amp;rsquor;|1:1|Enrique Saura|for José Sanchez', '63&amp;rsquor;|1:1|Quini|for Jesús María Satrústegui']"/>
    <s v="['74&amp;rsquor;|2:1|Vahid Halilhodžić', '83&amp;rsquor;|2:1|Miloš Šestić|for Zlatko Vujović']"/>
  </r>
  <r>
    <s v="Poland"/>
    <s v="Cameroon"/>
    <n v="0"/>
    <m/>
    <m/>
    <n v="0"/>
    <m/>
    <m/>
    <s v="Antoni Piechniczek"/>
    <s v="Władysław Żmuda"/>
    <s v="Jean Vincent"/>
    <s v="Thomas N'Kono"/>
    <n v="19000"/>
    <s v="Riazor, La Coruï¿½A"/>
    <s v="Alexis Ponnet (Referee) · Walter Eschweiler (AR1) · Mario Rubio Vazquez (AR2)"/>
    <x v="7"/>
    <x v="260"/>
    <s v="0–0"/>
    <s v="Alexis Ponnet"/>
    <s v=""/>
    <x v="10"/>
    <x v="10"/>
    <s v=""/>
    <s v=""/>
    <s v=""/>
    <s v=""/>
    <s v=""/>
    <s v=""/>
    <s v=""/>
    <s v=""/>
    <s v=""/>
    <s v=""/>
    <s v=""/>
    <s v=""/>
    <s v=""/>
    <s v=""/>
    <s v=""/>
    <s v=""/>
    <s v=""/>
    <s v=""/>
    <s v="['34&amp;rsquor;|0:0|Andrzej Pałasz']"/>
    <s v="['40&amp;rsquor;|0:0|Ibrahim Aoudou', '80&amp;rsquor;|0:0|Roger Milla']"/>
    <s v="['25&amp;rsquor;|0:0|Andrzej Szarmach|for Andrzej Iwan', '66&amp;rsquor;|0:0|Marek Kusto|for Andrzej Pałasz']"/>
    <s v="[&quot;46&amp;rsquor;|0:0|Jean-Pierre Tokoto|for Jacques N'Guea&quot;]"/>
  </r>
  <r>
    <s v="Soviet Union"/>
    <s v="New Zealand"/>
    <n v="3"/>
    <m/>
    <m/>
    <n v="0"/>
    <m/>
    <m/>
    <s v="Konstantin Beskov"/>
    <s v="Aleksandre Chivadze"/>
    <s v="John Adshead"/>
    <s v="Steve Sumner"/>
    <n v="19000"/>
    <s v="La Rosaleda, Malaga"/>
    <s v="Yusef Mohamed El Ghoul (Referee) · Emilio Soriano Aladren (AR1) · Clive White (AR2)"/>
    <x v="7"/>
    <x v="260"/>
    <s v="3–0"/>
    <s v="Yusef Mohamed El Ghoul"/>
    <s v=""/>
    <x v="10"/>
    <x v="10"/>
    <s v="Yuri Gavrilov · 24|Oleh Blokhin · 48|Sergei Pavlovich Baltacha · 68"/>
    <s v=""/>
    <s v="['24&amp;rsquor;|1:0|Yuri Gavrilov', '48&amp;rsquor;|2:0|Oleh Blokhin', '68&amp;rsquor;|3:0|Sergei Pavlovich Baltacha']"/>
    <s v=""/>
    <s v=""/>
    <s v=""/>
    <s v=""/>
    <s v=""/>
    <s v=""/>
    <s v=""/>
    <s v=""/>
    <s v=""/>
    <s v=""/>
    <s v=""/>
    <s v=""/>
    <s v=""/>
    <s v=""/>
    <s v=""/>
    <s v=""/>
    <s v=""/>
    <s v="['46&amp;rsquor;|1:0|Khoren Oganesian|for Vitaly Daraselia', '79&amp;rsquor;|3:0|Sergey Rodionov|for Yuri Gavrilov']"/>
    <s v=""/>
  </r>
  <r>
    <s v="Belgium"/>
    <s v="El Salvador"/>
    <n v="1"/>
    <m/>
    <m/>
    <n v="0"/>
    <m/>
    <m/>
    <s v="Guy Thys"/>
    <s v="Eric Gerets"/>
    <s v="Mauricio Rodriguez"/>
    <s v="Norberto Huezo"/>
    <n v="15000"/>
    <s v="Nuevo Estadio, Elche"/>
    <s v="Malcolm Moffatt (Referee) · Gaston Castro (AR1) · Alojzy Jarguz (AR2)"/>
    <x v="7"/>
    <x v="260"/>
    <s v="1–0"/>
    <s v="Malcolm Moffatt"/>
    <s v=""/>
    <x v="10"/>
    <x v="10"/>
    <s v="Ludo Coeck · 19"/>
    <s v=""/>
    <s v="['19&amp;rsquor;|1:0|Ludo Coeck']"/>
    <s v=""/>
    <s v=""/>
    <s v=""/>
    <s v=""/>
    <s v=""/>
    <s v=""/>
    <s v=""/>
    <s v=""/>
    <s v=""/>
    <s v=""/>
    <s v=""/>
    <s v=""/>
    <s v=""/>
    <s v=""/>
    <s v=""/>
    <s v=""/>
    <s v="['17&amp;rsquor;|0:0|Francisco Osorto', '74&amp;rsquor;|1:0|Ramón Fagoaga']"/>
    <s v="['46&amp;rsquor;|1:0|François Van der Elst|for Guy Vandersmissen', '80&amp;rsquor;|1:0|Wilfried Van Moer|for Jan Ceulemans']"/>
    <s v="['46&amp;rsquor;|1:0|Miguel Ángel Díaz|for Francisco Osorto']"/>
  </r>
  <r>
    <s v="Italy"/>
    <s v="Peru"/>
    <n v="1"/>
    <m/>
    <m/>
    <n v="1"/>
    <m/>
    <m/>
    <s v="Enzo Bearzot"/>
    <s v="Dino Zoff"/>
    <s v="Tim"/>
    <s v="Rubén Toribio Díaz"/>
    <n v="25000"/>
    <s v="Estadio Municipal de Balaï¿½dos, Vigo"/>
    <s v="Walter Eschweiler (Referee) · Mario Rubio Vazquez (AR1) · Abraham Klein (AR2)"/>
    <x v="7"/>
    <x v="261"/>
    <s v="1–1"/>
    <s v="Walter Eschweiler"/>
    <s v=""/>
    <x v="10"/>
    <x v="10"/>
    <s v="Bruno Conti · 18"/>
    <s v="Rubén Toribio Díaz · 83"/>
    <s v="['18&amp;rsquor;|1:0|Bruno Conti']"/>
    <s v="['83&amp;rsquor;|1:1|Rubén Toribio Díaz']"/>
    <s v=""/>
    <s v=""/>
    <s v=""/>
    <s v=""/>
    <s v=""/>
    <s v=""/>
    <s v=""/>
    <s v=""/>
    <s v=""/>
    <s v=""/>
    <s v=""/>
    <s v=""/>
    <s v=""/>
    <s v=""/>
    <s v="['52&amp;rsquor;|1:0|Marco Tardelli']"/>
    <s v="['76&amp;rsquor;|1:0|Jaime Duarte']"/>
    <s v="['46&amp;rsquor;|1:0|Franco Causio|for Paolo Rossi']"/>
    <s v="['65&amp;rsquor;|1:0|Germán Leguía|for Julio César Uribe', '65&amp;rsquor;|1:0|Guillermo La Rosa|for Gerónimo Barbadillo']"/>
  </r>
  <r>
    <s v="Brazil"/>
    <s v="Scotland"/>
    <n v="4"/>
    <m/>
    <m/>
    <n v="1"/>
    <m/>
    <m/>
    <s v="Tele Santana"/>
    <s v="Sócrates"/>
    <s v="Jock Stein"/>
    <s v="Graeme Souness"/>
    <n v="47379"/>
    <s v="Benito Villamarin, Seville"/>
    <s v="Jesus Paulino Siles (Referee) · Thomson Tam Sun Chan (AR1) · Adolf Prokop (AR2)"/>
    <x v="7"/>
    <x v="261"/>
    <s v="4–1"/>
    <s v="Jesus Paulino Siles"/>
    <s v=""/>
    <x v="10"/>
    <x v="10"/>
    <s v="Zico · 33|Oscar · 48|Éder Aleixo de Assis · 63|Paulo Roberto Falcão · 87"/>
    <s v="David Narey · 18"/>
    <s v="['33&amp;rsquor;|1:1|Zico', '48&amp;rsquor;|2:1|Oscar', '63&amp;rsquor;|3:1|Éder Aleixo de Assis', '87&amp;rsquor;|4:1|Paulo Roberto Falcão']"/>
    <s v="['18&amp;rsquor;|0:1|David Narey']"/>
    <s v=""/>
    <s v=""/>
    <s v=""/>
    <s v=""/>
    <s v=""/>
    <s v=""/>
    <s v=""/>
    <s v=""/>
    <s v=""/>
    <s v=""/>
    <s v=""/>
    <s v=""/>
    <s v=""/>
    <s v=""/>
    <s v=""/>
    <s v=""/>
    <s v="['80&amp;rsquor;|3:1|Paulo Isidoro']"/>
    <s v="['65&amp;rsquor;|3:1|Kenny Dalglish|for Gordon Strachan', '68&amp;rsquor;|3:1|Alex McLeish|for Asa Hartford']"/>
  </r>
  <r>
    <s v="Argentina"/>
    <s v="Hungary"/>
    <n v="4"/>
    <m/>
    <m/>
    <n v="1"/>
    <m/>
    <m/>
    <s v="Cesar Luis Menotti"/>
    <s v="Daniel Passarella"/>
    <s v="Kalman Meszoly"/>
    <s v="Tibor Nyilasi"/>
    <n v="32093"/>
    <s v="Jose Rico Perez, Alicante"/>
    <s v="Belaid Lacarne (Referee) · Michel Vautrot (AR1) · Nicolae Rainea (AR2)"/>
    <x v="7"/>
    <x v="261"/>
    <s v="4–1"/>
    <s v="Belaid Lacarne"/>
    <s v=""/>
    <x v="10"/>
    <x v="10"/>
    <s v="Daniel Bertoni · 26|Diego Maradona · 28|Diego Maradona · 57|Osvaldo Ardiles · 60"/>
    <s v="Gábor Pölöskei · 76"/>
    <s v="['26&amp;rsquor;|1:0|Daniel Bertoni', '28&amp;rsquor;|2:0|Diego Maradona', '57&amp;rsquor;|3:0|Diego Maradona', '60&amp;rsquor;|4:0|Osvaldo Ardiles']"/>
    <s v="['76&amp;rsquor;|4:1|Gábor Pölöskei']"/>
    <s v=""/>
    <s v=""/>
    <s v=""/>
    <s v=""/>
    <s v=""/>
    <s v=""/>
    <s v=""/>
    <s v=""/>
    <s v=""/>
    <s v=""/>
    <s v=""/>
    <s v=""/>
    <s v=""/>
    <s v=""/>
    <s v=""/>
    <s v=""/>
    <s v="['24&amp;rsquor;|0:0|Gabriel Calderón|for Jorge Valdano', '51&amp;rsquor;|2:0|Juan Barbas|for Alberto Tarantini']"/>
    <s v="['46&amp;rsquor;|2:0|László Fazekas|for Győző Martos', '61&amp;rsquor;|4:0|Lázár Szentes|for László Kiss']"/>
  </r>
  <r>
    <s v="Chile"/>
    <s v="Austria"/>
    <n v="0"/>
    <m/>
    <m/>
    <n v="1"/>
    <m/>
    <m/>
    <s v="Luis Alberto Santibanez"/>
    <s v="Elías Figueroa"/>
    <s v="Georg Schmidt"/>
    <s v="Erich Obermayer"/>
    <n v="22500"/>
    <s v="Carlos Tartiere, Oviedo"/>
    <s v="Juan Cardellino De San Vicente (Referee) · Paolo Casarin (AR1) · Gilberto Aristizabal Murcia (AR2)"/>
    <x v="7"/>
    <x v="262"/>
    <s v="0–1"/>
    <s v="Juan Cardellino De San Vicente"/>
    <s v=""/>
    <x v="10"/>
    <x v="10"/>
    <s v=""/>
    <s v="Walter Schachner · 22"/>
    <s v=""/>
    <s v="['22&amp;rsquor;|0:1|Walter Schachner']"/>
    <s v=""/>
    <s v=""/>
    <s v=""/>
    <s v=""/>
    <s v=""/>
    <s v=""/>
    <s v=""/>
    <s v=""/>
    <s v=""/>
    <s v=""/>
    <s v=""/>
    <s v=""/>
    <s v=""/>
    <s v=""/>
    <s v="['29&amp;rsquor;|0:1|Lizardo Garrido']"/>
    <s v="['12&amp;rsquor;|0:0|Josef Degeorgi', '66&amp;rsquor;|0:1|Roland Hattenberger']"/>
    <s v="['69&amp;rsquor;|0:1|Miguel Ángel Gamboa|for Gustavo Moscoso', '71&amp;rsquor;|0:1|Manuel Rojas|for Miguel Ángel Neira']"/>
    <s v="['78&amp;rsquor;|0:1|Ernst Baumeister', '79&amp;rsquor;|0:1|Gernot Jurtin|for Heribert Weber']"/>
  </r>
  <r>
    <s v="Czechoslovakia"/>
    <s v="Kuwait"/>
    <n v="1"/>
    <m/>
    <m/>
    <n v="1"/>
    <m/>
    <m/>
    <s v="Jozef Venglos"/>
    <s v="Zdeněk Nehoda"/>
    <s v="Carlos Alberto Parreira"/>
    <s v="Saad Al-Houti"/>
    <n v="25000"/>
    <s v="Jose Zorrilla, Valladolid"/>
    <s v="Benjamin Dwomoh (Referee) · Romulo Mendez Molina (AR1) · Robert Valentine (AR2)"/>
    <x v="7"/>
    <x v="262"/>
    <s v="1–1"/>
    <s v="Benjamin Dwomoh"/>
    <s v=""/>
    <x v="10"/>
    <x v="10"/>
    <s v=""/>
    <s v="Faisal Al-Dakhil · 57"/>
    <s v=""/>
    <s v="['57&amp;rsquor;|1:1|Faisal Al-Dakhil']"/>
    <s v=""/>
    <s v=""/>
    <s v="Antonín Panenka (P) · 21"/>
    <s v=""/>
    <s v=""/>
    <s v=""/>
    <s v=""/>
    <s v=""/>
    <s v=""/>
    <s v=""/>
    <s v=""/>
    <s v=""/>
    <s v=""/>
    <s v=""/>
    <s v=""/>
    <s v=""/>
    <s v="['61&amp;rsquor;|1:1|Přemysl Bičovský|for Tomáš Kříž', '68&amp;rsquor;|1:1|Vlastimil Petržela|for Petr Janečka']"/>
    <s v="['57&amp;rsquor;|1:1|Fathi Kameel|for Mohammed Karam']"/>
  </r>
  <r>
    <s v="Yugoslavia"/>
    <s v="Northern Ireland"/>
    <n v="0"/>
    <m/>
    <m/>
    <n v="0"/>
    <m/>
    <m/>
    <s v="Miljan Miljanic"/>
    <s v="Ivica Šurjak"/>
    <s v="Billy Bingham"/>
    <s v="Martin O'Neill"/>
    <n v="25000"/>
    <s v="La Romareda, Zaragoza"/>
    <s v="Erik Fredriksson (Referee) · Bruno Galler (AR1) · Karoly Palotai (AR2)"/>
    <x v="7"/>
    <x v="262"/>
    <s v="0–0"/>
    <s v="Erik Fredriksson"/>
    <s v=""/>
    <x v="10"/>
    <x v="10"/>
    <s v=""/>
    <s v=""/>
    <s v=""/>
    <s v=""/>
    <s v=""/>
    <s v=""/>
    <s v=""/>
    <s v=""/>
    <s v=""/>
    <s v=""/>
    <s v=""/>
    <s v=""/>
    <s v=""/>
    <s v=""/>
    <s v=""/>
    <s v=""/>
    <s v=""/>
    <s v=""/>
    <s v=""/>
    <s v="['1&amp;rsquor;|0:0|Norman Whiteside']"/>
    <s v=""/>
    <s v=""/>
  </r>
  <r>
    <s v="England"/>
    <s v="France"/>
    <n v="3"/>
    <m/>
    <m/>
    <n v="1"/>
    <m/>
    <m/>
    <s v="Ron Greenwood"/>
    <s v="Mick Mills"/>
    <s v="Michel Hidalgo"/>
    <s v="Michel Platini"/>
    <n v="44172"/>
    <s v="San Mames, Bilbao"/>
    <s v="Antonio Garrido (Referee) · Gaston Castro (AR1) · Arnaldo Coelho (AR2)"/>
    <x v="7"/>
    <x v="263"/>
    <s v="3–1"/>
    <s v="Antonio Garrido"/>
    <s v=""/>
    <x v="10"/>
    <x v="10"/>
    <s v="Bryan Robson · 1|Bryan Robson · 67|Paul Mariner · 83"/>
    <s v="Gérard Soler · 24"/>
    <s v="['1&amp;rsquor;|1:0|Bryan Robson', '67&amp;rsquor;|2:1|Bryan Robson', '83&amp;rsquor;|3:1|Paul Mariner']"/>
    <s v="['24&amp;rsquor;|1:1|Gérard Soler']"/>
    <s v=""/>
    <s v=""/>
    <s v=""/>
    <s v=""/>
    <s v=""/>
    <s v=""/>
    <s v=""/>
    <s v=""/>
    <s v=""/>
    <s v=""/>
    <s v=""/>
    <s v=""/>
    <s v=""/>
    <s v=""/>
    <s v="['34&amp;rsquor;|1:1|Terry Butcher']"/>
    <s v=""/>
    <s v="['90&amp;rsquor;|3:1|Phil Neal|for Kenny Sansom']"/>
    <s v="['71&amp;rsquor;|2:1|Didier Six|for Dominique Rocheteau', '74&amp;rsquor;|2:1|Jean Tigana|for Jean-François Larios']"/>
  </r>
  <r>
    <s v="West Germany"/>
    <s v="Algeria"/>
    <n v="1"/>
    <m/>
    <m/>
    <n v="2"/>
    <m/>
    <m/>
    <s v="Jupp Derwall"/>
    <s v="Karl-Heinz Rummenigge"/>
    <s v="Rachid Mekhloufi"/>
    <s v="Ali Fergani"/>
    <n v="42000"/>
    <s v="El Molinon, Gijon"/>
    <s v="Enrique Labo Revoredo (Referee) · Gilberto Aristizabal Murcia (AR1) · Paolo Casarin (AR2)"/>
    <x v="7"/>
    <x v="263"/>
    <s v="1–2"/>
    <s v="Enrique Labo Revoredo"/>
    <s v=""/>
    <x v="10"/>
    <x v="10"/>
    <s v="Karl-Heinz Rummenigge · 67"/>
    <s v="Rabah Madjer · 54|Lakhdar Belloumi · 68"/>
    <s v="['67&amp;rsquor;|1:1|Karl-Heinz Rummenigge']"/>
    <s v="['54&amp;rsquor;|0:1|Rabah Madjer', '68&amp;rsquor;|1:2|Lakhdar Belloumi']"/>
    <s v=""/>
    <s v=""/>
    <s v=""/>
    <s v=""/>
    <s v=""/>
    <s v=""/>
    <s v=""/>
    <s v=""/>
    <s v=""/>
    <s v=""/>
    <s v=""/>
    <s v=""/>
    <s v=""/>
    <s v=""/>
    <s v="['57&amp;rsquor;|0:1|Horst Hrubesch']"/>
    <s v="['83&amp;rsquor;|1:2|Rabah Madjer']"/>
    <s v="['83&amp;rsquor;|1:2|Klaus Fischer|for Felix Magath']"/>
    <s v="['64&amp;rsquor;|0:1|Tedj Bensaoula|for Djamel Zidane', '88&amp;rsquor;|1:2|Salah Larbès|for Rabah Madjer']"/>
  </r>
  <r>
    <s v="Spain"/>
    <s v="Honduras"/>
    <n v="1"/>
    <m/>
    <m/>
    <n v="1"/>
    <m/>
    <m/>
    <s v="Jose Santamaria"/>
    <s v="Luis Arconada"/>
    <s v="Jose De La Paz"/>
    <s v="Ramón Maradiaga"/>
    <n v="49562"/>
    <s v="Luis Casanova, Valencia"/>
    <s v="Arturo Andres Ithurralde (Referee) · Bogdan Dotchev (AR1) · Luis Barrancos (AR2)"/>
    <x v="7"/>
    <x v="263"/>
    <s v="1–1"/>
    <s v="Arturo Andres Ithurralde"/>
    <s v=""/>
    <x v="10"/>
    <x v="10"/>
    <s v=""/>
    <s v="Héctor Zelaya · 7"/>
    <s v=""/>
    <s v="['7&amp;rsquor;|0:1|Héctor Zelaya']"/>
    <s v=""/>
    <s v=""/>
    <s v="Roberto López Ufarte (P) · 65"/>
    <s v=""/>
    <s v=""/>
    <s v=""/>
    <s v=""/>
    <s v=""/>
    <s v=""/>
    <s v=""/>
    <s v=""/>
    <s v=""/>
    <s v=""/>
    <s v=""/>
    <s v=""/>
    <s v=""/>
    <s v="['46&amp;rsquor;|0:1|Enrique Saura|for Joaquín', '46&amp;rsquor;|0:1|José Sanchez|for Juanito']"/>
    <s v="['69&amp;rsquor;|1:1|Carlos Orlando Caballero|for Prudencio Norales']"/>
  </r>
  <r>
    <s v="Peru"/>
    <s v="Cameroon"/>
    <n v="0"/>
    <m/>
    <m/>
    <n v="0"/>
    <m/>
    <m/>
    <s v="Tim"/>
    <s v="Rubén Toribio Díaz"/>
    <s v="Jean Vincent"/>
    <s v="Thomas N'Kono"/>
    <n v="11000"/>
    <s v="Riazor, La Coruï¿½A"/>
    <s v="Franz Woehrer (Referee) · Nicolae Rainea (AR1) · Adolf Prokop (AR2)"/>
    <x v="7"/>
    <x v="264"/>
    <s v="0–0"/>
    <s v="Franz Woehrer"/>
    <s v=""/>
    <x v="10"/>
    <x v="10"/>
    <s v=""/>
    <s v=""/>
    <s v=""/>
    <s v=""/>
    <s v=""/>
    <s v=""/>
    <s v=""/>
    <s v=""/>
    <s v=""/>
    <s v=""/>
    <s v=""/>
    <s v=""/>
    <s v=""/>
    <s v=""/>
    <s v=""/>
    <s v=""/>
    <s v=""/>
    <s v=""/>
    <s v=""/>
    <s v="[&quot;80&amp;rsquor;|0:0|Thomas N'Kono&quot;]"/>
    <s v="['57&amp;rsquor;|0:0|Gerónimo Barbadillo|for Teófilo Cubillas', '57&amp;rsquor;|0:0|Guillermo La Rosa|for Germán Leguía']"/>
    <s v="[&quot;73&amp;rsquor;|0:0|Paul Bahoken|for Jacques N'Guea&quot;, '89&amp;rsquor;|0:0|Jean-Pierre Tokoto|for Roger Milla']"/>
  </r>
  <r>
    <s v="Hungary"/>
    <s v="El Salvador"/>
    <n v="10"/>
    <m/>
    <m/>
    <n v="1"/>
    <m/>
    <m/>
    <s v="Kalman Meszoly"/>
    <s v="Tibor Nyilasi"/>
    <s v="Mauricio Rodriguez"/>
    <s v="Norberto Huezo"/>
    <n v="23000"/>
    <s v="Nuevo Estadio, Elche"/>
    <s v="Ebrahim Al Doy (Referee) · Charles Corver (AR1) · Henning Lund-Sorensen (AR2)"/>
    <x v="7"/>
    <x v="264"/>
    <s v="10–1 "/>
    <s v="Ebrahim Al Doy"/>
    <s v=""/>
    <x v="10"/>
    <x v="10"/>
    <s v="Tibor Nyilasi · 4|Gábor Pölöskei · 11|László Fazekas · 23|József Tóth · 50|László Fazekas · 54|László Kiss · 69|Lázár Szentes · 70|László Kiss · 72|László Kiss · 76|Tibor Nyilasi · 83"/>
    <s v="Luis Ramírez Zapata · 64"/>
    <s v="['4&amp;rsquor;|1:0|Tibor Nyilasi', '11&amp;rsquor;|2:0|Gábor Pölöskei', '23&amp;rsquor;|3:0|László Fazekas', '50&amp;rsquor;|4:0|József Tóth', '54&amp;rsquor;|5:0|László Fazekas', '69&amp;rsquor;|6:1|László Kiss', '70&amp;rsquor;|7:1|Lázár Szentes', '72&amp;rsquor;|8:1|László Kiss', '76&amp;rsquor;|9:1|László Kiss', '83&amp;rsquor;|10:1|Tibor Nyilasi']"/>
    <s v="['64&amp;rsquor;|5:1|Luis Ramírez Zapata']"/>
    <s v=""/>
    <s v=""/>
    <s v=""/>
    <s v=""/>
    <s v=""/>
    <s v=""/>
    <s v=""/>
    <s v=""/>
    <s v=""/>
    <s v=""/>
    <s v=""/>
    <s v=""/>
    <s v=""/>
    <s v=""/>
    <s v="['1&amp;rsquor;|0:0|Tibor Nyilasi', '32&amp;rsquor;|3:0|László Fazekas']"/>
    <s v=""/>
    <s v="['56&amp;rsquor;|5:0|László Kiss|for András Törőcsik', '68&amp;rsquor;|5:1|Lázár Szentes|for Sándor Müller']"/>
    <s v="['26&amp;rsquor;|3:0|Luis Ramírez Zapata|for José Luis Rugamas', '79&amp;rsquor;|9:1|Ramón Fagoaga']"/>
  </r>
  <r>
    <s v="Scotland"/>
    <s v="New Zealand"/>
    <n v="5"/>
    <m/>
    <m/>
    <n v="2"/>
    <m/>
    <m/>
    <s v="Jock Stein"/>
    <s v="Danny McGrain"/>
    <s v="John Adshead"/>
    <s v="Steve Sumner"/>
    <n v="36000"/>
    <s v="La Rosaleda, Malaga"/>
    <s v="David Socha (Referee) · Thomson Tam Sun Chan (AR1) · Yusef Mohamed El Ghoul (AR2)"/>
    <x v="7"/>
    <x v="264"/>
    <s v="5–2"/>
    <s v="David Socha"/>
    <s v=""/>
    <x v="10"/>
    <x v="10"/>
    <s v="Kenny Dalglish · 18|John Wark · 29|John Wark · 32|John Robertson · 73|Steve Archibald · 79"/>
    <s v="Steve Sumner · 54|Steve Wooddin · 64"/>
    <s v="['18&amp;rsquor;|1:0|Kenny Dalglish', '29&amp;rsquor;|2:0|John Wark', '32&amp;rsquor;|3:0|John Wark', '73&amp;rsquor;|4:2|John Robertson', '79&amp;rsquor;|5:2|Steve Archibald']"/>
    <s v="['54&amp;rsquor;|3:1|Steve Sumner', '64&amp;rsquor;|3:2|Steve Wooddin']"/>
    <s v=""/>
    <s v=""/>
    <s v=""/>
    <s v=""/>
    <s v=""/>
    <s v=""/>
    <s v=""/>
    <s v=""/>
    <s v=""/>
    <s v=""/>
    <s v=""/>
    <s v=""/>
    <s v=""/>
    <s v=""/>
    <s v=""/>
    <s v=""/>
    <s v="['53&amp;rsquor;|3:0|Steve Archibald|for Alan Brazil', '83&amp;rsquor;|5:2|David Narey|for Gordon Strachan']"/>
    <s v="['66&amp;rsquor;|3:2|Ricki Herbert|for Bobby Almond', '77&amp;rsquor;|4:2|Duncan Cole|for Sam Malcolmson']"/>
  </r>
  <r>
    <s v="Italy"/>
    <s v="Poland"/>
    <n v="0"/>
    <m/>
    <m/>
    <n v="0"/>
    <m/>
    <m/>
    <s v="Enzo Bearzot"/>
    <s v="Dino Zoff"/>
    <s v="Antoni Piechniczek"/>
    <s v="Władysław Żmuda"/>
    <n v="33000"/>
    <s v="Estadio Municipal de Balaï¿½dos, Vigo"/>
    <s v="Michel Vautrot (Referee) · Adolf Prokop (AR1) · Nicolae Rainea (AR2)"/>
    <x v="7"/>
    <x v="265"/>
    <s v="0–0"/>
    <s v="Michel Vautrot"/>
    <s v=""/>
    <x v="10"/>
    <x v="10"/>
    <s v=""/>
    <s v=""/>
    <s v=""/>
    <s v=""/>
    <s v=""/>
    <s v=""/>
    <s v=""/>
    <s v=""/>
    <s v=""/>
    <s v=""/>
    <s v=""/>
    <s v=""/>
    <s v=""/>
    <s v=""/>
    <s v=""/>
    <s v=""/>
    <s v=""/>
    <s v=""/>
    <s v="['1&amp;rsquor;|0:0|Gianpiero Marini', '47&amp;rsquor;|0:0|Gaetano Scirea']"/>
    <s v="['10&amp;rsquor;|0:0|Zbigniew Boniek']"/>
    <s v=""/>
    <s v="['72&amp;rsquor;|0:0|Marek Kusto|for Andrzej Iwan']"/>
  </r>
  <r>
    <s v="Brazil"/>
    <s v="Soviet Union"/>
    <n v="2"/>
    <m/>
    <m/>
    <n v="1"/>
    <m/>
    <m/>
    <s v="Tele Santana"/>
    <s v="Sócrates"/>
    <s v="Konstantin Beskov"/>
    <s v="Aleksandre Chivadze"/>
    <n v="68000"/>
    <s v="Ramon Sanchez Pizjuan, Seville"/>
    <s v="Augusto Lamo Castillo (Referee) · Victoriano Sanchez Arminio (AR1) · Jose L. Garcia Carrion (AR2)"/>
    <x v="7"/>
    <x v="265"/>
    <s v="2–1"/>
    <s v="Augusto Lamo Castillo"/>
    <s v=""/>
    <x v="10"/>
    <x v="10"/>
    <s v="Sócrates · 75|Éder Aleixo de Assis · 88"/>
    <s v="Andriy Bal · 34"/>
    <s v="['75&amp;rsquor;|1:1|Sócrates', '88&amp;rsquor;|2:1|Éder Aleixo de Assis']"/>
    <s v="['34&amp;rsquor;|0:1|Andriy Bal']"/>
    <s v=""/>
    <s v=""/>
    <s v=""/>
    <s v=""/>
    <s v=""/>
    <s v=""/>
    <s v=""/>
    <s v=""/>
    <s v=""/>
    <s v=""/>
    <s v=""/>
    <s v=""/>
    <s v=""/>
    <s v=""/>
    <s v=""/>
    <s v=""/>
    <s v="['46&amp;rsquor;|0:1|Paulo Isidoro|for Dirceu']"/>
    <s v="['74&amp;rsquor;|0:1|Yuri Susloparov|for Yuri Gavrilov', '88&amp;rsquor;|2:1|Sergey Andreyev|for Ramaz Shengelia']"/>
  </r>
  <r>
    <s v="Argentina"/>
    <s v="Belgium"/>
    <n v="0"/>
    <m/>
    <m/>
    <n v="1"/>
    <m/>
    <m/>
    <s v="Cesar Luis Menotti"/>
    <s v="Daniel Passarella"/>
    <s v="Guy Thys"/>
    <s v="Eric Gerets"/>
    <n v="95000"/>
    <s v="Camp Nou, Barcelona"/>
    <s v="Vojtech Christov (Referee) · Karoly Palotai (AR1) · Alojzy Jarguz (AR2)"/>
    <x v="7"/>
    <x v="266"/>
    <s v="0–1"/>
    <s v="Vojtech Christov"/>
    <s v=""/>
    <x v="10"/>
    <x v="10"/>
    <s v=""/>
    <s v="Erwin Vandenbergh · 62"/>
    <s v=""/>
    <s v="['62&amp;rsquor;|0:1|Erwin Vandenbergh']"/>
    <s v=""/>
    <s v=""/>
    <s v=""/>
    <s v=""/>
    <s v=""/>
    <s v=""/>
    <s v=""/>
    <s v=""/>
    <s v=""/>
    <s v=""/>
    <s v=""/>
    <s v=""/>
    <s v=""/>
    <s v=""/>
    <s v="['55&amp;rsquor;|0:0|Daniel Bertoni']"/>
    <s v="['50&amp;rsquor;|0:0|Luc Millecamps']"/>
    <s v="['63&amp;rsquor;|0:1|Jorge Valdano|for Ramón Díaz']"/>
    <s v=""/>
  </r>
  <r>
    <s v="Argentina"/>
    <s v="Netherlands"/>
    <n v="3"/>
    <m/>
    <m/>
    <n v="1"/>
    <m/>
    <m/>
    <s v="Cesar Luis Menotti"/>
    <s v="Daniel Passarella"/>
    <s v="Ernst Happel"/>
    <s v="Ruud Krol"/>
    <n v="71483"/>
    <s v="El Monumental - Estadio Monumental Antonio Vespuci, Buenos Aires"/>
    <s v="Sergio Gonella (Referee) · Ramon Barreto Ruiz (AR1) · Erich Linemayr (AR2)"/>
    <x v="0"/>
    <x v="267"/>
    <s v="3–1"/>
    <s v="Sergio Gonella"/>
    <s v="Required Extra Time"/>
    <x v="11"/>
    <x v="11"/>
    <s v="Mario Kempes · 38|Mario Kempes · 105|Daniel Bertoni · 115"/>
    <s v="Dick Nanninga · 82"/>
    <s v="['38&amp;rsquor;|1:0|Mario Kempes', '105&amp;rsquor;|2:1|Mario Kempes', '115&amp;rsquor;|3:1|Daniel Bertoni']"/>
    <s v="['82&amp;rsquor;|1:1|Dick Nanninga']"/>
    <s v=""/>
    <s v=""/>
    <s v=""/>
    <s v=""/>
    <s v=""/>
    <s v=""/>
    <s v=""/>
    <s v=""/>
    <s v=""/>
    <s v=""/>
    <s v=""/>
    <s v=""/>
    <s v=""/>
    <s v=""/>
    <s v="['40&amp;rsquor;|1:0|Osvaldo Ardiles', '93&amp;rsquor;|1:1|Omar Larrosa']"/>
    <s v="['15&amp;rsquor;|0:0|Ruud Krol', '94&amp;rsquor;|1:1|Wim Suurbier', '96&amp;rsquor;|1:1|Johan Neeskens']"/>
    <s v="['65&amp;rsquor;|1:0|Omar Larrosa|for Osvaldo Ardiles', '74&amp;rsquor;|1:0|René Houseman|for Oscar Alberto Ortiz']"/>
    <s v="['59&amp;rsquor;|1:0|Dick Nanninga|for Johnny Rep', '72&amp;rsquor;|1:0|Wim Suurbier|for Wim Jansen']"/>
  </r>
  <r>
    <s v="Brazil"/>
    <s v="Italy"/>
    <n v="2"/>
    <m/>
    <m/>
    <n v="1"/>
    <m/>
    <m/>
    <s v="Claudio Coutinho"/>
    <s v="Émerson Leão"/>
    <s v="Enzo Bearzot"/>
    <s v="Dino Zoff"/>
    <n v="69659"/>
    <s v="El Monumental - Estadio Monumental Antonio Vespuci, Buenos Aires"/>
    <s v="Abraham Klein (Referee) · Alfonso Gonzalez Archundia (AR1) · Karoly Palotai (AR2)"/>
    <x v="1"/>
    <x v="268"/>
    <s v="2–1"/>
    <s v="Abraham Klein"/>
    <s v=""/>
    <x v="11"/>
    <x v="11"/>
    <s v="Nelinho · 64|Dirceu · 72"/>
    <s v="Franco Causio · 38"/>
    <s v="['64&amp;rsquor;|1:1|Nelinho', '72&amp;rsquor;|2:1|Dirceu']"/>
    <s v="['38&amp;rsquor;|0:1|Franco Causio']"/>
    <s v=""/>
    <s v=""/>
    <s v=""/>
    <s v=""/>
    <s v=""/>
    <s v=""/>
    <s v=""/>
    <s v=""/>
    <s v=""/>
    <s v=""/>
    <s v=""/>
    <s v=""/>
    <s v=""/>
    <s v=""/>
    <s v="['35&amp;rsquor;|0:0|Nelinho', '44&amp;rsquor;|0:1|João Batista da Silva']"/>
    <s v="['72&amp;rsquor;|2:1|Claudio Gentile']"/>
    <s v="['46&amp;rsquor;|0:1|José Reinaldo de Lima|for Gilberto Alves', '64&amp;rsquor;|1:1|Rivellino|for Toninho Cerezo']"/>
    <s v="['78&amp;rsquor;|2:1|Claudio Sala|for Giancarlo Antognoni']"/>
  </r>
  <r>
    <s v="Netherlands"/>
    <s v="Italy"/>
    <n v="2"/>
    <m/>
    <m/>
    <n v="1"/>
    <m/>
    <m/>
    <s v="Ernst Happel"/>
    <s v="Ruud Krol"/>
    <s v="Enzo Bearzot"/>
    <s v="Dino Zoff"/>
    <n v="67433"/>
    <s v="El Monumental - Estadio Monumental Antonio Vespuci, Buenos Aires"/>
    <s v="Angel Martinez (Referee) · Luis Pestarino (AR1) · Cesar Orozco Guerrero (AR2)"/>
    <x v="8"/>
    <x v="269"/>
    <s v="2–1"/>
    <s v="Angel Martinez"/>
    <s v=""/>
    <x v="11"/>
    <x v="11"/>
    <s v="Ernie Brandts · 50|Arie Haan · 75"/>
    <s v=""/>
    <s v="['50&amp;rsquor;|1:1|Ernie Brandts', '75&amp;rsquor;|2:1|Arie Haan']"/>
    <s v=""/>
    <s v=""/>
    <s v="Ernie Brandts (OG) · 18"/>
    <s v=""/>
    <s v=""/>
    <s v=""/>
    <s v=""/>
    <s v=""/>
    <s v=""/>
    <s v=""/>
    <s v=""/>
    <s v=""/>
    <s v=""/>
    <s v=""/>
    <s v=""/>
    <s v="['35&amp;rsquor;|0:1|Johnny Rep', '50&amp;rsquor;|1:1|Arie Haan']"/>
    <s v="['40&amp;rsquor;|0:1|Romeo Benetti', '65&amp;rsquor;|1:1|Antonio Cabrini', '70&amp;rsquor;|1:1|Marco Tardelli']"/>
    <s v="['21&amp;rsquor;|0:1|Jan Jongbloed|for Piet Schrijvers', '65&amp;rsquor;|1:1|Adrie van Kraay|for Johnny Rep']"/>
    <s v="['46&amp;rsquor;|0:1|Claudio Sala|for Franco Causio', '77&amp;rsquor;|2:1|Francesco Graziani|for Romeo Benetti']"/>
  </r>
  <r>
    <s v="Austria"/>
    <s v="West Germany"/>
    <n v="3"/>
    <m/>
    <m/>
    <n v="2"/>
    <m/>
    <m/>
    <s v="Helmut Senekowitsch"/>
    <s v="Robert Sara"/>
    <s v="Helmut Schoen"/>
    <s v="Berti Vogts"/>
    <n v="38318"/>
    <s v="Estadio Olï¿½mpico Chateau Carreras, Cordoba"/>
    <s v="Abraham Klein (Referee) · Alojzy Jarguz (AR1) · Antonio Garrido (AR2)"/>
    <x v="8"/>
    <x v="269"/>
    <s v="3–2"/>
    <s v="Abraham Klein"/>
    <s v=""/>
    <x v="11"/>
    <x v="11"/>
    <s v="Hans Krankl · 66|Hans Krankl · 87"/>
    <s v="Karl-Heinz Rummenigge · 19|Bernd Hölzenbein · 68"/>
    <s v="['66&amp;rsquor;|2:1|Hans Krankl', '87&amp;rsquor;|3:2|Hans Krankl']"/>
    <s v="['19&amp;rsquor;|0:1|Karl-Heinz Rummenigge', '68&amp;rsquor;|2:2|Bernd Hölzenbein']"/>
    <s v="Berti Vogts (OG) · 59"/>
    <s v=""/>
    <s v=""/>
    <s v=""/>
    <s v=""/>
    <s v=""/>
    <s v=""/>
    <s v=""/>
    <s v=""/>
    <s v=""/>
    <s v=""/>
    <s v=""/>
    <s v=""/>
    <s v=""/>
    <s v="['1&amp;rsquor;|0:0|Robert Sara', '1&amp;rsquor;|0:0|Herbert Prohaska']"/>
    <s v="['1&amp;rsquor;|0:0|Rüdiger Abramczik']"/>
    <s v="['71&amp;rsquor;|2:2|Franz Oberacher|for Walter Schachner']"/>
    <s v="['46&amp;rsquor;|0:1|Hansi Müller|for Erich Beer', '60&amp;rsquor;|1:1|Klaus Fischer|for Dieter Müller']"/>
  </r>
  <r>
    <s v="Brazil"/>
    <s v="Poland"/>
    <n v="3"/>
    <m/>
    <m/>
    <n v="1"/>
    <m/>
    <m/>
    <s v="Claudio Coutinho"/>
    <s v="Émerson Leão"/>
    <s v="Jacek Gmoch"/>
    <s v="Kazimierz Deyna"/>
    <n v="39586"/>
    <s v="San Martin, Mendoza"/>
    <s v="Juan Silvagno Cavanna (Referee) · Anatoly Ivanov (AR1) · Alfonso Gonzalez Archundia (AR2)"/>
    <x v="8"/>
    <x v="269"/>
    <s v="3–1"/>
    <s v="Juan Silvagno Cavanna"/>
    <s v=""/>
    <x v="11"/>
    <x v="11"/>
    <s v="Nelinho · 12|Roberto Dinamite · 57|Roberto Dinamite · 63"/>
    <s v="Grzegorz Lato · 45"/>
    <s v="['12&amp;rsquor;|1:0|Nelinho', '57&amp;rsquor;|2:1|Roberto Dinamite', '63&amp;rsquor;|3:1|Roberto Dinamite']"/>
    <s v="['45&amp;rsquor;|1:1|Grzegorz Lato']"/>
    <s v=""/>
    <s v=""/>
    <s v=""/>
    <s v=""/>
    <s v=""/>
    <s v=""/>
    <s v=""/>
    <s v=""/>
    <s v=""/>
    <s v=""/>
    <s v=""/>
    <s v=""/>
    <s v=""/>
    <s v=""/>
    <s v="['50&amp;rsquor;|1:1|Jorge Mendonça', '53&amp;rsquor;|1:1|Toninho Cerezo']"/>
    <s v=""/>
    <s v="['7&amp;rsquor;|0:0|Jorge Mendonça|for Zico', '77&amp;rsquor;|3:1|Rivellino|for Toninho Cerezo']"/>
    <s v="['64&amp;rsquor;|3:1|Włodzimierz Lubański']"/>
  </r>
  <r>
    <s v="Argentina"/>
    <s v="Peru"/>
    <n v="6"/>
    <m/>
    <m/>
    <n v="0"/>
    <m/>
    <m/>
    <s v="Cesar Luis Menotti"/>
    <s v="Daniel Passarella"/>
    <s v="Marcos Calderon"/>
    <s v="Héctor Chumpitaz"/>
    <n v="37315"/>
    <s v="Arroyito - Estadio Dr. Lisandro de la Torre, Rosario"/>
    <s v="Robert Wurtz (Referee) · Ferdinand Biwersi (AR1) · Sergio Gonella (AR2)"/>
    <x v="8"/>
    <x v="269"/>
    <s v="6–0"/>
    <s v="Robert Wurtz"/>
    <s v=""/>
    <x v="11"/>
    <x v="11"/>
    <s v="Mario Kempes · 21|Alberto Tarantini · 43|Mario Kempes · 48|Leopoldo Luque · 50|René Houseman · 67|Leopoldo Luque · 72"/>
    <s v=""/>
    <s v="['21&amp;rsquor;|1:0|Mario Kempes', '43&amp;rsquor;|2:0|Alberto Tarantini', '48&amp;rsquor;|3:0|Mario Kempes', '50&amp;rsquor;|4:0|Leopoldo Luque', '67&amp;rsquor;|5:0|René Houseman', '72&amp;rsquor;|6:0|Leopoldo Luque']"/>
    <s v=""/>
    <s v=""/>
    <s v=""/>
    <s v=""/>
    <s v=""/>
    <s v=""/>
    <s v=""/>
    <s v=""/>
    <s v=""/>
    <s v=""/>
    <s v=""/>
    <s v=""/>
    <s v=""/>
    <s v=""/>
    <s v=""/>
    <s v=""/>
    <s v="['1&amp;rsquor;|0:0|José Velásquez', '1&amp;rsquor;|0:0|Alfredo Quesada']"/>
    <s v="['64&amp;rsquor;|4:0|René Houseman', '85&amp;rsquor;|6:0|Miguel Oviedo|for Américo Gallego']"/>
    <s v="['51&amp;rsquor;|4:0|Raúl Gorriti|for José Velásquez']"/>
  </r>
  <r>
    <s v="Poland"/>
    <s v="Peru"/>
    <n v="1"/>
    <m/>
    <m/>
    <n v="0"/>
    <m/>
    <m/>
    <s v="Jacek Gmoch"/>
    <s v="Kazimierz Deyna"/>
    <s v="Marcos Calderon"/>
    <s v="Héctor Chumpitaz"/>
    <n v="35288"/>
    <s v="San Martin, Mendoza"/>
    <s v="Pat Partridge (Referee) · Thomas Clive (AR1) · Charles Corver (AR2)"/>
    <x v="8"/>
    <x v="270"/>
    <s v="1–0"/>
    <s v="Pat Partridge"/>
    <s v=""/>
    <x v="11"/>
    <x v="11"/>
    <s v="Andrzej Szarmach · 65"/>
    <s v=""/>
    <s v="['65&amp;rsquor;|1:0|Andrzej Szarmach']"/>
    <s v=""/>
    <s v=""/>
    <s v=""/>
    <s v=""/>
    <s v=""/>
    <s v=""/>
    <s v=""/>
    <s v=""/>
    <s v=""/>
    <s v=""/>
    <s v=""/>
    <s v=""/>
    <s v=""/>
    <s v=""/>
    <s v=""/>
    <s v="['1&amp;rsquor;|0:0|Zbigniew Boniek', '1&amp;rsquor;|0:0|Jerzy Gorgoń']"/>
    <s v="['1&amp;rsquor;|0:0|Rodolfo Manzo', '89&amp;rsquor;|1:0|Ramón Quiroga']"/>
    <s v="['46&amp;rsquor;|0:0|Henryk Kasperczak|for Bohdan Masztaler', '86&amp;rsquor;|1:0|Włodzimierz Lubański|for Zbigniew Boniek']"/>
    <s v="['46&amp;rsquor;|0:0|Percy Rojas|for Juan José Muñante', '74&amp;rsquor;|1:0|Hugo Sotil']"/>
  </r>
  <r>
    <s v="West Germany"/>
    <s v="Netherlands"/>
    <n v="2"/>
    <m/>
    <m/>
    <n v="2"/>
    <m/>
    <m/>
    <s v="Helmut Schoen"/>
    <s v="Berti Vogts"/>
    <s v="Ernst Happel"/>
    <s v="Ruud Krol"/>
    <n v="40750"/>
    <s v="Estadio Olï¿½mpico Chateau Carreras, Cordoba"/>
    <s v="Ramon Barreto Ruiz (Referee) · Miguel Comesana (AR1) · Arnaldo Coelho (AR2)"/>
    <x v="8"/>
    <x v="270"/>
    <s v="2–2"/>
    <s v="Ramon Barreto Ruiz"/>
    <s v=""/>
    <x v="11"/>
    <x v="11"/>
    <s v="Rüdiger Abramczik · 3|Dieter Müller · 70"/>
    <s v="Arie Haan · 27|René van de Kerkhof · 84"/>
    <s v="['3&amp;rsquor;|1:0|Rüdiger Abramczik', '70&amp;rsquor;|2:1|Dieter Müller']"/>
    <s v="['27&amp;rsquor;|1:1|Arie Haan', '84&amp;rsquor;|2:2|René van de Kerkhof']"/>
    <s v=""/>
    <s v=""/>
    <s v=""/>
    <s v=""/>
    <s v=""/>
    <s v=""/>
    <s v=""/>
    <s v=""/>
    <s v=""/>
    <s v=""/>
    <s v=""/>
    <s v="Dick Nanninga · 88"/>
    <s v=""/>
    <s v=""/>
    <s v="['1&amp;rsquor;|0:0|Sepp Maier']"/>
    <s v="['1&amp;rsquor;|0:0|Dick Nanninga', '6&amp;rsquor;|1:0|Willy van de Kerkhof']"/>
    <s v=""/>
    <s v="['79&amp;rsquor;|2:1|Dick Nanninga|for Piet Wildschut']"/>
  </r>
  <r>
    <s v="Italy"/>
    <s v="Austria"/>
    <n v="1"/>
    <m/>
    <m/>
    <n v="0"/>
    <m/>
    <m/>
    <s v="Enzo Bearzot"/>
    <s v="Dino Zoff"/>
    <s v="Helmut Senekowitsch"/>
    <s v="Robert Sara"/>
    <n v="66695"/>
    <s v="El Monumental - Estadio Monumental Antonio Vespuci, Buenos Aires"/>
    <s v="Francis Rion (Referee) · Norberto Angel Coerezza (AR1) · Youssou Ndiaye (AR2)"/>
    <x v="8"/>
    <x v="270"/>
    <s v="1–0"/>
    <s v="Francis Rion"/>
    <s v=""/>
    <x v="11"/>
    <x v="11"/>
    <s v="Paolo Rossi · 14"/>
    <s v=""/>
    <s v="['14&amp;rsquor;|1:0|Paolo Rossi']"/>
    <s v=""/>
    <s v=""/>
    <s v=""/>
    <s v=""/>
    <s v=""/>
    <s v=""/>
    <s v=""/>
    <s v=""/>
    <s v=""/>
    <s v=""/>
    <s v=""/>
    <s v=""/>
    <s v=""/>
    <s v=""/>
    <s v=""/>
    <s v=""/>
    <s v=""/>
    <s v="['46&amp;rsquor;|1:0|Antonello Cuccureddu|for Mauro Bellugi', '72&amp;rsquor;|1:0|Francesco Graziani|for Roberto Bettega']"/>
    <s v="['63&amp;rsquor;|1:0|Hans Pirkner|for Walter Schachner']"/>
  </r>
  <r>
    <s v="Argentina"/>
    <s v="Brazil"/>
    <n v="0"/>
    <m/>
    <m/>
    <n v="0"/>
    <m/>
    <m/>
    <s v="Cesar Luis Menotti"/>
    <s v="Daniel Passarella"/>
    <s v="Claudio Coutinho"/>
    <s v="Émerson Leão"/>
    <n v="37326"/>
    <s v="Arroyito - Estadio Dr. Lisandro de la Torre, Rosario"/>
    <s v="Karoly Palotai (Referee) · Erich Linemayr (AR1) · Adolf Prokop (AR2)"/>
    <x v="8"/>
    <x v="270"/>
    <s v="0–0"/>
    <s v="Karoly Palotai"/>
    <s v=""/>
    <x v="11"/>
    <x v="11"/>
    <s v=""/>
    <s v=""/>
    <s v=""/>
    <s v=""/>
    <s v=""/>
    <s v=""/>
    <s v=""/>
    <s v=""/>
    <s v=""/>
    <s v=""/>
    <s v=""/>
    <s v=""/>
    <s v=""/>
    <s v=""/>
    <s v=""/>
    <s v=""/>
    <s v=""/>
    <s v=""/>
    <s v="['1&amp;rsquor;|0:0|Ricardo Villa']"/>
    <s v="['1&amp;rsquor;|0:0|Edinho', '1&amp;rsquor;|0:0|Zico', '1&amp;rsquor;|0:0|Chicão']"/>
    <s v="['46&amp;rsquor;|0:0|Ricardo Villa|for Osvaldo Ardiles', '60&amp;rsquor;|0:0|Norberto Alonso']"/>
    <s v="['34&amp;rsquor;|0:0|Edinho|for José Rodrigues Neto', '67&amp;rsquor;|0:0|Zico|for Jorge Mendonça']"/>
  </r>
  <r>
    <s v="Netherlands"/>
    <s v="Austria"/>
    <n v="5"/>
    <m/>
    <m/>
    <n v="1"/>
    <m/>
    <m/>
    <s v="Ernst Happel"/>
    <s v="Ruud Krol"/>
    <s v="Helmut Senekowitsch"/>
    <s v="Robert Sara"/>
    <n v="25050"/>
    <s v="Estadio Olï¿½mpico Chateau Carreras, Cordoba"/>
    <s v="John Gordon (Referee) · Arturo Andres Ithurralde (AR1) · Farouk Bouzo (AR2)"/>
    <x v="8"/>
    <x v="271"/>
    <s v="5–1"/>
    <s v="John Gordon"/>
    <s v=""/>
    <x v="11"/>
    <x v="11"/>
    <s v="Ernie Brandts · 6|Johnny Rep · 36|Johnny Rep · 53|Willy van de Kerkhof · 82"/>
    <s v="Erich Obermayer · 79"/>
    <s v="['6&amp;rsquor;|1:0|Ernie Brandts', '36&amp;rsquor;|3:0|Johnny Rep', '53&amp;rsquor;|4:0|Johnny Rep', '82&amp;rsquor;|5:1|Willy van de Kerkhof']"/>
    <s v="['79&amp;rsquor;|4:1|Erich Obermayer']"/>
    <s v=""/>
    <s v=""/>
    <s v="Rob Rensenbrink (P) · 35"/>
    <s v=""/>
    <s v=""/>
    <s v=""/>
    <s v=""/>
    <s v=""/>
    <s v=""/>
    <s v=""/>
    <s v=""/>
    <s v=""/>
    <s v=""/>
    <s v=""/>
    <s v=""/>
    <s v=""/>
    <s v="['60&amp;rsquor;|4:0|Dick Schoenaker|for René van de Kerkhof', '66&amp;rsquor;|4:0|Adrie van Kraay|for Ernie Brandts']"/>
    <s v=""/>
  </r>
  <r>
    <s v="West Germany"/>
    <s v="Italy"/>
    <n v="0"/>
    <m/>
    <m/>
    <n v="0"/>
    <m/>
    <m/>
    <s v="Helmut Schoen"/>
    <s v="Berti Vogts"/>
    <s v="Enzo Bearzot"/>
    <s v="Dino Zoff"/>
    <n v="67547"/>
    <s v="El Monumental - Estadio Monumental Antonio Vespuci, Buenos Aires"/>
    <s v="Dusan Maksimovic (Referee) · Alfonso Gonzalez Archundia (AR1) · Miguel Comesana (AR2)"/>
    <x v="8"/>
    <x v="271"/>
    <s v="0–0"/>
    <s v="Dusan Maksimovic"/>
    <s v=""/>
    <x v="11"/>
    <x v="11"/>
    <s v=""/>
    <s v=""/>
    <s v=""/>
    <s v=""/>
    <s v=""/>
    <s v=""/>
    <s v=""/>
    <s v=""/>
    <s v=""/>
    <s v=""/>
    <s v=""/>
    <s v=""/>
    <s v=""/>
    <s v=""/>
    <s v=""/>
    <s v=""/>
    <s v=""/>
    <s v=""/>
    <s v=""/>
    <s v=""/>
    <s v="['53&amp;rsquor;|0:0|Harald Konopka|for Herbert Zimmermann', '68&amp;rsquor;|0:0|Erich Beer|for Heinz Flohe']"/>
    <s v="['46&amp;rsquor;|0:0|Renato Zaccarelli|for Giancarlo Antognoni']"/>
  </r>
  <r>
    <s v="Brazil"/>
    <s v="Peru"/>
    <n v="3"/>
    <m/>
    <m/>
    <n v="0"/>
    <m/>
    <m/>
    <s v="Claudio Coutinho"/>
    <s v="Émerson Leão"/>
    <s v="Marcos Calderon"/>
    <s v="Héctor Chumpitaz"/>
    <n v="31278"/>
    <s v="San Martin, Mendoza"/>
    <s v="Nicolae Rainea (Referee) · Jean Dubach (AR1) · Werner Winsemann (AR2)"/>
    <x v="8"/>
    <x v="271"/>
    <s v="3–0"/>
    <s v="Nicolae Rainea"/>
    <s v=""/>
    <x v="11"/>
    <x v="11"/>
    <s v="Dirceu · 15|Dirceu · 28"/>
    <s v=""/>
    <s v="['15&amp;rsquor;|1:0|Dirceu', '28&amp;rsquor;|2:0|Dirceu']"/>
    <s v=""/>
    <s v=""/>
    <s v=""/>
    <s v="Zico (P) · 73"/>
    <s v=""/>
    <s v=""/>
    <s v=""/>
    <s v=""/>
    <s v=""/>
    <s v=""/>
    <s v=""/>
    <s v=""/>
    <s v=""/>
    <s v=""/>
    <s v=""/>
    <s v="['80&amp;rsquor;|3:0|Roberto Dinamite']"/>
    <s v="['75&amp;rsquor;|3:0|José Velásquez']"/>
    <s v="['70&amp;rsquor;|2:0|Zico|for Gilberto Alves', '76&amp;rsquor;|3:0|Chicão|for Antônio Dias dos Santos']"/>
    <s v="['11&amp;rsquor;|0:0|José Navarro|for Rubén Toribio Díaz', '46&amp;rsquor;|2:0|Percy Rojas|for Juan Carlos Oblitas']"/>
  </r>
  <r>
    <s v="Argentina"/>
    <s v="Poland"/>
    <n v="2"/>
    <m/>
    <m/>
    <n v="0"/>
    <m/>
    <m/>
    <s v="Cesar Luis Menotti"/>
    <s v="Daniel Passarella"/>
    <s v="Jacek Gmoch"/>
    <s v="Kazimierz Deyna"/>
    <n v="37091"/>
    <s v="Arroyito - Estadio Dr. Lisandro de la Torre, Rosario"/>
    <s v="Ulf Eriksson (Referee) · Jafar Namdar (AR1) · Tesfaye Gebreyesus Difue (AR2)"/>
    <x v="8"/>
    <x v="271"/>
    <s v="2–0"/>
    <s v="Ulf Eriksson"/>
    <s v=""/>
    <x v="11"/>
    <x v="11"/>
    <s v="Mario Kempes · 16|Mario Kempes · 71"/>
    <s v=""/>
    <s v="['16&amp;rsquor;|1:0|Mario Kempes', '71&amp;rsquor;|2:0|Mario Kempes']"/>
    <s v=""/>
    <s v=""/>
    <s v=""/>
    <s v=""/>
    <s v=""/>
    <s v=""/>
    <s v=""/>
    <s v=""/>
    <s v=""/>
    <s v=""/>
    <s v=""/>
    <s v=""/>
    <s v=""/>
    <s v=""/>
    <s v=""/>
    <s v="['80&amp;rsquor;|2:0|Américo Gallego']"/>
    <s v="['75&amp;rsquor;|2:0|Henryk Maculewicz']"/>
    <s v="['46&amp;rsquor;|1:0|Ricardo Villa|for José Daniel Valencia', '83&amp;rsquor;|2:0|Oscar Alberto Ortiz']"/>
    <s v="['64&amp;rsquor;|1:0|Włodzimierz Mazur|for Bohdan Masztaler']"/>
  </r>
  <r>
    <s v="Brazil"/>
    <s v="Austria"/>
    <n v="1"/>
    <m/>
    <m/>
    <n v="0"/>
    <m/>
    <m/>
    <s v="Claudio Coutinho"/>
    <s v="Émerson Leão"/>
    <s v="Helmut Senekowitsch"/>
    <s v="Robert Sara"/>
    <n v="35221"/>
    <s v="Estadio Josï¿½ Marï¿½a Minella, Mar Del Plata"/>
    <s v="Robert Wurtz (Referee) · Farouk Bouzo (AR1) · Tesfaye Gebreyesus Difue (AR2)"/>
    <x v="9"/>
    <x v="272"/>
    <s v="1–0"/>
    <s v="Robert Wurtz"/>
    <s v=""/>
    <x v="11"/>
    <x v="11"/>
    <s v="Roberto Dinamite · 40"/>
    <s v=""/>
    <s v="['40&amp;rsquor;|1:0|Roberto Dinamite']"/>
    <s v=""/>
    <s v=""/>
    <s v=""/>
    <s v=""/>
    <s v=""/>
    <s v=""/>
    <s v=""/>
    <s v=""/>
    <s v=""/>
    <s v=""/>
    <s v=""/>
    <s v=""/>
    <s v=""/>
    <s v=""/>
    <s v=""/>
    <s v=""/>
    <s v=""/>
    <s v="['71&amp;rsquor;|1:0|Chicão|for Toninho Cerezo', '84&amp;rsquor;|1:0|Zico|for Jorge Mendonça']"/>
    <s v="['61&amp;rsquor;|1:0|Heribert Weber|for Josef Hickersberger', '84&amp;rsquor;|1:0|Günther Happich|for Eduard Krieger']"/>
  </r>
  <r>
    <s v="Spain"/>
    <s v="Sweden"/>
    <n v="1"/>
    <m/>
    <m/>
    <n v="0"/>
    <m/>
    <m/>
    <s v="Ladislao Kubala"/>
    <s v="Juan Manuel Asensi"/>
    <s v="Georg Ericson"/>
    <s v="Björn Nordqvist"/>
    <n v="42132"/>
    <s v="Jose Amalfitani, Buenos Aires"/>
    <s v="Ferdinand Biwersi (Referee) · Arturo Andres Ithurralde (AR1) · Adolf Prokop (AR2)"/>
    <x v="9"/>
    <x v="272"/>
    <s v="1–0"/>
    <s v="Ferdinand Biwersi"/>
    <s v=""/>
    <x v="11"/>
    <x v="11"/>
    <s v="Juan Manuel Asensi · 75"/>
    <s v=""/>
    <s v="['75&amp;rsquor;|1:0|Juan Manuel Asensi']"/>
    <s v=""/>
    <s v=""/>
    <s v=""/>
    <s v=""/>
    <s v=""/>
    <s v=""/>
    <s v=""/>
    <s v=""/>
    <s v=""/>
    <s v=""/>
    <s v=""/>
    <s v=""/>
    <s v=""/>
    <s v=""/>
    <s v=""/>
    <s v=""/>
    <s v="['37&amp;rsquor;|0:0|Hasse Borg']"/>
    <s v="['46&amp;rsquor;|0:0|Pirri|for Antonio Olmo']"/>
    <s v="['59&amp;rsquor;|0:0|Benny Wendt|for Ralf Edström', '66&amp;rsquor;|0:0|Anders Linderoth|for Thomas Sjöberg']"/>
  </r>
  <r>
    <s v="Peru"/>
    <s v="IR Iran"/>
    <n v="4"/>
    <m/>
    <m/>
    <n v="1"/>
    <m/>
    <m/>
    <s v="Marcos Calderon"/>
    <s v="Héctor Chumpitaz"/>
    <s v="Heshmat Mohadjerani"/>
    <s v="Ali Parvin"/>
    <n v="21262"/>
    <s v="Estadio Olï¿½mpico Chateau Carreras, Cordoba"/>
    <s v="Alojzy Jarguz (Referee) · Dusan Maksimovic (AR1) · Werner Winsemann (AR2)"/>
    <x v="9"/>
    <x v="272"/>
    <s v="4–1"/>
    <s v="Alojzy Jarguz"/>
    <s v=""/>
    <x v="11"/>
    <x v="11"/>
    <s v="José Velásquez · 2|Teófilo Cubillas · 79"/>
    <s v="Hassan Rowshan · 41"/>
    <s v="['2&amp;rsquor;|1:0|José Velásquez', '79&amp;rsquor;|4:1|Teófilo Cubillas']"/>
    <s v="['41&amp;rsquor;|3:1|Hassan Rowshan']"/>
    <s v=""/>
    <s v=""/>
    <s v="Teófilo Cubillas (P) · 36|Teófilo Cubillas (P) · 39"/>
    <s v=""/>
    <s v=""/>
    <s v=""/>
    <s v=""/>
    <s v=""/>
    <s v=""/>
    <s v=""/>
    <s v=""/>
    <s v=""/>
    <s v=""/>
    <s v=""/>
    <s v=""/>
    <s v="['60&amp;rsquor;|3:1|Hassan Nazari']"/>
    <s v="['60&amp;rsquor;|3:1|Hugo Sotil|for Guillermo La Rosa', '67&amp;rsquor;|3:1|Germán Leguía|for Rodolfo Manzo']"/>
    <s v="['51&amp;rsquor;|3:1|Ghafour Jahani|for Hossein Faraki', '66&amp;rsquor;|3:1|Behtash Fariba|for Hassan Rowshan']"/>
  </r>
  <r>
    <s v="Scotland"/>
    <s v="Netherlands"/>
    <n v="3"/>
    <m/>
    <m/>
    <n v="2"/>
    <m/>
    <m/>
    <s v="Alistair Macleod"/>
    <s v="Bruce Rioch"/>
    <s v="Ernst Happel"/>
    <s v="Ruud Krol"/>
    <n v="35130"/>
    <s v="San Martin, Mendoza"/>
    <s v="Erich Linemayr (Referee) · Karoly Palotai (AR1) · Hedi Seoudi (AR2)"/>
    <x v="9"/>
    <x v="272"/>
    <s v="3–2"/>
    <s v="Erich Linemayr"/>
    <s v=""/>
    <x v="11"/>
    <x v="11"/>
    <s v="Kenny Dalglish · 44|Archie Gemmill · 68"/>
    <s v="Johnny Rep · 71"/>
    <s v="['44&amp;rsquor;|1:1|Kenny Dalglish', '68&amp;rsquor;|3:1|Archie Gemmill']"/>
    <s v="['71&amp;rsquor;|3:2|Johnny Rep']"/>
    <s v=""/>
    <s v=""/>
    <s v="Archie Gemmill (P) · 47"/>
    <s v="Rob Rensenbrink (P) · 34"/>
    <s v=""/>
    <s v=""/>
    <s v=""/>
    <s v=""/>
    <s v=""/>
    <s v=""/>
    <s v=""/>
    <s v=""/>
    <s v=""/>
    <s v=""/>
    <s v="['1&amp;rsquor;|0:0|Archie Gemmill']"/>
    <s v=""/>
    <s v=""/>
    <s v="['10&amp;rsquor;|0:0|Johan Boskamp|for Johan Neeskens', '44&amp;rsquor;|1:1|Piet Wildschut|for Wim Rijsbergen']"/>
  </r>
  <r>
    <s v="France"/>
    <s v="Hungary"/>
    <n v="3"/>
    <m/>
    <m/>
    <n v="1"/>
    <m/>
    <m/>
    <s v="Michel Hidalgo"/>
    <s v="Marius Trésor"/>
    <s v="Lajos Baroti"/>
    <s v="Zoltán Kereki"/>
    <n v="23127"/>
    <s v="Estadio Josï¿½ Marï¿½a Minella, Mar Del Plata"/>
    <s v="Arnaldo Coelho (Referee) · Pat Partridge (AR1) · Juan Silvagno Cavanna (AR2)"/>
    <x v="9"/>
    <x v="273"/>
    <s v="3–1"/>
    <s v="Arnaldo Coelho"/>
    <s v=""/>
    <x v="11"/>
    <x v="11"/>
    <s v="Christian Lopez · 22|Marc Berdoll · 37|Dominique Rocheteau · 42"/>
    <s v="Sándor Zombori · 41"/>
    <s v="['22&amp;rsquor;|1:0|Christian Lopez', '37&amp;rsquor;|2:0|Marc Berdoll', '42&amp;rsquor;|3:1|Dominique Rocheteau']"/>
    <s v="['41&amp;rsquor;|2:1|Sándor Zombori']"/>
    <s v=""/>
    <s v=""/>
    <s v=""/>
    <s v=""/>
    <s v=""/>
    <s v=""/>
    <s v=""/>
    <s v=""/>
    <s v=""/>
    <s v=""/>
    <s v=""/>
    <s v=""/>
    <s v=""/>
    <s v=""/>
    <s v=""/>
    <s v=""/>
    <s v="['46&amp;rsquor;|3:1|Michel Platini|for Claude Papi', '75&amp;rsquor;|3:1|Didier Six']"/>
    <s v="['73&amp;rsquor;|3:1|Károly Csapó|for László Nagy']"/>
  </r>
  <r>
    <s v="Poland"/>
    <s v="Mexico"/>
    <n v="3"/>
    <m/>
    <m/>
    <n v="1"/>
    <m/>
    <m/>
    <s v="Jacek Gmoch"/>
    <s v="Kazimierz Deyna"/>
    <s v="Jose Roca"/>
    <s v="Arturo Vázquez Ayala"/>
    <n v="22651"/>
    <s v="Arroyito - Estadio Dr. Lisandro de la Torre, Rosario"/>
    <s v="Jafar Namdar (Referee) · Ulf Eriksson (AR1) · Charles Corver (AR2)"/>
    <x v="9"/>
    <x v="273"/>
    <s v="3–1"/>
    <s v="Jafar Namdar"/>
    <s v=""/>
    <x v="11"/>
    <x v="11"/>
    <s v="Zbigniew Boniek · 43|Kazimierz Deyna · 56|Zbigniew Boniek · 84"/>
    <s v="Víctor Rangel · 52"/>
    <s v="['43&amp;rsquor;|1:0|Zbigniew Boniek', '56&amp;rsquor;|2:1|Kazimierz Deyna', '84&amp;rsquor;|3:1|Zbigniew Boniek']"/>
    <s v="['52&amp;rsquor;|1:1|Víctor Rangel']"/>
    <s v=""/>
    <s v=""/>
    <s v=""/>
    <s v=""/>
    <s v=""/>
    <s v=""/>
    <s v=""/>
    <s v=""/>
    <s v=""/>
    <s v=""/>
    <s v=""/>
    <s v=""/>
    <s v=""/>
    <s v=""/>
    <s v=""/>
    <s v=""/>
    <s v="['76&amp;rsquor;|2:1|Włodzimierz Lubański|for Andrzej Iwan', '84&amp;rsquor;|3:1|Henryk Maculewicz']"/>
    <s v="['46&amp;rsquor;|1:0|Guillermo Mendizábal|for Javier Cárdenas']"/>
  </r>
  <r>
    <s v="West Germany"/>
    <s v="Tunisia"/>
    <n v="0"/>
    <m/>
    <m/>
    <n v="0"/>
    <m/>
    <m/>
    <s v="Helmut Schoen"/>
    <s v="Berti Vogts"/>
    <s v="Abdelmajid Chetali"/>
    <s v="Témime Lahzami"/>
    <n v="30667"/>
    <s v="Estadio Olï¿½mpico Chateau Carreras, Cordoba"/>
    <s v="Cesar Orozco Guerrero (Referee) · Miguel Comesana (AR1) · Luis Pestarino (AR2)"/>
    <x v="9"/>
    <x v="273"/>
    <s v="0–0"/>
    <s v="Cesar Orozco Guerrero"/>
    <s v=""/>
    <x v="11"/>
    <x v="11"/>
    <s v=""/>
    <s v=""/>
    <s v=""/>
    <s v=""/>
    <s v=""/>
    <s v=""/>
    <s v=""/>
    <s v=""/>
    <s v=""/>
    <s v=""/>
    <s v=""/>
    <s v=""/>
    <s v=""/>
    <s v=""/>
    <s v=""/>
    <s v=""/>
    <s v=""/>
    <s v=""/>
    <s v="['1&amp;rsquor;|0:0|Hansi Müller']"/>
    <s v="['1&amp;rsquor;|0:0|Tarak Dhiab']"/>
    <s v=""/>
    <s v="['82&amp;rsquor;|0:0|Abderraouf Ben Aziza|for Mohamed Akid']"/>
  </r>
  <r>
    <s v="Italy"/>
    <s v="Argentina"/>
    <n v="1"/>
    <m/>
    <m/>
    <n v="0"/>
    <m/>
    <m/>
    <s v="Enzo Bearzot"/>
    <s v="Dino Zoff"/>
    <s v="Cesar Luis Menotti"/>
    <s v="Daniel Passarella"/>
    <n v="71712"/>
    <s v="El Monumental - Estadio Monumental Antonio Vespuci, Buenos Aires"/>
    <s v="Abraham Klein (Referee) · Alfonso Gonzalez Archundia (AR1) · Francis Rion (AR2)"/>
    <x v="9"/>
    <x v="273"/>
    <s v="1–0"/>
    <s v="Abraham Klein"/>
    <s v=""/>
    <x v="11"/>
    <x v="11"/>
    <s v="Roberto Bettega · 67"/>
    <s v=""/>
    <s v="['67&amp;rsquor;|1:0|Roberto Bettega']"/>
    <s v=""/>
    <s v=""/>
    <s v=""/>
    <s v=""/>
    <s v=""/>
    <s v=""/>
    <s v=""/>
    <s v=""/>
    <s v=""/>
    <s v=""/>
    <s v=""/>
    <s v=""/>
    <s v=""/>
    <s v=""/>
    <s v=""/>
    <s v="['60&amp;rsquor;|0:0|Romeo Benetti']"/>
    <s v=""/>
    <s v="['6&amp;rsquor;|0:0|Antonello Cuccureddu|for Mauro Bellugi', '73&amp;rsquor;|1:0|Renato Zaccarelli|for Giancarlo Antognoni']"/>
    <s v="['72&amp;rsquor;|1:0|René Houseman|for Oscar Alberto Ortiz']"/>
  </r>
  <r>
    <s v="Austria"/>
    <s v="Sweden"/>
    <n v="1"/>
    <m/>
    <m/>
    <n v="0"/>
    <m/>
    <m/>
    <s v="Helmut Senekowitsch"/>
    <s v="Robert Sara"/>
    <s v="Georg Ericson"/>
    <s v="Björn Nordqvist"/>
    <n v="41424"/>
    <s v="Jose Amalfitani, Buenos Aires"/>
    <s v="Charles Corver (Referee) · Dusan Maksimovic (AR1) · Hedi Seoudi (AR2)"/>
    <x v="9"/>
    <x v="274"/>
    <s v="1–0"/>
    <s v="Charles Corver"/>
    <s v=""/>
    <x v="11"/>
    <x v="11"/>
    <s v=""/>
    <s v=""/>
    <s v=""/>
    <s v=""/>
    <s v=""/>
    <s v=""/>
    <s v="Hans Krankl (P) · 42"/>
    <s v=""/>
    <s v=""/>
    <s v=""/>
    <s v=""/>
    <s v=""/>
    <s v=""/>
    <s v=""/>
    <s v=""/>
    <s v=""/>
    <s v=""/>
    <s v=""/>
    <s v=""/>
    <s v=""/>
    <s v="['71&amp;rsquor;|1:0|Heribert Weber|for Eduard Krieger']"/>
    <s v="['36&amp;rsquor;|0:0|Conny Torstensson|for Staffan Tapper', '60&amp;rsquor;|1:0|Ralf Edström|for Anders Linderoth']"/>
  </r>
  <r>
    <s v="Brazil"/>
    <s v="Spain"/>
    <n v="0"/>
    <m/>
    <m/>
    <n v="0"/>
    <m/>
    <m/>
    <s v="Claudio Coutinho"/>
    <s v="Émerson Leão"/>
    <s v="Ladislao Kubala"/>
    <s v="Juan Manuel Asensi"/>
    <n v="34771"/>
    <s v="Estadio Josï¿½ Marï¿½a Minella, Mar Del Plata"/>
    <s v="Sergio Gonella (Referee) · Abraham Klein (AR1) · Arturo Andres Ithurralde (AR2)"/>
    <x v="9"/>
    <x v="274"/>
    <s v="0–0"/>
    <s v="Sergio Gonella"/>
    <s v=""/>
    <x v="11"/>
    <x v="11"/>
    <s v=""/>
    <s v=""/>
    <s v=""/>
    <s v=""/>
    <s v=""/>
    <s v=""/>
    <s v=""/>
    <s v=""/>
    <s v=""/>
    <s v=""/>
    <s v=""/>
    <s v=""/>
    <s v=""/>
    <s v=""/>
    <s v=""/>
    <s v=""/>
    <s v=""/>
    <s v=""/>
    <s v=""/>
    <s v="['1&amp;rsquor;|0:0|Eugenio Leal']"/>
    <s v="['70&amp;rsquor;|0:0|Gilberto Alves|for Nelinho', '83&amp;rsquor;|0:0|Jorge Mendonça|for Zico']"/>
    <s v="['51&amp;rsquor;|0:0|Antonio Biosca|for Migueli', '80&amp;rsquor;|0:0|Antonio Guzmán Núñez|for Francisco Javier Uría']"/>
  </r>
  <r>
    <s v="Netherlands"/>
    <s v="Peru"/>
    <n v="0"/>
    <m/>
    <m/>
    <n v="0"/>
    <m/>
    <m/>
    <s v="Ernst Happel"/>
    <s v="Ruud Krol"/>
    <s v="Marcos Calderon"/>
    <s v="Héctor Chumpitaz"/>
    <n v="28125"/>
    <s v="San Martin, Mendoza"/>
    <s v="Adolf Prokop (Referee) · Norberto Angel Coerezza (AR1) · Anatoly Ivanov (AR2)"/>
    <x v="9"/>
    <x v="274"/>
    <s v="0–0"/>
    <s v="Adolf Prokop"/>
    <s v=""/>
    <x v="11"/>
    <x v="11"/>
    <s v=""/>
    <s v=""/>
    <s v=""/>
    <s v=""/>
    <s v=""/>
    <s v=""/>
    <s v=""/>
    <s v=""/>
    <s v=""/>
    <s v=""/>
    <s v=""/>
    <s v=""/>
    <s v=""/>
    <s v=""/>
    <s v=""/>
    <s v=""/>
    <s v=""/>
    <s v=""/>
    <s v="['25&amp;rsquor;|0:0|René van de Kerkhof']"/>
    <s v="['1&amp;rsquor;|0:0|Juan José Muñante']"/>
    <s v="['46&amp;rsquor;|0:0|Johnny Rep|for René van de Kerkhof', '68&amp;rsquor;|0:0|Dick Nanninga|for Johan Neeskens']"/>
    <s v="['62&amp;rsquor;|0:0|Hugo Sotil|for Guillermo La Rosa']"/>
  </r>
  <r>
    <s v="Scotland"/>
    <s v="IR Iran"/>
    <n v="1"/>
    <m/>
    <m/>
    <n v="1"/>
    <m/>
    <m/>
    <s v="Alistair Macleod"/>
    <s v="Archie Gemmill"/>
    <s v="Heshmat Mohadjerani"/>
    <s v="Ali Parvin"/>
    <n v="7938"/>
    <s v="Estadio Olï¿½mpico Chateau Carreras, Cordoba"/>
    <s v="Youssou Ndiaye (Referee) · Nicolae Rainea (AR1) · Arnaldo Coelho (AR2)"/>
    <x v="9"/>
    <x v="274"/>
    <s v="1–1"/>
    <s v="Youssou Ndiaye"/>
    <s v=""/>
    <x v="11"/>
    <x v="11"/>
    <s v=""/>
    <s v="Iraj Danaeifard · 60"/>
    <s v=""/>
    <s v="['60&amp;rsquor;|1:1|Iraj Danaeifard']"/>
    <s v="Andranik Eskandarian (OG) · 43"/>
    <s v=""/>
    <s v=""/>
    <s v=""/>
    <s v=""/>
    <s v=""/>
    <s v=""/>
    <s v=""/>
    <s v=""/>
    <s v=""/>
    <s v=""/>
    <s v=""/>
    <s v=""/>
    <s v=""/>
    <s v=""/>
    <s v="['1&amp;rsquor;|0:0|Andranik Eskandarian']"/>
    <s v="['56&amp;rsquor;|1:0|Tom Forsyth|for Martin Buchan', '74&amp;rsquor;|1:1|Joe Harper|for Kenny Dalglish']"/>
    <s v="['84&amp;rsquor;|1:1|Hassan Rowshan|for Hossein Faraki', '89&amp;rsquor;|1:1|Hassan Nayebagha|for Iraj Danaeifard']"/>
  </r>
  <r>
    <s v="Italy"/>
    <s v="Hungary"/>
    <n v="3"/>
    <m/>
    <m/>
    <n v="1"/>
    <m/>
    <m/>
    <s v="Enzo Bearzot"/>
    <s v="Dino Zoff"/>
    <s v="Lajos Baroti"/>
    <s v="Zoltán Kereki"/>
    <n v="26533"/>
    <s v="Estadio Josï¿½ Marï¿½a Minella, Mar Del Plata"/>
    <s v="Ramon Barreto Ruiz (Referee) · Ferdinand Biwersi (AR1) · John Gordon (AR2)"/>
    <x v="9"/>
    <x v="275"/>
    <s v="3–1"/>
    <s v="Ramon Barreto Ruiz"/>
    <s v=""/>
    <x v="11"/>
    <x v="11"/>
    <s v="Paolo Rossi · 34|Roberto Bettega · 36|Romeo Benetti · 60"/>
    <s v=""/>
    <s v="['34&amp;rsquor;|1:0|Paolo Rossi', '36&amp;rsquor;|2:0|Roberto Bettega', '60&amp;rsquor;|3:0|Romeo Benetti']"/>
    <s v=""/>
    <s v=""/>
    <s v=""/>
    <s v=""/>
    <s v="András Tóth (P) · 81"/>
    <s v=""/>
    <s v=""/>
    <s v=""/>
    <s v=""/>
    <s v=""/>
    <s v=""/>
    <s v=""/>
    <s v=""/>
    <s v=""/>
    <s v=""/>
    <s v=""/>
    <s v="['26&amp;rsquor;|0:0|Sándor Zombori', '64&amp;rsquor;|3:0|Győző Martos']"/>
    <s v="['79&amp;rsquor;|3:0|Antonello Cuccureddu|for Antonio Cabrini', '83&amp;rsquor;|3:1|Francesco Graziani|for Roberto Bettega']"/>
    <s v="['46&amp;rsquor;|2:0|András Tóth|for László Fazekas', '46&amp;rsquor;|2:0|István Halász|for László Nagy']"/>
  </r>
  <r>
    <s v="West Germany"/>
    <s v="Mexico"/>
    <n v="6"/>
    <m/>
    <m/>
    <n v="0"/>
    <m/>
    <m/>
    <s v="Helmut Schoen"/>
    <s v="Berti Vogts"/>
    <s v="Jose Roca"/>
    <s v="Arturo Vázquez Ayala"/>
    <n v="35258"/>
    <s v="Estadio Olï¿½mpico Chateau Carreras, Cordoba"/>
    <s v="Farouk Bouzo (Referee) · Antonio Garrido (AR1) · Francis Rion (AR2)"/>
    <x v="9"/>
    <x v="275"/>
    <s v="6–0"/>
    <s v="Farouk Bouzo"/>
    <s v=""/>
    <x v="11"/>
    <x v="11"/>
    <s v="Dieter Müller · 15|Hansi Müller · 30|Karl-Heinz Rummenigge · 38|Heinz Flohe · 44|Karl-Heinz Rummenigge · 73|Heinz Flohe · 89"/>
    <s v=""/>
    <s v="['15&amp;rsquor;|1:0|Dieter Müller', '30&amp;rsquor;|2:0|Hansi Müller', '38&amp;rsquor;|3:0|Karl-Heinz Rummenigge', '44&amp;rsquor;|4:0|Heinz Flohe', '73&amp;rsquor;|5:0|Karl-Heinz Rummenigge', '89&amp;rsquor;|6:0|Heinz Flohe']"/>
    <s v=""/>
    <s v=""/>
    <s v=""/>
    <s v=""/>
    <s v=""/>
    <s v=""/>
    <s v=""/>
    <s v=""/>
    <s v=""/>
    <s v=""/>
    <s v=""/>
    <s v=""/>
    <s v=""/>
    <s v=""/>
    <s v=""/>
    <s v="['1&amp;rsquor;|0:0|Rainer Bonhof']"/>
    <s v="['1&amp;rsquor;|0:0|Arturo Vázquez Ayala']"/>
    <s v=""/>
    <s v="['39&amp;rsquor;|3:0|Pedro Soto|for José Pilar Reyes', '46&amp;rsquor;|4:0|Gerardo Lugo Gómez']"/>
  </r>
  <r>
    <s v="Poland"/>
    <s v="Tunisia"/>
    <n v="1"/>
    <m/>
    <m/>
    <n v="0"/>
    <m/>
    <m/>
    <s v="Jacek Gmoch"/>
    <s v="Kazimierz Deyna"/>
    <s v="Abdelmajid Chetali"/>
    <s v="Témime Lahzami"/>
    <n v="9624"/>
    <s v="Arroyito - Estadio Dr. Lisandro de la Torre, Rosario"/>
    <s v="Angel Martinez (Referee) · Luis Pestarino (AR1) · Clive Thomas (AR2)"/>
    <x v="9"/>
    <x v="275"/>
    <s v="1–0"/>
    <s v="Angel Martinez"/>
    <s v=""/>
    <x v="11"/>
    <x v="11"/>
    <s v="Grzegorz Lato · 43"/>
    <s v=""/>
    <s v="['43&amp;rsquor;|1:0|Grzegorz Lato']"/>
    <s v=""/>
    <s v=""/>
    <s v=""/>
    <s v=""/>
    <s v=""/>
    <s v=""/>
    <s v=""/>
    <s v=""/>
    <s v=""/>
    <s v=""/>
    <s v=""/>
    <s v=""/>
    <s v=""/>
    <s v=""/>
    <s v=""/>
    <s v=""/>
    <s v=""/>
    <s v="['60&amp;rsquor;|1:0|Andrzej Iwan|for Andrzej Szarmach', '76&amp;rsquor;|1:0|Zbigniew Boniek|for Włodzimierz Lubański']"/>
    <s v=""/>
  </r>
  <r>
    <s v="Argentina"/>
    <s v="France"/>
    <n v="2"/>
    <m/>
    <m/>
    <n v="1"/>
    <m/>
    <m/>
    <s v="Cesar Luis Menotti"/>
    <s v="Daniel Passarella"/>
    <s v="Michel Hidalgo"/>
    <s v="Marius Trésor"/>
    <n v="71666"/>
    <s v="El Monumental - Estadio Monumental Antonio Vespuci, Buenos Aires"/>
    <s v="Jean Dubach (Referee) · Cesar Orozco Guerrero (AR1) · Werner Winsemann (AR2)"/>
    <x v="9"/>
    <x v="275"/>
    <s v="2–1"/>
    <s v="Jean Dubach"/>
    <s v=""/>
    <x v="11"/>
    <x v="11"/>
    <s v="Leopoldo Luque · 73"/>
    <s v="Michel Platini · 60"/>
    <s v="['73&amp;rsquor;|2:1|Leopoldo Luque']"/>
    <s v="['60&amp;rsquor;|1:1|Michel Platini']"/>
    <s v=""/>
    <s v=""/>
    <s v="Daniel Passarella (P) · 45"/>
    <s v=""/>
    <s v=""/>
    <s v=""/>
    <s v=""/>
    <s v=""/>
    <s v=""/>
    <s v=""/>
    <s v=""/>
    <s v=""/>
    <s v=""/>
    <s v=""/>
    <s v=""/>
    <s v="['1&amp;rsquor;|0:0|Didier Six']"/>
    <s v="['64&amp;rsquor;|1:1|Norberto Alonso|for José Daniel Valencia', '71&amp;rsquor;|1:1|Oscar Alberto Ortiz|for Norberto Alonso']"/>
    <s v="['55&amp;rsquor;|1:0|Dominique Baratelli|for Jean-Paul Bertrand-Demanes']"/>
  </r>
  <r>
    <s v="Sweden"/>
    <s v="Brazil"/>
    <n v="1"/>
    <m/>
    <m/>
    <n v="1"/>
    <m/>
    <m/>
    <s v="Georg Ericson"/>
    <s v="Björn Nordqvist"/>
    <s v="Claudio Coutinho"/>
    <s v="Rivellino"/>
    <n v="32569"/>
    <s v="Estadio Josï¿½ Marï¿½a Minella, Mar Del Plata"/>
    <s v="Clive Thomas (Referee) · Alojzy Jarguz (AR1) · Jafar Namdar (AR2)"/>
    <x v="9"/>
    <x v="276"/>
    <s v="1–1"/>
    <s v="Clive Thomas"/>
    <s v=""/>
    <x v="11"/>
    <x v="11"/>
    <s v="Thomas Sjöberg · 37"/>
    <s v="José Reinaldo de Lima · 45"/>
    <s v="['37&amp;rsquor;|1:0|Thomas Sjöberg']"/>
    <s v="['45&amp;rsquor;|1:1|José Reinaldo de Lima']"/>
    <s v=""/>
    <s v=""/>
    <s v=""/>
    <s v=""/>
    <s v=""/>
    <s v=""/>
    <s v=""/>
    <s v=""/>
    <s v=""/>
    <s v=""/>
    <s v=""/>
    <s v=""/>
    <s v=""/>
    <s v=""/>
    <s v=""/>
    <s v="['1&amp;rsquor;|0:0|Oscar']"/>
    <s v="['81&amp;rsquor;|1:1|Ralf Edström|for Lennart Larsson']"/>
    <s v="['66&amp;rsquor;|1:1|Nelinho|for Gilberto Alves', '86&amp;rsquor;|1:1|Dirceu|for Toninho Cerezo']"/>
  </r>
  <r>
    <s v="Austria"/>
    <s v="Spain"/>
    <n v="2"/>
    <m/>
    <m/>
    <n v="1"/>
    <m/>
    <m/>
    <s v="Helmut Senekowitsch"/>
    <s v="Robert Sara"/>
    <s v="Ladislao Kubala"/>
    <s v="Pirri"/>
    <n v="40841"/>
    <s v="Jose Amalfitani, Buenos Aires"/>
    <s v="Karoly Palotai (Referee) · Ramon Barreto Ruiz (AR1) · Anatoly Ivanov (AR2)"/>
    <x v="9"/>
    <x v="276"/>
    <s v="2–1"/>
    <s v="Karoly Palotai"/>
    <s v=""/>
    <x v="11"/>
    <x v="11"/>
    <s v="Walter Schachner · 9|Hans Krankl · 76"/>
    <s v="Daniel Ruiz · 21"/>
    <s v="['9&amp;rsquor;|1:0|Walter Schachner', '76&amp;rsquor;|2:1|Hans Krankl']"/>
    <s v="['21&amp;rsquor;|1:1|Daniel Ruiz']"/>
    <s v=""/>
    <s v=""/>
    <s v=""/>
    <s v=""/>
    <s v=""/>
    <s v=""/>
    <s v=""/>
    <s v=""/>
    <s v=""/>
    <s v=""/>
    <s v=""/>
    <s v=""/>
    <s v=""/>
    <s v=""/>
    <s v=""/>
    <s v=""/>
    <s v="['67&amp;rsquor;|1:1|Heribert Weber|for Josef Hickersberger', '80&amp;rsquor;|2:1|Hans Pirkner|for Walter Schachner']"/>
    <s v="['46&amp;rsquor;|1:1|Eugenio Leal|for Julio Cardeñosa', '60&amp;rsquor;|1:1|Quini|for Carles Rexach']"/>
  </r>
  <r>
    <s v="Peru"/>
    <s v="Scotland"/>
    <n v="3"/>
    <m/>
    <m/>
    <n v="1"/>
    <m/>
    <m/>
    <s v="Marcos Calderon"/>
    <s v="Héctor Chumpitaz"/>
    <s v="Alistair Macleod"/>
    <s v="Bruce Rioch"/>
    <n v="37927"/>
    <s v="Estadio Olï¿½mpico Chateau Carreras, Cordoba"/>
    <s v="Ulf Eriksson (Referee) · Tesfaye Gebreyesus Difue (AR1) · Angel Martinez (AR2)"/>
    <x v="9"/>
    <x v="276"/>
    <s v="3–1"/>
    <s v="Ulf Eriksson"/>
    <s v=""/>
    <x v="11"/>
    <x v="11"/>
    <s v="César Cueto · 43|Teófilo Cubillas · 71|Teófilo Cubillas · 77"/>
    <s v="Joe Jordan · 14"/>
    <s v="['43&amp;rsquor;|1:1|César Cueto', '71&amp;rsquor;|2:1|Teófilo Cubillas', '77&amp;rsquor;|3:1|Teófilo Cubillas']"/>
    <s v="['14&amp;rsquor;|0:1|Joe Jordan']"/>
    <s v=""/>
    <s v=""/>
    <s v=""/>
    <s v=""/>
    <s v=""/>
    <s v=""/>
    <s v=""/>
    <s v=""/>
    <s v=""/>
    <s v=""/>
    <s v=""/>
    <s v=""/>
    <s v=""/>
    <s v=""/>
    <s v="['19&amp;rsquor;|0:1|José Velásquez']"/>
    <s v=""/>
    <s v="['62&amp;rsquor;|1:1|Hugo Sotil|for Guillermo La Rosa', '82&amp;rsquor;|3:1|Percy Rojas|for César Cueto']"/>
    <s v="['75&amp;rsquor;|2:1|Archie Gemmill', '75&amp;rsquor;|2:1|Lou Macari|for Bruce Rioch']"/>
  </r>
  <r>
    <s v="Netherlands"/>
    <s v="IR Iran"/>
    <n v="3"/>
    <m/>
    <m/>
    <n v="0"/>
    <m/>
    <m/>
    <s v="Ernst Happel"/>
    <s v="Ruud Krol"/>
    <s v="Heshmat Mohadjerani"/>
    <s v="Ali Parvin"/>
    <n v="33431"/>
    <s v="San Martin, Mendoza"/>
    <s v="Alfonso Gonzalez Archundia (Referee) · Robert Wurtz (AR1) · Miguel Comesana (AR2)"/>
    <x v="9"/>
    <x v="276"/>
    <s v="3–0"/>
    <s v="Alfonso Gonzalez Archundia"/>
    <s v=""/>
    <x v="11"/>
    <x v="11"/>
    <s v="Rob Rensenbrink · 62"/>
    <s v=""/>
    <s v="['62&amp;rsquor;|2:0|Rob Rensenbrink']"/>
    <s v=""/>
    <s v=""/>
    <s v=""/>
    <s v="Rob Rensenbrink (P) · 40|Rob Rensenbrink (P) · 79"/>
    <s v=""/>
    <s v=""/>
    <s v=""/>
    <s v=""/>
    <s v=""/>
    <s v=""/>
    <s v=""/>
    <s v=""/>
    <s v=""/>
    <s v=""/>
    <s v=""/>
    <s v=""/>
    <s v="['1&amp;rsquor;|0:0|Andranik Eskandarian']"/>
    <s v="['70&amp;rsquor;|2:0|Dick Nanninga|for René van de Kerkhof']"/>
    <s v="['50&amp;rsquor;|1:0|Hassan Rowshan|for Hossein Faraki']"/>
  </r>
  <r>
    <s v="Italy"/>
    <s v="France"/>
    <n v="2"/>
    <m/>
    <m/>
    <n v="1"/>
    <m/>
    <m/>
    <s v="Enzo Bearzot"/>
    <s v="Dino Zoff"/>
    <s v="Michel Hidalgo"/>
    <s v="Marius Trésor"/>
    <n v="42373"/>
    <s v="Estadio Josï¿½ Marï¿½a Minella, Mar Del Plata"/>
    <s v="Nicolae Rainea (Referee) · Erich Linemayr (AR1) · Juan Silvagno Cavanna (AR2)"/>
    <x v="9"/>
    <x v="277"/>
    <s v="2–1"/>
    <s v="Nicolae Rainea"/>
    <s v=""/>
    <x v="11"/>
    <x v="11"/>
    <s v="Paolo Rossi · 29|Renato Zaccarelli · 54"/>
    <s v="Bernard Lacombe · 1"/>
    <s v="['29&amp;rsquor;|1:1|Paolo Rossi', '54&amp;rsquor;|2:1|Renato Zaccarelli']"/>
    <s v="['1&amp;rsquor;|0:1|Bernard Lacombe']"/>
    <s v=""/>
    <s v=""/>
    <s v=""/>
    <s v=""/>
    <s v=""/>
    <s v=""/>
    <s v=""/>
    <s v=""/>
    <s v=""/>
    <s v=""/>
    <s v=""/>
    <s v=""/>
    <s v=""/>
    <s v=""/>
    <s v="['35&amp;rsquor;|1:1|Marco Tardelli']"/>
    <s v="['1&amp;rsquor;|0:1|Henri Michel', '60&amp;rsquor;|2:1|Michel Platini']"/>
    <s v="['46&amp;rsquor;|1:1|Renato Zaccarelli|for Giancarlo Antognoni']"/>
    <s v="['74&amp;rsquor;|2:1|Marc Berdoll', '76&amp;rsquor;|2:1|Olivier Rouyer|for Didier Six']"/>
  </r>
  <r>
    <s v="Tunisia"/>
    <s v="Mexico"/>
    <n v="3"/>
    <m/>
    <m/>
    <n v="1"/>
    <m/>
    <m/>
    <s v="Abdelmajid Chetali"/>
    <s v="Témime Lahzami"/>
    <s v="Jose Roca"/>
    <s v="Arturo Vázquez Ayala"/>
    <n v="17396"/>
    <s v="Arroyito - Estadio Dr. Lisandro de la Torre, Rosario"/>
    <s v="John Gordon (Referee) · Jean Dubach (AR1) · Sergio Gonella (AR2)"/>
    <x v="9"/>
    <x v="277"/>
    <s v="3–1"/>
    <s v="John Gordon"/>
    <s v=""/>
    <x v="11"/>
    <x v="11"/>
    <s v="Ali Kaabi · 55|Néjib Ghommidh · 79|Mokhtar Dhouieb · 87"/>
    <s v=""/>
    <s v="['55&amp;rsquor;|1:1|Ali Kaabi', '79&amp;rsquor;|2:1|Néjib Ghommidh', '87&amp;rsquor;|3:1|Mokhtar Dhouieb']"/>
    <s v=""/>
    <s v=""/>
    <s v=""/>
    <s v=""/>
    <s v="Arturo Vázquez Ayala (P) · 45"/>
    <s v=""/>
    <s v=""/>
    <s v=""/>
    <s v=""/>
    <s v=""/>
    <s v=""/>
    <s v=""/>
    <s v=""/>
    <s v=""/>
    <s v=""/>
    <s v=""/>
    <s v=""/>
    <s v="['81&amp;rsquor;|2:1|Slah Karoui|for Abderraouf Ben Aziza', '88&amp;rsquor;|3:1|Khemais Labidi']"/>
    <s v="['67&amp;rsquor;|1:1|Gerardo Lugo Gómez|for Guillermo Mendizábal']"/>
  </r>
  <r>
    <s v="Argentina"/>
    <s v="Hungary"/>
    <n v="2"/>
    <m/>
    <m/>
    <n v="1"/>
    <m/>
    <m/>
    <s v="Cesar Luis Menotti"/>
    <s v="Daniel Passarella"/>
    <s v="Lajos Baroti"/>
    <s v="Zoltán Kereki"/>
    <n v="71615"/>
    <s v="El Monumental - Estadio Monumental Antonio Vespuci, Buenos Aires"/>
    <s v="Antonio Garrido (Referee) · Youssou Ndiaye (AR1) · Pat Partridge (AR2)"/>
    <x v="9"/>
    <x v="277"/>
    <s v="2–1"/>
    <s v="Antonio Garrido"/>
    <s v=""/>
    <x v="11"/>
    <x v="11"/>
    <s v="Leopoldo Luque · 15|Daniel Bertoni · 83"/>
    <s v="Károly Csapó · 10"/>
    <s v="['15&amp;rsquor;|1:1|Leopoldo Luque', '83&amp;rsquor;|2:1|Daniel Bertoni']"/>
    <s v="['10&amp;rsquor;|0:1|Károly Csapó']"/>
    <s v=""/>
    <s v=""/>
    <s v=""/>
    <s v=""/>
    <s v=""/>
    <s v=""/>
    <s v=""/>
    <s v=""/>
    <s v=""/>
    <s v=""/>
    <s v=""/>
    <s v="András Törőcsik · 88|Tibor Nyilasi · 89"/>
    <s v=""/>
    <s v=""/>
    <s v="['77&amp;rsquor;|1:1|Daniel Passarella']"/>
    <s v="['21&amp;rsquor;|1:1|Tibor Nyilasi', '48&amp;rsquor;|1:1|András Törőcsik']"/>
    <s v="['67&amp;rsquor;|1:1|Daniel Bertoni|for René Houseman', '75&amp;rsquor;|1:1|Norberto Alonso']"/>
    <s v="['46&amp;rsquor;|1:1|Győző Martos|for Péter Török']"/>
  </r>
  <r>
    <s v="West Germany"/>
    <s v="Poland"/>
    <n v="0"/>
    <m/>
    <m/>
    <n v="0"/>
    <m/>
    <m/>
    <s v="Helmut Schoen"/>
    <s v="Berti Vogts"/>
    <s v="Jacek Gmoch"/>
    <s v="Kazimierz Deyna"/>
    <n v="67579"/>
    <s v="El Monumental - Estadio Monumental Antonio Vespuci, Buenos Aires"/>
    <s v="Norberto Angel Coerezza (Referee) · Arturo Andres Ithurralde (AR1) · Miguel Comesana (AR2)"/>
    <x v="9"/>
    <x v="278"/>
    <s v="0–0"/>
    <s v="Norberto Angel Coerezza"/>
    <s v=""/>
    <x v="11"/>
    <x v="11"/>
    <s v=""/>
    <s v=""/>
    <s v=""/>
    <s v=""/>
    <s v=""/>
    <s v=""/>
    <s v=""/>
    <s v=""/>
    <s v=""/>
    <s v=""/>
    <s v=""/>
    <s v=""/>
    <s v=""/>
    <s v=""/>
    <s v=""/>
    <s v=""/>
    <s v=""/>
    <s v=""/>
    <s v=""/>
    <s v=""/>
    <s v=""/>
    <s v="['79&amp;rsquor;|0:0|Zbigniew Boniek|for Włodzimierz Lubański', '84&amp;rsquor;|0:0|Henryk Kasperczak|for Bohdan Masztaler']"/>
  </r>
  <r>
    <s v="Netherlands"/>
    <s v="West Germany"/>
    <n v="1"/>
    <m/>
    <m/>
    <n v="2"/>
    <m/>
    <m/>
    <s v="Rinus Michels"/>
    <s v="Johan Cruyff"/>
    <s v="Helmut Schoen"/>
    <s v="Franz Beckenbauer"/>
    <n v="78200"/>
    <s v="Olympiastadion, Munich"/>
    <s v="John Taylor (Referee) · Alfonso Gonzalez Archundia (AR1) · Ramon Barreto Ruiz (AR2)"/>
    <x v="0"/>
    <x v="279"/>
    <s v="1–2"/>
    <s v="John Taylor"/>
    <s v=""/>
    <x v="4"/>
    <x v="12"/>
    <s v=""/>
    <s v="Gerd Müller · 43"/>
    <s v=""/>
    <s v="['43&amp;rsquor;|1:2|Gerd Müller']"/>
    <s v=""/>
    <s v=""/>
    <s v="Johan Neeskens (P) · 2"/>
    <s v="Paul Breitner (P) · 25"/>
    <s v=""/>
    <s v=""/>
    <s v=""/>
    <s v=""/>
    <s v=""/>
    <s v=""/>
    <s v=""/>
    <s v=""/>
    <s v=""/>
    <s v=""/>
    <s v="['22&amp;rsquor;|1:0|Willem van Hanegem', '39&amp;rsquor;|1:1|Johan Neeskens', '45&amp;rsquor;|1:2|Johan Cruyff']"/>
    <s v="['3&amp;rsquor;|1:0|Berti Vogts']"/>
    <s v="['46&amp;rsquor;|1:2|René van de Kerkhof|for Rob Rensenbrink', '68&amp;rsquor;|1:2|Theo de Jong|for Wim Rijsbergen']"/>
    <s v=""/>
  </r>
  <r>
    <s v="Brazil"/>
    <s v="Poland"/>
    <n v="0"/>
    <m/>
    <m/>
    <n v="1"/>
    <m/>
    <m/>
    <s v="Mario Zagallo"/>
    <s v="Marinho Peres"/>
    <s v="Kazimierz Gorski"/>
    <s v="Kazimierz Deyna"/>
    <n v="77100"/>
    <s v="Olympiastadion, Munich"/>
    <s v="Aurelio Angonese (Referee) · Jafar Namdar (AR1) · Birame Ndiaye (AR2)"/>
    <x v="1"/>
    <x v="280"/>
    <s v="0–1"/>
    <s v="Aurelio Angonese"/>
    <s v=""/>
    <x v="4"/>
    <x v="12"/>
    <s v=""/>
    <s v="Grzegorz Lato · 76"/>
    <s v=""/>
    <s v="['76&amp;rsquor;|0:1|Grzegorz Lato']"/>
    <s v=""/>
    <s v=""/>
    <s v=""/>
    <s v=""/>
    <s v=""/>
    <s v=""/>
    <s v=""/>
    <s v=""/>
    <s v=""/>
    <s v=""/>
    <s v=""/>
    <s v=""/>
    <s v=""/>
    <s v=""/>
    <s v="['76&amp;rsquor;|0:1|Jairzinho']"/>
    <s v="['71&amp;rsquor;|0:0|Henryk Kasperczak']"/>
    <s v="['66&amp;rsquor;|0:0|Mirandinha|for Ademir da Guia']"/>
    <s v="['73&amp;rsquor;|0:0|Lesław Ćmikiewicz|for Henryk Kasperczak', '75&amp;rsquor;|0:0|Zdzisław Kapka|for Andrzej Szarmach']"/>
  </r>
  <r>
    <s v="Poland"/>
    <s v="West Germany"/>
    <n v="0"/>
    <m/>
    <m/>
    <n v="1"/>
    <m/>
    <m/>
    <s v="Kazimierz Gorski"/>
    <s v="Kazimierz Deyna"/>
    <s v="Helmut Schoen"/>
    <s v="Franz Beckenbauer"/>
    <n v="62000"/>
    <s v="Waldstadion, Frankfurt/Main"/>
    <s v="Erich Linemayr (Referee) · Karoly Palotai (AR1) · Ruedi Scheurer (AR2)"/>
    <x v="8"/>
    <x v="281"/>
    <s v="0–1"/>
    <s v="Erich Linemayr"/>
    <s v=""/>
    <x v="4"/>
    <x v="12"/>
    <s v=""/>
    <s v="Gerd Müller · 76"/>
    <s v=""/>
    <s v="['76&amp;rsquor;|0:1|Gerd Müller']"/>
    <s v=""/>
    <s v=""/>
    <s v=""/>
    <s v=""/>
    <s v=""/>
    <s v=""/>
    <s v=""/>
    <s v=""/>
    <s v=""/>
    <s v=""/>
    <s v=""/>
    <s v=""/>
    <s v=""/>
    <s v=""/>
    <s v=""/>
    <s v=""/>
    <s v="['80&amp;rsquor;|0:1|Lesław Ćmikiewicz|for Henryk Kasperczak', '80&amp;rsquor;|0:1|Kazimierz Kmiecik|for Zygmunt Maszczyk']"/>
    <s v=""/>
  </r>
  <r>
    <s v="Netherlands"/>
    <s v="Brazil"/>
    <n v="2"/>
    <m/>
    <m/>
    <n v="0"/>
    <m/>
    <m/>
    <s v="Rinus Michels"/>
    <s v="Johan Cruyff"/>
    <s v="Mario Zagallo"/>
    <s v="Marinho Peres"/>
    <n v="53700"/>
    <s v="Westfalenstadion, Dortmund"/>
    <s v="Kurt Tschenscher (Referee) · Bob Davidson (AR1) · George Suppiah (AR2)"/>
    <x v="8"/>
    <x v="281"/>
    <s v="2–0"/>
    <s v="Kurt Tschenscher"/>
    <s v=""/>
    <x v="4"/>
    <x v="12"/>
    <s v="Johan Neeskens · 50|Johan Cruyff · 65"/>
    <s v=""/>
    <s v="['50&amp;rsquor;|1:0|Johan Neeskens', '65&amp;rsquor;|2:0|Johan Cruyff']"/>
    <s v=""/>
    <s v=""/>
    <s v=""/>
    <s v=""/>
    <s v=""/>
    <s v=""/>
    <s v=""/>
    <s v=""/>
    <s v=""/>
    <s v=""/>
    <s v=""/>
    <s v=""/>
    <s v="Luís Pereira · 84"/>
    <s v=""/>
    <s v=""/>
    <s v="['1&amp;rsquor;|0:0|Wim Suurbier', '69&amp;rsquor;|2:0|Johnny Rep']"/>
    <s v="['29&amp;rsquor;|0:0|Luís Pereira', '37&amp;rsquor;|0:0|Zé Maria', '44&amp;rsquor;|0:0|Marinho Peres']"/>
    <s v="['67&amp;rsquor;|2:0|Theo de Jong', '85&amp;rsquor;|2:0|Rinus Israël|for Johan Neeskens']"/>
    <s v="['61&amp;rsquor;|1:0|Mirandinha|for Paulo Cézar Caju']"/>
  </r>
  <r>
    <s v="Argentina"/>
    <s v="Germany DR"/>
    <n v="1"/>
    <m/>
    <m/>
    <n v="1"/>
    <m/>
    <m/>
    <s v="Vladislao Cap"/>
    <s v="Enrique Wolff"/>
    <s v="Georg Buschner"/>
    <s v="Bernd Bransch"/>
    <n v="54254"/>
    <s v="Parkstadion, Gelsenkirchen"/>
    <s v="John Taylor (Referee) · Mahmoud Kamel (AR1) · Clive Thomas (AR2)"/>
    <x v="8"/>
    <x v="281"/>
    <s v="1–1"/>
    <s v="John Taylor"/>
    <s v=""/>
    <x v="4"/>
    <x v="12"/>
    <s v="René Houseman · 20"/>
    <s v="Joachim Streich · 14"/>
    <s v="['20&amp;rsquor;|1:1|René Houseman']"/>
    <s v="['14&amp;rsquor;|0:1|Joachim Streich']"/>
    <s v=""/>
    <s v=""/>
    <s v=""/>
    <s v=""/>
    <s v=""/>
    <s v=""/>
    <s v=""/>
    <s v=""/>
    <s v=""/>
    <s v=""/>
    <s v=""/>
    <s v=""/>
    <s v=""/>
    <s v=""/>
    <s v="['68&amp;rsquor;|1:1|Ángel Bargas']"/>
    <s v="['23&amp;rsquor;|1:1|Jürgen Sparwasser']"/>
    <s v=""/>
    <s v="['65&amp;rsquor;|1:1|Eberhard Vogel|for Wolfram Löwe', '80&amp;rsquor;|1:1|Peter Ducke|for Joachim Streich']"/>
  </r>
  <r>
    <s v="Sweden"/>
    <s v="Yugoslavia"/>
    <n v="2"/>
    <m/>
    <m/>
    <n v="1"/>
    <m/>
    <m/>
    <s v="Georg Ericson"/>
    <s v="Björn Nordqvist"/>
    <s v="Miljan Miljanic"/>
    <s v="Dragan Džajić"/>
    <n v="41300"/>
    <s v="Rheinstadion, Dï¿½Sseldorf"/>
    <s v="Luis Pestarino (Referee) · Ramon Barreto Ruiz (AR1) · Vicente Llobregat (AR2)"/>
    <x v="8"/>
    <x v="281"/>
    <s v="2–1"/>
    <s v="Luis Pestarino"/>
    <s v=""/>
    <x v="4"/>
    <x v="12"/>
    <s v="Ralf Edström · 29|Conny Torstensson · 85"/>
    <s v="Ivica Šurjak · 27"/>
    <s v="['29&amp;rsquor;|1:1|Ralf Edström', '85&amp;rsquor;|2:1|Conny Torstensson']"/>
    <s v="['27&amp;rsquor;|0:1|Ivica Šurjak']"/>
    <s v=""/>
    <s v=""/>
    <s v=""/>
    <s v=""/>
    <s v=""/>
    <s v=""/>
    <s v=""/>
    <s v=""/>
    <s v=""/>
    <s v=""/>
    <s v=""/>
    <s v=""/>
    <s v=""/>
    <s v=""/>
    <s v=""/>
    <s v="['1&amp;rsquor;|0:0|Stanislav Karasi', '1&amp;rsquor;|0:0|Josip Katalinski']"/>
    <s v=""/>
    <s v="['70&amp;rsquor;|1:1|Stanislav Karasi|for Vladimir Petrović', '78&amp;rsquor;|1:1|Luka Peruzović|for Miroslav Pavlović']"/>
  </r>
  <r>
    <s v="Poland"/>
    <s v="Yugoslavia"/>
    <n v="2"/>
    <m/>
    <m/>
    <n v="1"/>
    <m/>
    <m/>
    <s v="Kazimierz Gorski"/>
    <s v="Kazimierz Deyna"/>
    <s v="Miljan Miljanic"/>
    <s v="Jovan Aćimović"/>
    <n v="58000"/>
    <s v="Waldstadion, Frankfurt/Main"/>
    <s v="Rudolf Gloeckner (Referee) · Armando Marques (AR1) · Werner Winsemann (AR2)"/>
    <x v="8"/>
    <x v="282"/>
    <s v="2–1"/>
    <s v="Rudolf Gloeckner"/>
    <s v=""/>
    <x v="4"/>
    <x v="12"/>
    <s v="Grzegorz Lato · 62"/>
    <s v="Stanislav Karasi · 43"/>
    <s v="['62&amp;rsquor;|2:1|Grzegorz Lato']"/>
    <s v="['43&amp;rsquor;|1:1|Stanislav Karasi']"/>
    <s v=""/>
    <s v=""/>
    <s v="Kazimierz Deyna (P) · 24"/>
    <s v=""/>
    <s v=""/>
    <s v=""/>
    <s v=""/>
    <s v=""/>
    <s v=""/>
    <s v=""/>
    <s v=""/>
    <s v=""/>
    <s v=""/>
    <s v=""/>
    <s v=""/>
    <s v=""/>
    <s v="['57&amp;rsquor;|1:1|Lesław Ćmikiewicz|for Andrzej Szarmach', '80&amp;rsquor;|2:1|Jan Domarski|for Kazimierz Deyna']"/>
    <s v="['16&amp;rsquor;|0:0|Jurica Jerković|for Branko Oblak', '81&amp;rsquor;|2:1|Vladimir Petrović|for Ilija Petković']"/>
  </r>
  <r>
    <s v="Argentina"/>
    <s v="Brazil"/>
    <n v="1"/>
    <m/>
    <m/>
    <n v="2"/>
    <m/>
    <m/>
    <s v="Vladislao Cap"/>
    <s v="Miguel Ángel Brindisi"/>
    <s v="Mario Zagallo"/>
    <s v="Marinho Peres"/>
    <n v="39400"/>
    <s v="Niedersachsenstadion, Hanover"/>
    <s v="Vital Loraux (Referee) · Birame Ndiaye (AR1) · John Taylor (AR2)"/>
    <x v="8"/>
    <x v="282"/>
    <s v="1–2"/>
    <s v="Vital Loraux"/>
    <s v=""/>
    <x v="4"/>
    <x v="12"/>
    <s v="Miguel Ángel Brindisi · 35"/>
    <s v="Rivellino · 32|Jairzinho · 49"/>
    <s v="['35&amp;rsquor;|1:1|Miguel Ángel Brindisi']"/>
    <s v="['32&amp;rsquor;|0:1|Rivellino', '49&amp;rsquor;|1:2|Jairzinho']"/>
    <s v=""/>
    <s v=""/>
    <s v=""/>
    <s v=""/>
    <s v=""/>
    <s v=""/>
    <s v=""/>
    <s v=""/>
    <s v=""/>
    <s v=""/>
    <s v=""/>
    <s v=""/>
    <s v=""/>
    <s v=""/>
    <s v="['72&amp;rsquor;|1:2|René Houseman']"/>
    <s v=""/>
    <s v="['46&amp;rsquor;|1:1|René Houseman|for Mario Kempes', '46&amp;rsquor;|1:1|Jorge Carrascosa|for Francisco Sá']"/>
    <s v=""/>
  </r>
  <r>
    <s v="Germany DR"/>
    <s v="Netherlands"/>
    <n v="0"/>
    <m/>
    <m/>
    <n v="2"/>
    <m/>
    <m/>
    <s v="Georg Buschner"/>
    <s v="Bernd Bransch"/>
    <s v="Rinus Michels"/>
    <s v="Johan Cruyff"/>
    <n v="68348"/>
    <s v="Parkstadion, Gelsenkirchen"/>
    <s v="Ruedi Scheurer (Referee) · Erich Linemayr (AR1) · Omar Delgado (AR2)"/>
    <x v="8"/>
    <x v="282"/>
    <s v="0–2"/>
    <s v="Ruedi Scheurer"/>
    <s v=""/>
    <x v="4"/>
    <x v="12"/>
    <s v=""/>
    <s v="Johan Neeskens · 7|Rob Rensenbrink · 59"/>
    <s v=""/>
    <s v="['7&amp;rsquor;|0:1|Johan Neeskens', '59&amp;rsquor;|0:2|Rob Rensenbrink']"/>
    <s v=""/>
    <s v=""/>
    <s v=""/>
    <s v=""/>
    <s v=""/>
    <s v=""/>
    <s v=""/>
    <s v=""/>
    <s v=""/>
    <s v=""/>
    <s v=""/>
    <s v=""/>
    <s v=""/>
    <s v=""/>
    <s v=""/>
    <s v=""/>
    <s v="['54&amp;rsquor;|0:1|Peter Ducke|for Wolfram Löwe', '64&amp;rsquor;|0:2|Hans-Jürgen Kreische|for Reinhard Lauck']"/>
    <s v=""/>
  </r>
  <r>
    <s v="West Germany"/>
    <s v="Sweden"/>
    <n v="4"/>
    <m/>
    <m/>
    <n v="2"/>
    <m/>
    <m/>
    <s v="Helmut Schoen"/>
    <s v="Franz Beckenbauer"/>
    <s v="Georg Ericson"/>
    <s v="Bo Larsson"/>
    <n v="67800"/>
    <s v="Rheinstadion, Dï¿½Sseldorf"/>
    <s v="Pavel Kazakov (Referee) · Nicolae Rainea (AR1) · Pablo Sanchez Ibanez (AR2)"/>
    <x v="8"/>
    <x v="282"/>
    <s v="4–2"/>
    <s v="Pavel Kazakov"/>
    <s v=""/>
    <x v="4"/>
    <x v="12"/>
    <s v="Wolfgang Overath · 51|Rainer Bonhof · 52|Jürgen Grabowski · 76"/>
    <s v="Ralf Edström · 24|Roland Sandberg · 53"/>
    <s v="['51&amp;rsquor;|1:1|Wolfgang Overath', '52&amp;rsquor;|2:1|Rainer Bonhof', '76&amp;rsquor;|3:2|Jürgen Grabowski']"/>
    <s v="['24&amp;rsquor;|0:1|Ralf Edström', '53&amp;rsquor;|2:2|Roland Sandberg']"/>
    <s v=""/>
    <s v=""/>
    <s v="Uli Hoeneß (P) · 89"/>
    <s v=""/>
    <s v=""/>
    <s v=""/>
    <s v=""/>
    <s v=""/>
    <s v=""/>
    <s v=""/>
    <s v=""/>
    <s v=""/>
    <s v=""/>
    <s v=""/>
    <s v=""/>
    <s v="['1&amp;rsquor;|0:0|Ove Grahn']"/>
    <s v="['64&amp;rsquor;|2:2|Jürgen Grabowski|for Dieter Herzog', '83&amp;rsquor;|3:2|Heinz Flohe|for Bernd Hölzenbein']"/>
    <s v="['32&amp;rsquor;|0:1|Inge Ejderstedt|for Bo Larsson']"/>
  </r>
  <r>
    <s v="Yugoslavia"/>
    <s v="West Germany"/>
    <n v="0"/>
    <m/>
    <m/>
    <n v="2"/>
    <m/>
    <m/>
    <s v="Miljan Miljanic"/>
    <s v="Dragan Džajić"/>
    <s v="Helmut Schoen"/>
    <s v="Franz Beckenbauer"/>
    <n v="67385"/>
    <s v="Rheinstadion, Dï¿½Sseldorf"/>
    <s v="Armando Marques (Referee) · Aurelio Angonese (AR1) · Edison A. Perez Nunez (AR2)"/>
    <x v="8"/>
    <x v="283"/>
    <s v="0–2"/>
    <s v="Armando Marques"/>
    <s v=""/>
    <x v="4"/>
    <x v="12"/>
    <s v=""/>
    <s v="Paul Breitner · 39|Gerd Müller · 82"/>
    <s v=""/>
    <s v="['39&amp;rsquor;|0:1|Paul Breitner', '82&amp;rsquor;|0:2|Gerd Müller']"/>
    <s v=""/>
    <s v=""/>
    <s v=""/>
    <s v=""/>
    <s v=""/>
    <s v=""/>
    <s v=""/>
    <s v=""/>
    <s v=""/>
    <s v=""/>
    <s v=""/>
    <s v=""/>
    <s v=""/>
    <s v=""/>
    <s v="['36&amp;rsquor;|0:0|Ivan Buljan', '61&amp;rsquor;|0:1|Enver Hadžiabdić']"/>
    <s v="['16&amp;rsquor;|0:0|Wolfgang Overath', '35&amp;rsquor;|0:0|Berti Vogts']"/>
    <s v="['84&amp;rsquor;|0:2|Ilija Petković|for Branko Oblak', '84&amp;rsquor;|0:2|Jurica Jerković|for Dragan Džajić']"/>
    <s v="['73&amp;rsquor;|0:1|Uli Hoeneß|for Herbert Wimmer', '78&amp;rsquor;|0:1|Heinz Flohe|for Bernd Hölzenbein']"/>
  </r>
  <r>
    <s v="Brazil"/>
    <s v="Germany DR"/>
    <n v="1"/>
    <m/>
    <m/>
    <n v="0"/>
    <m/>
    <m/>
    <s v="Mario Zagallo"/>
    <s v="Marinho Peres"/>
    <s v="Georg Buschner"/>
    <s v="Bernd Bransch"/>
    <n v="59863"/>
    <s v="Niedersachsenstadion, Hanover"/>
    <s v="Clive Thomas (Referee) · Dogan Babacan (AR1) · Tony Boskovic (AR2)"/>
    <x v="8"/>
    <x v="283"/>
    <s v="1–0"/>
    <s v="Clive Thomas"/>
    <s v=""/>
    <x v="4"/>
    <x v="12"/>
    <s v="Rivellino · 60"/>
    <s v=""/>
    <s v="['60&amp;rsquor;|1:0|Rivellino']"/>
    <s v=""/>
    <s v=""/>
    <s v=""/>
    <s v=""/>
    <s v=""/>
    <s v=""/>
    <s v=""/>
    <s v=""/>
    <s v=""/>
    <s v=""/>
    <s v=""/>
    <s v=""/>
    <s v=""/>
    <s v=""/>
    <s v=""/>
    <s v="['27&amp;rsquor;|0:0|Jairzinho', '28&amp;rsquor;|0:0|Paulo César Carpegiani', '75&amp;rsquor;|1:0|Dirceu']"/>
    <s v="['11&amp;rsquor;|0:0|Erich Hamann', '84&amp;rsquor;|1:0|Joachim Streich']"/>
    <s v=""/>
    <s v="['46&amp;rsquor;|0:0|Harald Irmscher|for Erich Hamann', '64&amp;rsquor;|1:0|Wolfram Löwe|for Reinhard Lauck']"/>
  </r>
  <r>
    <s v="Sweden"/>
    <s v="Poland"/>
    <n v="0"/>
    <m/>
    <m/>
    <n v="1"/>
    <m/>
    <m/>
    <s v="Georg Ericson"/>
    <s v="Bo Larsson"/>
    <s v="Kazimierz Gorski"/>
    <s v="Kazimierz Deyna"/>
    <n v="44955"/>
    <s v="Neckarstadion, Stuttgart"/>
    <s v="Ramon Barreto Ruiz (Referee) · Alfonso Gonzalez Archundia (AR1) · Luis Pestarino (AR2)"/>
    <x v="8"/>
    <x v="283"/>
    <s v="0–1"/>
    <s v="Ramon Barreto Ruiz"/>
    <s v=""/>
    <x v="4"/>
    <x v="12"/>
    <s v=""/>
    <s v="Grzegorz Lato · 43"/>
    <s v=""/>
    <s v="['43&amp;rsquor;|0:1|Grzegorz Lato']"/>
    <s v=""/>
    <s v=""/>
    <s v=""/>
    <s v=""/>
    <s v=""/>
    <s v=""/>
    <s v=""/>
    <s v=""/>
    <s v=""/>
    <s v=""/>
    <s v=""/>
    <s v=""/>
    <s v=""/>
    <s v=""/>
    <s v=""/>
    <s v="['1&amp;rsquor;|0:0|Jerzy Gorgoń', '44&amp;rsquor;|0:1|Andrzej Szarmach']"/>
    <s v="['60&amp;rsquor;|0:1|Jörgen Augustsson|for Björn Andersson', '80&amp;rsquor;|0:1|Thomas Ahlström|for Staffan Tapper']"/>
    <s v="['60&amp;rsquor;|0:1|Kazimierz Kmiecik|for Andrzej Szarmach']"/>
  </r>
  <r>
    <s v="Netherlands"/>
    <s v="Argentina"/>
    <n v="4"/>
    <m/>
    <m/>
    <n v="0"/>
    <m/>
    <m/>
    <s v="Rinus Michels"/>
    <s v="Johan Cruyff"/>
    <s v="Vladislao Cap"/>
    <s v="Roberto Perfumo"/>
    <n v="56548"/>
    <s v="Parkstadion, Gelsenkirchen"/>
    <s v="Bob Davidson (Referee) · Kurt Tschenscher (AR1) · Pavel Kazakov (AR2)"/>
    <x v="8"/>
    <x v="283"/>
    <s v="4–0"/>
    <s v="Bob Davidson"/>
    <s v=""/>
    <x v="4"/>
    <x v="12"/>
    <s v="Johan Cruyff · 10|Ruud Krol · 25|Johnny Rep · 73|Johan Cruyff · 90"/>
    <s v=""/>
    <s v="['10&amp;rsquor;|1:0|Johan Cruyff', '25&amp;rsquor;|2:0|Ruud Krol', '73&amp;rsquor;|3:0|Johnny Rep', '90&amp;rsquor;|4:0|Johan Cruyff']"/>
    <s v=""/>
    <s v=""/>
    <s v=""/>
    <s v=""/>
    <s v=""/>
    <s v=""/>
    <s v=""/>
    <s v=""/>
    <s v=""/>
    <s v=""/>
    <s v=""/>
    <s v=""/>
    <s v=""/>
    <s v=""/>
    <s v=""/>
    <s v="['22&amp;rsquor;|1:0|Johan Neeskens', '58&amp;rsquor;|2:0|Wim Suurbier']"/>
    <s v="['35&amp;rsquor;|2:0|Roberto Perfumo']"/>
    <s v="['84&amp;rsquor;|3:0|Rinus Israël|for Wim Suurbier']"/>
    <s v="['46&amp;rsquor;|2:0|Rubén Glaria|for René Houseman', '46&amp;rsquor;|2:0|Mario Kempes|for Enrique Wolff']"/>
  </r>
  <r>
    <s v="Bulgaria"/>
    <s v="Netherlands"/>
    <n v="1"/>
    <m/>
    <m/>
    <n v="4"/>
    <m/>
    <m/>
    <s v="Hristo Mladenov"/>
    <s v="Hristo Bonev"/>
    <s v="Rinus Michels"/>
    <s v="Johan Cruyff"/>
    <n v="53300"/>
    <s v="Westfalenstadion, Dortmund"/>
    <s v="Tony Boskovic (Referee) · Ferdinand Biwersi (AR1) · Walter Eschweiler (AR2)"/>
    <x v="9"/>
    <x v="284"/>
    <s v="1–4"/>
    <s v="Tony Boskovic"/>
    <s v=""/>
    <x v="4"/>
    <x v="12"/>
    <s v=""/>
    <s v="Johnny Rep · 71|Theo de Jong · 88"/>
    <s v=""/>
    <s v="['71&amp;rsquor;|0:3|Johnny Rep', '88&amp;rsquor;|1:4|Theo de Jong']"/>
    <s v="Ruud Krol (OG) · 78"/>
    <s v=""/>
    <s v=""/>
    <s v="Johan Neeskens (P) · 5|Johan Neeskens (P) · 45"/>
    <s v=""/>
    <s v=""/>
    <s v=""/>
    <s v=""/>
    <s v=""/>
    <s v=""/>
    <s v=""/>
    <s v=""/>
    <s v=""/>
    <s v=""/>
    <s v="['67&amp;rsquor;|0:2|Georgi Denev']"/>
    <s v="['5&amp;rsquor;|0:0|Wim Jansen', '22&amp;rsquor;|0:1|Willem van Hanegem', '29&amp;rsquor;|0:1|Johan Cruyff']"/>
    <s v="['46&amp;rsquor;|0:2|Atanas Mihaylov|for Ivan Stoyanov', '55&amp;rsquor;|0:2|Krasimir Borisov|for Pavel Panov']"/>
    <s v="['46&amp;rsquor;|0:2|Rinus Israël|for Willem van Hanegem', '79&amp;rsquor;|1:3|Theo de Jong|for Johan Neeskens']"/>
  </r>
  <r>
    <s v="Poland"/>
    <s v="Italy"/>
    <n v="2"/>
    <m/>
    <m/>
    <n v="1"/>
    <m/>
    <m/>
    <s v="Kazimierz Gorski"/>
    <s v="Kazimierz Deyna"/>
    <s v="Ferruccio Valcareggi"/>
    <s v="Giacinto Facchetti"/>
    <n v="70100"/>
    <s v="Neckarstadion, Stuttgart"/>
    <s v="Hans Joachim Weyland (Referee) · Werner Winsemann (AR1) · Gerhard Schulenburg (AR2)"/>
    <x v="9"/>
    <x v="284"/>
    <s v="2–1"/>
    <s v="Hans Joachim Weyland"/>
    <s v=""/>
    <x v="4"/>
    <x v="12"/>
    <s v="Andrzej Szarmach · 38|Kazimierz Deyna · 44"/>
    <s v="Fabio Capello · 85"/>
    <s v="['38&amp;rsquor;|1:0|Andrzej Szarmach', '44&amp;rsquor;|2:0|Kazimierz Deyna']"/>
    <s v="['85&amp;rsquor;|2:1|Fabio Capello']"/>
    <s v=""/>
    <s v=""/>
    <s v=""/>
    <s v=""/>
    <s v=""/>
    <s v=""/>
    <s v=""/>
    <s v=""/>
    <s v=""/>
    <s v=""/>
    <s v=""/>
    <s v=""/>
    <s v=""/>
    <s v=""/>
    <s v="['25&amp;rsquor;|0:0|Henryk Kasperczak', '84&amp;rsquor;|2:0|Adam Musiał']"/>
    <s v="['71&amp;rsquor;|2:0|Roberto Boninsegna']"/>
    <s v="['78&amp;rsquor;|2:0|Lesław Ćmikiewicz']"/>
    <s v="['33&amp;rsquor;|0:0|Giuseppe Wilson|for Tarcisio Burgnich', '46&amp;rsquor;|2:0|Roberto Boninsegna|for Giorgio Chinaglia']"/>
  </r>
  <r>
    <s v="Sweden"/>
    <s v="Uruguay"/>
    <n v="3"/>
    <m/>
    <m/>
    <n v="0"/>
    <m/>
    <m/>
    <s v="Georg Ericson"/>
    <s v="Bo Larsson"/>
    <s v="Roberto Porta"/>
    <s v="Ladislao Mazurkiewicz"/>
    <n v="28300"/>
    <s v="Rheinstadion, Dï¿½Sseldorf"/>
    <s v="Erich Linemayr (Referee) · Vicente Llobregat (AR1) · Heinz Aldinger (AR2)"/>
    <x v="9"/>
    <x v="284"/>
    <s v="3–0"/>
    <s v="Erich Linemayr"/>
    <s v=""/>
    <x v="4"/>
    <x v="12"/>
    <s v="Ralf Edström · 46|Roland Sandberg · 74|Ralf Edström · 77"/>
    <s v=""/>
    <s v="['46&amp;rsquor;|1:0|Ralf Edström', '74&amp;rsquor;|2:0|Roland Sandberg', '77&amp;rsquor;|3:0|Ralf Edström']"/>
    <s v=""/>
    <s v=""/>
    <s v=""/>
    <s v=""/>
    <s v=""/>
    <s v=""/>
    <s v=""/>
    <s v=""/>
    <s v=""/>
    <s v=""/>
    <s v=""/>
    <s v=""/>
    <s v=""/>
    <s v=""/>
    <s v=""/>
    <s v=""/>
    <s v="['1&amp;rsquor;|0:0|Baudilio Jáuregui']"/>
    <s v="['60&amp;rsquor;|1:0|Thomas Ahlström|for Benno Magnusson', '76&amp;rsquor;|2:0|Conny Torstensson|for Ove Kindvall']"/>
    <s v="['43&amp;rsquor;|0:0|Luis Cubilla|for Romeo Corbo', '46&amp;rsquor;|1:0|Juan Carlos Masnik|for Luis Garisto']"/>
  </r>
  <r>
    <s v="Argentina"/>
    <s v="Haiti"/>
    <n v="4"/>
    <m/>
    <m/>
    <n v="1"/>
    <m/>
    <m/>
    <s v="Vladislao Cap"/>
    <s v="Roberto Perfumo"/>
    <s v="Antoine Tassy"/>
    <s v="Wilner Nazaire"/>
    <n v="25900"/>
    <s v="Olympiastadion, Munich"/>
    <s v="Pablo Sanchez Ibanez (Referee) · Mahmoud Kamel (AR1) · Birame Ndiaye (AR2)"/>
    <x v="9"/>
    <x v="284"/>
    <s v="4–1"/>
    <s v="Pablo Sanchez Ibanez"/>
    <s v=""/>
    <x v="4"/>
    <x v="12"/>
    <s v="Héctor Yazalde · 15|René Houseman · 18|Rubén Ayala · 55|Héctor Yazalde · 68"/>
    <s v="Emmanuel Sanon · 63"/>
    <s v="['15&amp;rsquor;|1:0|Héctor Yazalde', '18&amp;rsquor;|2:0|René Houseman', '55&amp;rsquor;|3:0|Rubén Ayala', '68&amp;rsquor;|4:1|Héctor Yazalde']"/>
    <s v="['63&amp;rsquor;|3:1|Emmanuel Sanon']"/>
    <s v=""/>
    <s v=""/>
    <s v=""/>
    <s v=""/>
    <s v=""/>
    <s v=""/>
    <s v=""/>
    <s v=""/>
    <s v=""/>
    <s v=""/>
    <s v=""/>
    <s v=""/>
    <s v=""/>
    <s v=""/>
    <s v="['26&amp;rsquor;|2:0|Carlos Babington', '60&amp;rsquor;|3:0|Ramón Heredia']"/>
    <s v="['60&amp;rsquor;|3:0|Fritz Leandré']"/>
    <s v="['52&amp;rsquor;|2:0|Agustín Balbuena|for Mario Kempes', '57&amp;rsquor;|3:0|Miguel Ángel Brindisi|for René Houseman']"/>
    <s v="['25&amp;rsquor;|2:0|Joseph-Marion Leandré|for Wilner Nazaire', '52&amp;rsquor;|2:0|Fritz Leandré|for Guy Saint-Vil']"/>
  </r>
  <r>
    <s v="Scotland"/>
    <s v="Yugoslavia"/>
    <n v="1"/>
    <m/>
    <m/>
    <n v="1"/>
    <m/>
    <m/>
    <s v="Willie Ormond"/>
    <s v="Billy Bremner"/>
    <s v="Miljan Miljanic"/>
    <s v="Dragan Džajić"/>
    <n v="56000"/>
    <s v="Waldstadion, Frankfurt/Main"/>
    <s v="Alfonso Gonzalez Archundia (Referee) · Rudolf Gloeckner (AR1) · Kurt Tschenscher (AR2)"/>
    <x v="9"/>
    <x v="285"/>
    <s v="1–1"/>
    <s v="Alfonso Gonzalez Archundia"/>
    <s v=""/>
    <x v="4"/>
    <x v="12"/>
    <s v="Joe Jordan · 88"/>
    <s v="Stanislav Karasi · 81"/>
    <s v="['88&amp;rsquor;|1:1|Joe Jordan']"/>
    <s v="['81&amp;rsquor;|0:1|Stanislav Karasi']"/>
    <s v=""/>
    <s v=""/>
    <s v=""/>
    <s v=""/>
    <s v=""/>
    <s v=""/>
    <s v=""/>
    <s v=""/>
    <s v=""/>
    <s v=""/>
    <s v=""/>
    <s v=""/>
    <s v=""/>
    <s v=""/>
    <s v="['60&amp;rsquor;|0:0|Joe Jordan', '70&amp;rsquor;|0:0|David Hay']"/>
    <s v="['24&amp;rsquor;|0:0|Branko Oblak', '55&amp;rsquor;|0:0|Josip Katalinski', '70&amp;rsquor;|0:0|Dušan Bajević']"/>
    <s v="['65&amp;rsquor;|0:0|Tommy Hutchison|for Kenny Dalglish']"/>
    <s v="['70&amp;rsquor;|0:0|Stanislav Karasi|for Dušan Bajević']"/>
  </r>
  <r>
    <s v="Australia"/>
    <s v="Chile"/>
    <n v="0"/>
    <m/>
    <m/>
    <n v="0"/>
    <m/>
    <m/>
    <s v="Rale Rasic"/>
    <s v="Peter Wilson"/>
    <s v="Luis Alamos"/>
    <s v="Francisco Valdés"/>
    <n v="17400"/>
    <s v="Olympiastadion, Berlin West"/>
    <s v="Jafar Namdar (Referee) · Vital Loraux (AR1) · Arie Van Gemert (AR2)"/>
    <x v="9"/>
    <x v="285"/>
    <s v="0–0"/>
    <s v="Jafar Namdar"/>
    <s v=""/>
    <x v="4"/>
    <x v="12"/>
    <s v=""/>
    <s v=""/>
    <s v=""/>
    <s v=""/>
    <s v=""/>
    <s v=""/>
    <s v=""/>
    <s v=""/>
    <s v=""/>
    <s v=""/>
    <s v=""/>
    <s v=""/>
    <s v=""/>
    <s v=""/>
    <s v="Ray Richards · 83"/>
    <s v=""/>
    <s v=""/>
    <s v=""/>
    <s v="['37&amp;rsquor;|0:0|Ray Richards']"/>
    <s v=""/>
    <s v="['65&amp;rsquor;|0:0|Peter Ollerton|for Adrian Alston', '82&amp;rsquor;|0:0|Harry Williams|for Colin Curran']"/>
    <s v="['57&amp;rsquor;|0:0|Rogelio Farías|for Francisco Valdés', '72&amp;rsquor;|0:0|Guillermo Yávar|for Leonardo Véliz']"/>
  </r>
  <r>
    <s v="Zaire"/>
    <s v="Brazil"/>
    <n v="0"/>
    <m/>
    <m/>
    <n v="3"/>
    <m/>
    <m/>
    <s v="Blagoje Vidinic"/>
    <s v="Kidumu Mantantu"/>
    <s v="Mario Zagallo"/>
    <s v="Wilson da Silva Piazza"/>
    <n v="36200"/>
    <s v="Parkstadion, Gelsenkirchen"/>
    <s v="Nicolae Rainea (Referee) · Aurelio Angonese (AR1) · Klaus Ohmsen (AR2)"/>
    <x v="9"/>
    <x v="285"/>
    <s v="0–3"/>
    <s v="Nicolae Rainea"/>
    <s v=""/>
    <x v="4"/>
    <x v="12"/>
    <s v=""/>
    <s v="Jairzinho · 12|Rivellino · 66|Valdomiro Vaz Franco · 79"/>
    <s v=""/>
    <s v="['12&amp;rsquor;|0:1|Jairzinho', '66&amp;rsquor;|0:2|Rivellino', '79&amp;rsquor;|0:3|Valdomiro Vaz Franco']"/>
    <s v=""/>
    <s v=""/>
    <s v=""/>
    <s v=""/>
    <s v=""/>
    <s v=""/>
    <s v=""/>
    <s v=""/>
    <s v=""/>
    <s v=""/>
    <s v=""/>
    <s v=""/>
    <s v=""/>
    <s v=""/>
    <s v="['78&amp;rsquor;|0:2|Mwepu Ilunga']"/>
    <s v="['77&amp;rsquor;|0:2|Mirandinha']"/>
    <s v="['61&amp;rsquor;|0:1|Kilasu Massamba|for Kamunda Tshinabu', '62&amp;rsquor;|0:1|Kembo Uba Kembo|for Kidumu Mantantu']"/>
    <s v="['10&amp;rsquor;|0:0|Valdomiro Vaz Franco|for Leivinha', '59&amp;rsquor;|0:1|Mirandinha|for Wilson da Silva Piazza']"/>
  </r>
  <r>
    <s v="Germany DR"/>
    <s v="West Germany"/>
    <n v="1"/>
    <m/>
    <m/>
    <n v="0"/>
    <m/>
    <m/>
    <s v="Georg Buschner"/>
    <s v="Bernd Bransch"/>
    <s v="Helmut Schoen"/>
    <s v="Franz Beckenbauer"/>
    <n v="60200"/>
    <s v="Volksparkstadion, Hamburg"/>
    <s v="Ramon Barreto Ruiz (Referee) · Armando Marques (AR1) · Luis Pestarino (AR2)"/>
    <x v="9"/>
    <x v="285"/>
    <s v="1–0"/>
    <s v="Ramon Barreto Ruiz"/>
    <s v=""/>
    <x v="4"/>
    <x v="12"/>
    <s v="Jürgen Sparwasser · 77"/>
    <s v=""/>
    <s v="['77&amp;rsquor;|1:0|Jürgen Sparwasser']"/>
    <s v=""/>
    <s v=""/>
    <s v=""/>
    <s v=""/>
    <s v=""/>
    <s v=""/>
    <s v=""/>
    <s v=""/>
    <s v=""/>
    <s v=""/>
    <s v=""/>
    <s v=""/>
    <s v=""/>
    <s v=""/>
    <s v=""/>
    <s v="['27&amp;rsquor;|0:0|Jürgen Sparwasser', '81&amp;rsquor;|1:0|Jürgen Croy', '84&amp;rsquor;|1:0|Hans-Jürgen Kreische']"/>
    <s v=""/>
    <s v="['65&amp;rsquor;|0:0|Erich Hamann|for Harald Irmscher']"/>
    <s v="['68&amp;rsquor;|0:0|Horst-Dieter Höttges|for Hans-Georg Schwarzenbeck', '69&amp;rsquor;|0:0|Günter Netzer|for Wolfgang Overath']"/>
  </r>
  <r>
    <s v="Haiti"/>
    <s v="Poland"/>
    <n v="0"/>
    <m/>
    <m/>
    <n v="7"/>
    <m/>
    <m/>
    <s v="Antoine Tassy"/>
    <s v="Wilner Nazaire"/>
    <s v="Kazimierz Gorski"/>
    <s v="Kazimierz Deyna"/>
    <n v="25300"/>
    <s v="Olympiastadion, Munich"/>
    <s v="George Suppiah (Referee) · Ferdinand Biwersi (AR1) · Walter Eschweiler (AR2)"/>
    <x v="9"/>
    <x v="286"/>
    <s v="0–7"/>
    <s v="George Suppiah"/>
    <s v=""/>
    <x v="4"/>
    <x v="12"/>
    <s v=""/>
    <s v="Grzegorz Lato · 17|Kazimierz Deyna · 18|Andrzej Szarmach · 30|Jerzy Gorgoń · 31|Andrzej Szarmach · 34|Andrzej Szarmach · 50|Grzegorz Lato · 87"/>
    <s v=""/>
    <s v="['17&amp;rsquor;|0:1|Grzegorz Lato', '18&amp;rsquor;|0:2|Kazimierz Deyna', '30&amp;rsquor;|0:3|Andrzej Szarmach', '31&amp;rsquor;|0:4|Jerzy Gorgoń', '34&amp;rsquor;|0:5|Andrzej Szarmach', '50&amp;rsquor;|0:6|Andrzej Szarmach', '87&amp;rsquor;|0:7|Grzegorz Lato']"/>
    <s v=""/>
    <s v=""/>
    <s v=""/>
    <s v=""/>
    <s v=""/>
    <s v=""/>
    <s v=""/>
    <s v=""/>
    <s v=""/>
    <s v=""/>
    <s v=""/>
    <s v=""/>
    <s v=""/>
    <s v=""/>
    <s v="['1&amp;rsquor;|0:0|Pierre Bayonne']"/>
    <s v=""/>
    <s v="['37&amp;rsquor;|0:5|Claude Barthélemy|for Fritz André', '46&amp;rsquor;|0:5|Serge Racine']"/>
    <s v="['65&amp;rsquor;|0:6|Lesław Ćmikiewicz|for Zygmunt Maszczyk', '71&amp;rsquor;|0:6|Zbigniew Gut|for Adam Musiał']"/>
  </r>
  <r>
    <s v="Bulgaria"/>
    <s v="Uruguay"/>
    <n v="1"/>
    <m/>
    <m/>
    <n v="1"/>
    <m/>
    <m/>
    <s v="Hristo Mladenov"/>
    <s v="Hristo Bonev"/>
    <s v="Roberto Porta"/>
    <s v="Ladislao Mazurkiewicz"/>
    <n v="13400"/>
    <s v="Niedersachsenstadion, Hanover"/>
    <s v="John Taylor (Referee) · Dogan Babacan (AR1) · Klaus Ohmsen (AR2)"/>
    <x v="9"/>
    <x v="286"/>
    <s v="1–1"/>
    <s v="John Taylor"/>
    <s v=""/>
    <x v="4"/>
    <x v="12"/>
    <s v="Hristo Bonev · 75"/>
    <s v="Ricardo Pavoni · 87"/>
    <s v="['75&amp;rsquor;|1:0|Hristo Bonev']"/>
    <s v="['87&amp;rsquor;|1:1|Ricardo Pavoni']"/>
    <s v=""/>
    <s v=""/>
    <s v=""/>
    <s v=""/>
    <s v=""/>
    <s v=""/>
    <s v=""/>
    <s v=""/>
    <s v=""/>
    <s v=""/>
    <s v=""/>
    <s v=""/>
    <s v=""/>
    <s v=""/>
    <s v="['9&amp;rsquor;|0:0|Tsonyo Vasilev']"/>
    <s v="['44&amp;rsquor;|0:0|Víctor Espárrago']"/>
    <s v="['59&amp;rsquor;|0:0|Atanas Mihaylov|for Asparuh Nikodimov']"/>
    <s v="['62&amp;rsquor;|0:0|Alberto Cardaccio|for Walter Mantegazza', '73&amp;rsquor;|0:0|Juan Carlos Masnik|for Luis Garisto']"/>
  </r>
  <r>
    <s v="Netherlands"/>
    <s v="Sweden"/>
    <n v="0"/>
    <m/>
    <m/>
    <n v="0"/>
    <m/>
    <m/>
    <s v="Rinus Michels"/>
    <s v="Johan Cruyff"/>
    <s v="Georg Ericson"/>
    <s v="Bo Larsson"/>
    <n v="53700"/>
    <s v="Westfalenstadion, Dortmund"/>
    <s v="Werner Winsemann (Referee) · Kurt Tschenscher (AR1) · Clive Thomas (AR2)"/>
    <x v="9"/>
    <x v="286"/>
    <s v="0–0"/>
    <s v="Werner Winsemann"/>
    <s v=""/>
    <x v="4"/>
    <x v="12"/>
    <s v=""/>
    <s v=""/>
    <s v=""/>
    <s v=""/>
    <s v=""/>
    <s v=""/>
    <s v=""/>
    <s v=""/>
    <s v=""/>
    <s v=""/>
    <s v=""/>
    <s v=""/>
    <s v=""/>
    <s v=""/>
    <s v=""/>
    <s v=""/>
    <s v=""/>
    <s v=""/>
    <s v="['16&amp;rsquor;|0:0|Johnny Rep']"/>
    <s v="['36&amp;rsquor;|0:0|Björn Nordqvist', '68&amp;rsquor;|0:0|Örjan Persson', '74&amp;rsquor;|0:0|Björn Andersson', '86&amp;rsquor;|0:0|Ove Grahn']"/>
    <s v="['73&amp;rsquor;|0:0|Theo de Jong|for Willem van Hanegem']"/>
    <s v="['61&amp;rsquor;|0:0|Örjan Persson|for Staffan Tapper', '75&amp;rsquor;|0:0|Roland Grip']"/>
  </r>
  <r>
    <s v="Argentina"/>
    <s v="Italy"/>
    <n v="1"/>
    <m/>
    <m/>
    <n v="1"/>
    <m/>
    <m/>
    <s v="Vladislao Cap"/>
    <s v="Roberto Perfumo"/>
    <s v="Ferruccio Valcareggi"/>
    <s v="Giacinto Facchetti"/>
    <n v="70100"/>
    <s v="Neckarstadion, Stuttgart"/>
    <s v="Pavel Kazakov (Referee) · Rudolf Gloeckner (AR1) · Nicolae Rainea (AR2)"/>
    <x v="9"/>
    <x v="286"/>
    <s v="1–1"/>
    <s v="Pavel Kazakov"/>
    <s v=""/>
    <x v="4"/>
    <x v="12"/>
    <s v="René Houseman · 19"/>
    <s v=""/>
    <s v="['19&amp;rsquor;|1:0|René Houseman']"/>
    <s v=""/>
    <s v=""/>
    <s v="Roberto Perfumo (OG) · 35"/>
    <s v=""/>
    <s v=""/>
    <s v=""/>
    <s v=""/>
    <s v=""/>
    <s v=""/>
    <s v=""/>
    <s v=""/>
    <s v=""/>
    <s v=""/>
    <s v=""/>
    <s v=""/>
    <s v="['54&amp;rsquor;|1:1|Carlos Babington']"/>
    <s v="['48&amp;rsquor;|1:1|Romeo Benetti']"/>
    <s v="['60&amp;rsquor;|1:1|Rubén Glaria|for Enrique Wolff', '78&amp;rsquor;|1:1|Enrique Chazarreta|for Héctor Yazalde']"/>
    <s v="['66&amp;rsquor;|1:1|Giuseppe Wilson|for Francesco Morini', '66&amp;rsquor;|1:1|Franco Causio']"/>
  </r>
  <r>
    <s v="Australia"/>
    <s v="West Germany"/>
    <n v="0"/>
    <m/>
    <m/>
    <n v="3"/>
    <m/>
    <m/>
    <s v="Rale Rasic"/>
    <s v="Peter Wilson"/>
    <s v="Helmut Schoen"/>
    <s v="Franz Beckenbauer"/>
    <n v="53300"/>
    <s v="Volksparkstadion, Hamburg"/>
    <s v="Mahmoud Kamel (Referee) · Alfonso Gonzalez Archundia (AR1) · Edison A. Perez Nunez (AR2)"/>
    <x v="9"/>
    <x v="287"/>
    <s v="0–3"/>
    <s v="Mahmoud Kamel"/>
    <s v=""/>
    <x v="4"/>
    <x v="12"/>
    <s v=""/>
    <s v="Wolfgang Overath · 12|Bernhard Cullmann · 34|Gerd Müller · 53"/>
    <s v=""/>
    <s v="['12&amp;rsquor;|0:1|Wolfgang Overath', '34&amp;rsquor;|0:2|Bernhard Cullmann', '53&amp;rsquor;|0:3|Gerd Müller']"/>
    <s v=""/>
    <s v=""/>
    <s v=""/>
    <s v=""/>
    <s v=""/>
    <s v=""/>
    <s v=""/>
    <s v=""/>
    <s v=""/>
    <s v=""/>
    <s v=""/>
    <s v=""/>
    <s v=""/>
    <s v=""/>
    <s v="['1&amp;rsquor;|0:0|Jimmy Mackay']"/>
    <s v=""/>
    <s v="['46&amp;rsquor;|0:2|Attila Abonyi|for Ernie Campbell', '61&amp;rsquor;|0:3|Peter Ollerton']"/>
    <s v="['46&amp;rsquor;|0:2|Bernd Hölzenbein|for Jupp Heynckes', '67&amp;rsquor;|0:3|Herbert Wimmer|for Bernhard Cullmann']"/>
  </r>
  <r>
    <s v="Yugoslavia"/>
    <s v="Zaire"/>
    <n v="9"/>
    <m/>
    <m/>
    <n v="0"/>
    <m/>
    <m/>
    <s v="Miljan Miljanic"/>
    <s v="Dragan Džajić"/>
    <s v="Blagoje Vidinic"/>
    <s v="Kidumu Mantantu"/>
    <n v="31700"/>
    <s v="Parkstadion, Gelsenkirchen"/>
    <s v="Omar Delgado (Referee) · Vicente Llobregat (AR1) · Ramon Barreto Ruiz (AR2)"/>
    <x v="9"/>
    <x v="287"/>
    <s v="9–0"/>
    <s v="Omar Delgado"/>
    <s v=""/>
    <x v="4"/>
    <x v="12"/>
    <s v="Dušan Bajević · 8|Dragan Džajić · 14|Ivica Šurjak · 18|Josip Katalinski · 22|Dušan Bajević · 30|Vladislav Bogićević · 35|Branko Oblak · 61|Ilija Petković · 65|Dušan Bajević · 81"/>
    <s v=""/>
    <s v="['8&amp;rsquor;|1:0|Dušan Bajević', '14&amp;rsquor;|2:0|Dragan Džajić', '18&amp;rsquor;|3:0|Ivica Šurjak', '22&amp;rsquor;|4:0|Josip Katalinski', '30&amp;rsquor;|5:0|Dušan Bajević', '35&amp;rsquor;|6:0|Vladislav Bogićević', '61&amp;rsquor;|7:0|Branko Oblak', '65&amp;rsquor;|8:0|Ilija Petković', '81&amp;rsquor;|9:0|Dušan Bajević']"/>
    <s v=""/>
    <s v=""/>
    <s v=""/>
    <s v=""/>
    <s v=""/>
    <s v=""/>
    <s v=""/>
    <s v=""/>
    <s v=""/>
    <s v=""/>
    <s v=""/>
    <s v=""/>
    <s v="Ndaye Mulamba · 23"/>
    <s v=""/>
    <s v=""/>
    <s v="['1&amp;rsquor;|0:0|Enver Hadžiabdić']"/>
    <s v=""/>
    <s v=""/>
    <s v="['21&amp;rsquor;|3:0|Tubilandu Ndimbi|for Kazadi Mwamba', '46&amp;rsquor;|6:0|Mayanga Maku|for Kakoko Etepé']"/>
  </r>
  <r>
    <s v="Chile"/>
    <s v="Germany DR"/>
    <n v="1"/>
    <m/>
    <m/>
    <n v="1"/>
    <m/>
    <m/>
    <s v="Luis Alamos"/>
    <s v="Francisco Valdés"/>
    <s v="Georg Buschner"/>
    <s v="Bernd Bransch"/>
    <n v="28300"/>
    <s v="Olympiastadion, Berlin West"/>
    <s v="Aurelio Angonese (Referee) · Ruedi Scheurer (AR1) · Bob Davidson (AR2)"/>
    <x v="9"/>
    <x v="287"/>
    <s v="1–1"/>
    <s v="Aurelio Angonese"/>
    <s v=""/>
    <x v="4"/>
    <x v="12"/>
    <s v="Sergio Ahumada · 69"/>
    <s v="Martin Hoffmann · 55"/>
    <s v="['69&amp;rsquor;|1:1|Sergio Ahumada']"/>
    <s v="['55&amp;rsquor;|0:1|Martin Hoffmann']"/>
    <s v=""/>
    <s v=""/>
    <s v=""/>
    <s v=""/>
    <s v=""/>
    <s v=""/>
    <s v=""/>
    <s v=""/>
    <s v=""/>
    <s v=""/>
    <s v=""/>
    <s v=""/>
    <s v=""/>
    <s v=""/>
    <s v="['56&amp;rsquor;|0:1|Leonardo Véliz', '60&amp;rsquor;|0:1|Guillermo Páez']"/>
    <s v="['65&amp;rsquor;|0:1|Gerd Kische']"/>
    <s v="['46&amp;rsquor;|0:0|Guillermo Yávar|for Francisco Valdés', '67&amp;rsquor;|0:1|Rogelio Farías']"/>
    <s v="['29&amp;rsquor;|0:0|Peter Ducke|for Wolfgang Seguin', '72&amp;rsquor;|1:1|Hans-Jürgen Kreische|for Eberhard Vogel']"/>
  </r>
  <r>
    <s v="Scotland"/>
    <s v="Brazil"/>
    <n v="0"/>
    <m/>
    <m/>
    <n v="0"/>
    <m/>
    <m/>
    <s v="Willie Ormond"/>
    <s v="Billy Bremner"/>
    <s v="Mario Zagallo"/>
    <s v="Wilson da Silva Piazza"/>
    <n v="62000"/>
    <s v="Waldstadion, Frankfurt/Main"/>
    <s v="Arie Van Gemert (Referee) · Karoly Palotai (AR1) · Erich Linemayr (AR2)"/>
    <x v="9"/>
    <x v="287"/>
    <s v="0–0"/>
    <s v="Arie Van Gemert"/>
    <s v=""/>
    <x v="4"/>
    <x v="12"/>
    <s v=""/>
    <s v=""/>
    <s v=""/>
    <s v=""/>
    <s v=""/>
    <s v=""/>
    <s v=""/>
    <s v=""/>
    <s v=""/>
    <s v=""/>
    <s v=""/>
    <s v=""/>
    <s v=""/>
    <s v=""/>
    <s v=""/>
    <s v=""/>
    <s v=""/>
    <s v=""/>
    <s v=""/>
    <s v="['1&amp;rsquor;|0:0|Marinho Peres', '1&amp;rsquor;|0:0|Marinho Chagas', '35&amp;rsquor;|0:0|Rivellino']"/>
    <s v=""/>
    <s v="['65&amp;rsquor;|0:0|Paulo César Carpegiani|for Leivinha']"/>
  </r>
  <r>
    <s v="Uruguay"/>
    <s v="Netherlands"/>
    <n v="0"/>
    <m/>
    <m/>
    <n v="2"/>
    <m/>
    <m/>
    <s v="Roberto Porta"/>
    <s v="Juan Carlos Masnik"/>
    <s v="Rinus Michels"/>
    <s v="Johan Cruyff"/>
    <n v="55100"/>
    <s v="Niedersachsenstadion, Hanover"/>
    <s v="Karoly Palotai (Referee) · Pavel Kazakov (AR1) · Nicolae Rainea (AR2)"/>
    <x v="9"/>
    <x v="288"/>
    <s v="0–2"/>
    <s v="Karoly Palotai"/>
    <s v=""/>
    <x v="4"/>
    <x v="12"/>
    <s v=""/>
    <s v="Johnny Rep · 7|Johnny Rep · 86"/>
    <s v=""/>
    <s v="['7&amp;rsquor;|0:1|Johnny Rep', '86&amp;rsquor;|0:2|Johnny Rep']"/>
    <s v=""/>
    <s v=""/>
    <s v=""/>
    <s v=""/>
    <s v=""/>
    <s v=""/>
    <s v=""/>
    <s v=""/>
    <s v=""/>
    <s v=""/>
    <s v="Julio Montero Castillo · 69"/>
    <s v=""/>
    <s v=""/>
    <s v=""/>
    <s v="['25&amp;rsquor;|0:1|Walter Mantegazza', '50&amp;rsquor;|0:1|Pablo Forlán', '65&amp;rsquor;|0:1|Juan Carlos Masnik']"/>
    <s v=""/>
    <s v="['64&amp;rsquor;|0:1|Denís Milar|for Luis Cubilla']"/>
    <s v=""/>
  </r>
  <r>
    <s v="Sweden"/>
    <s v="Bulgaria"/>
    <n v="0"/>
    <m/>
    <m/>
    <n v="0"/>
    <m/>
    <m/>
    <s v="Georg Ericson"/>
    <s v="Bo Larsson"/>
    <s v="Hristo Mladenov"/>
    <s v="Hristo Bonev"/>
    <n v="23800"/>
    <s v="Rheinstadion, Dï¿½Sseldorf"/>
    <s v="Edison A. Perez Nunez (Referee) · Alfonso Gonzalez Archundia (AR1) · George Suppiah (AR2)"/>
    <x v="9"/>
    <x v="288"/>
    <s v="0–0"/>
    <s v="Edison A. Perez Nunez"/>
    <s v=""/>
    <x v="4"/>
    <x v="12"/>
    <s v=""/>
    <s v=""/>
    <s v=""/>
    <s v=""/>
    <s v=""/>
    <s v=""/>
    <s v=""/>
    <s v=""/>
    <s v=""/>
    <s v=""/>
    <s v=""/>
    <s v=""/>
    <s v=""/>
    <s v=""/>
    <s v=""/>
    <s v=""/>
    <s v=""/>
    <s v=""/>
    <s v=""/>
    <s v=""/>
    <s v="['73&amp;rsquor;|0:0|Benno Magnusson|for Ove Kindvall']"/>
    <s v="['73&amp;rsquor;|0:0|Mladen Vasilev|for Pavel Panov', '75&amp;rsquor;|0:0|Atanas Mihaylov|for Voyn Voynov']"/>
  </r>
  <r>
    <s v="Italy"/>
    <s v="Haiti"/>
    <n v="3"/>
    <m/>
    <m/>
    <n v="1"/>
    <m/>
    <m/>
    <s v="Ferruccio Valcareggi"/>
    <s v="Giacinto Facchetti"/>
    <s v="Antoine Tassy"/>
    <s v="Wilner Nazaire"/>
    <n v="53000"/>
    <s v="Olympiastadion, Munich"/>
    <s v="Vicente Llobregat (Referee) · Jafar Namdar (AR1) · Armando Marques (AR2)"/>
    <x v="9"/>
    <x v="288"/>
    <s v="3–1"/>
    <s v="Vicente Llobregat"/>
    <s v=""/>
    <x v="4"/>
    <x v="12"/>
    <s v="Gianni Rivera · 52|Romeo Benetti · 66|Pietro Anastasi · 79"/>
    <s v="Emmanuel Sanon · 46"/>
    <s v="['52&amp;rsquor;|1:1|Gianni Rivera', '66&amp;rsquor;|2:1|Romeo Benetti', '79&amp;rsquor;|3:1|Pietro Anastasi']"/>
    <s v="['46&amp;rsquor;|0:1|Emmanuel Sanon']"/>
    <s v=""/>
    <s v=""/>
    <s v=""/>
    <s v=""/>
    <s v=""/>
    <s v=""/>
    <s v=""/>
    <s v=""/>
    <s v=""/>
    <s v=""/>
    <s v=""/>
    <s v=""/>
    <s v=""/>
    <s v=""/>
    <s v=""/>
    <s v="['1&amp;rsquor;|0:0|Pierre Bayonne']"/>
    <s v="['70&amp;rsquor;|2:1|Pietro Anastasi|for Giorgio Chinaglia']"/>
    <s v="['46&amp;rsquor;|0:1|Claude Barthélemy|for Guy Saint-Vil']"/>
  </r>
  <r>
    <s v="Poland"/>
    <s v="Argentina"/>
    <n v="3"/>
    <m/>
    <m/>
    <n v="2"/>
    <m/>
    <m/>
    <s v="Kazimierz Gorski"/>
    <s v="Kazimierz Deyna"/>
    <s v="Vladislao Cap"/>
    <s v="Roberto Perfumo"/>
    <n v="32700"/>
    <s v="Neckarstadion, Stuttgart"/>
    <s v="Clive Thomas (Referee) · Heinz Aldinger (AR1) · Bob Davidson (AR2)"/>
    <x v="9"/>
    <x v="288"/>
    <s v="3–2"/>
    <s v="Clive Thomas"/>
    <s v=""/>
    <x v="4"/>
    <x v="12"/>
    <s v="Grzegorz Lato · 7|Andrzej Szarmach · 8|Grzegorz Lato · 62"/>
    <s v="Ramón Heredia · 60|Carlos Babington · 66"/>
    <s v="['7&amp;rsquor;|1:0|Grzegorz Lato', '8&amp;rsquor;|2:0|Andrzej Szarmach', '62&amp;rsquor;|3:1|Grzegorz Lato']"/>
    <s v="['60&amp;rsquor;|2:1|Ramón Heredia', '66&amp;rsquor;|3:2|Carlos Babington']"/>
    <s v=""/>
    <s v=""/>
    <s v=""/>
    <s v=""/>
    <s v=""/>
    <s v=""/>
    <s v=""/>
    <s v=""/>
    <s v=""/>
    <s v=""/>
    <s v=""/>
    <s v=""/>
    <s v=""/>
    <s v=""/>
    <s v=""/>
    <s v="['1&amp;rsquor;|0:0|Carlos Babington', '1&amp;rsquor;|0:0|Roberto Perfumo']"/>
    <s v="['70&amp;rsquor;|3:2|Jan Domarski|for Andrzej Szarmach', '85&amp;rsquor;|3:2|Lesław Ćmikiewicz|for Robert Gadocha']"/>
    <s v="['45&amp;rsquor;|2:0|René Houseman|for Miguel Ángel Brindisi', '67&amp;rsquor;|3:2|Roberto Telch|for Ángel Bargas']"/>
  </r>
  <r>
    <s v="West Germany"/>
    <s v="Chile"/>
    <n v="1"/>
    <m/>
    <m/>
    <n v="0"/>
    <m/>
    <m/>
    <s v="Helmut Schoen"/>
    <s v="Franz Beckenbauer"/>
    <s v="Luis Alamos"/>
    <s v="Francisco Valdés"/>
    <n v="81100"/>
    <s v="Olympiastadion, Berlin West"/>
    <s v="Dogan Babacan (Referee) · John Taylor (AR1) · Werner Winsemann (AR2)"/>
    <x v="9"/>
    <x v="289"/>
    <s v="1–0"/>
    <s v="Dogan Babacan"/>
    <s v=""/>
    <x v="4"/>
    <x v="12"/>
    <s v="Paul Breitner · 18"/>
    <s v=""/>
    <s v="['18&amp;rsquor;|1:0|Paul Breitner']"/>
    <s v=""/>
    <s v=""/>
    <s v=""/>
    <s v=""/>
    <s v=""/>
    <s v=""/>
    <s v=""/>
    <s v=""/>
    <s v=""/>
    <s v=""/>
    <s v=""/>
    <s v=""/>
    <s v="Carlos Caszely · 67"/>
    <s v=""/>
    <s v=""/>
    <s v=""/>
    <s v="['1&amp;rsquor;|0:0|Rolando García', '1&amp;rsquor;|0:0|Carlos Reinoso', '13&amp;rsquor;|0:0|Carlos Caszely']"/>
    <s v="['75&amp;rsquor;|1:0|Bernd Hölzenbein|for Wolfgang Overath']"/>
    <s v="['76&amp;rsquor;|1:0|Leonardo Véliz|for Francisco Valdés', '83&amp;rsquor;|1:0|Alfonso Lara|for Juan Rodríguez Vega']"/>
  </r>
  <r>
    <s v="Germany DR"/>
    <s v="Australia"/>
    <n v="2"/>
    <m/>
    <m/>
    <n v="0"/>
    <m/>
    <m/>
    <s v="Georg Buschner"/>
    <s v="Bernd Bransch"/>
    <s v="Rale Rasic"/>
    <s v="Peter Wilson"/>
    <n v="17000"/>
    <s v="Volksparkstadion, Hamburg"/>
    <s v="Youssou Ndiaye (Referee) · Pablo Sanchez Ibanez (AR1) · Omar Delgado (AR2)"/>
    <x v="9"/>
    <x v="289"/>
    <s v="2–0"/>
    <s v="Youssou Ndiaye"/>
    <s v=""/>
    <x v="4"/>
    <x v="12"/>
    <s v="Joachim Streich · 72"/>
    <s v=""/>
    <s v="['72&amp;rsquor;|2:0|Joachim Streich']"/>
    <s v=""/>
    <s v="Colin Curran (OG) · 58"/>
    <s v=""/>
    <s v=""/>
    <s v=""/>
    <s v=""/>
    <s v=""/>
    <s v=""/>
    <s v=""/>
    <s v=""/>
    <s v=""/>
    <s v=""/>
    <s v=""/>
    <s v=""/>
    <s v=""/>
    <s v="['1&amp;rsquor;|0:0|Siegmar Wätzlich', '1&amp;rsquor;|0:0|Eberhard Vogel', '1&amp;rsquor;|0:0|Gerd Kische']"/>
    <s v=""/>
    <s v="['55&amp;rsquor;|0:0|Martin Hoffmann|for Wolfram Löwe']"/>
    <s v=""/>
  </r>
  <r>
    <s v="Zaire"/>
    <s v="Scotland"/>
    <n v="0"/>
    <m/>
    <m/>
    <n v="2"/>
    <m/>
    <m/>
    <s v="Blagoje Vidinic"/>
    <s v="Kidumu Mantantu"/>
    <s v="Willie Ormond"/>
    <s v="Billy Bremner"/>
    <n v="27000"/>
    <s v="Westfalenstadion, Dortmund"/>
    <s v="Gerhard Schulenburg (Referee) · Tony Boskovic (AR1) · Hans Joachim Weyland (AR2)"/>
    <x v="9"/>
    <x v="289"/>
    <s v="0–2"/>
    <s v="Gerhard Schulenburg"/>
    <s v=""/>
    <x v="4"/>
    <x v="12"/>
    <s v=""/>
    <s v="Peter Lorimer · 26|Joe Jordan · 34"/>
    <s v=""/>
    <s v="['26&amp;rsquor;|0:1|Peter Lorimer', '34&amp;rsquor;|0:2|Joe Jordan']"/>
    <s v=""/>
    <s v=""/>
    <s v=""/>
    <s v=""/>
    <s v=""/>
    <s v=""/>
    <s v=""/>
    <s v=""/>
    <s v=""/>
    <s v=""/>
    <s v=""/>
    <s v=""/>
    <s v=""/>
    <s v=""/>
    <s v="['40&amp;rsquor;|0:2|Kidumu Mantantu']"/>
    <s v="['1&amp;rsquor;|0:0|Jim Holton']"/>
    <s v="['64&amp;rsquor;|0:2|Kembo Uba Kembo|for Mayanga Maku', '78&amp;rsquor;|0:2|Kibonge Mafu']"/>
    <s v="['75&amp;rsquor;|0:2|Tommy Hutchison|for Kenny Dalglish']"/>
  </r>
  <r>
    <s v="Brazil"/>
    <s v="Yugoslavia"/>
    <n v="0"/>
    <m/>
    <m/>
    <n v="0"/>
    <m/>
    <m/>
    <s v="Mario Zagallo"/>
    <s v="Wilson da Silva Piazza"/>
    <s v="Miljan Miljanic"/>
    <s v="Dragan Džajić"/>
    <n v="62000"/>
    <s v="Waldstadion, Frankfurt/Main"/>
    <s v="Ruedi Scheurer (Referee) · Vital Loraux (AR1) · Luis Pestarino (AR2)"/>
    <x v="9"/>
    <x v="290"/>
    <s v="0–0"/>
    <s v="Ruedi Scheurer"/>
    <s v=""/>
    <x v="4"/>
    <x v="12"/>
    <s v=""/>
    <s v=""/>
    <s v=""/>
    <s v=""/>
    <s v=""/>
    <s v=""/>
    <s v=""/>
    <s v=""/>
    <s v=""/>
    <s v=""/>
    <s v=""/>
    <s v=""/>
    <s v=""/>
    <s v=""/>
    <s v=""/>
    <s v=""/>
    <s v=""/>
    <s v=""/>
    <s v=""/>
    <s v="['17&amp;rsquor;|0:0|Branko Oblak', '49&amp;rsquor;|0:0|Jovan Aćimović']"/>
    <s v=""/>
    <s v=""/>
  </r>
  <r>
    <s v="Brazil"/>
    <s v="Italy"/>
    <n v="4"/>
    <m/>
    <m/>
    <n v="1"/>
    <m/>
    <m/>
    <s v="Mario Zagallo"/>
    <s v="Carlos Alberto Torres"/>
    <s v="Ferruccio Valcareggi"/>
    <s v="Giacinto Facchetti"/>
    <n v="107412"/>
    <s v="Estadio Azteca, Mexico City"/>
    <s v="Rudolf Gloeckner (Referee) · Ruedi Scheurer (AR1) · Norberto Angel Coerezza (AR2)"/>
    <x v="0"/>
    <x v="291"/>
    <s v="4–1"/>
    <s v="Rudolf Gloeckner"/>
    <s v=""/>
    <x v="9"/>
    <x v="13"/>
    <s v="Pelé · 18|Gérson · 66|Jairzinho · 71|Carlos Alberto Torres · 86"/>
    <s v="Roberto Boninsegna · 37"/>
    <s v="['18&amp;rsquor;|1:0|Pelé', '66&amp;rsquor;|2:1|Gérson', '71&amp;rsquor;|3:1|Jairzinho', '86&amp;rsquor;|4:1|Carlos Alberto Torres']"/>
    <s v="['37&amp;rsquor;|1:1|Roberto Boninsegna']"/>
    <s v=""/>
    <s v=""/>
    <s v=""/>
    <s v=""/>
    <s v=""/>
    <s v=""/>
    <s v=""/>
    <s v=""/>
    <s v=""/>
    <s v=""/>
    <s v=""/>
    <s v=""/>
    <s v=""/>
    <s v=""/>
    <s v="['1&amp;rsquor;|0:0|Rivellino']"/>
    <s v="['1&amp;rsquor;|0:0|Tarcisio Burgnich']"/>
    <s v=""/>
    <s v="['74&amp;rsquor;|3:1|Antonio Juliano|for Mario Bertini', '84&amp;rsquor;|3:1|Gianni Rivera']"/>
  </r>
  <r>
    <s v="West Germany"/>
    <s v="Uruguay"/>
    <n v="1"/>
    <m/>
    <m/>
    <n v="0"/>
    <m/>
    <m/>
    <s v="Helmut Schoen"/>
    <s v="Uwe Seeler"/>
    <s v="Juan Hohberg"/>
    <s v="Luis Ubiña"/>
    <n v="104403"/>
    <s v="Estadio Azteca, Mexico City"/>
    <s v="Antonio Sbardella (Referee) · Ferdinand Marschall (AR1) · Abel Aguilar Elizalde (AR2)"/>
    <x v="1"/>
    <x v="292"/>
    <s v="1–0"/>
    <s v="Antonio Sbardella"/>
    <s v=""/>
    <x v="9"/>
    <x v="13"/>
    <s v="Wolfgang Overath · 26"/>
    <s v=""/>
    <s v="['26&amp;rsquor;|1:0|Wolfgang Overath']"/>
    <s v=""/>
    <s v=""/>
    <s v=""/>
    <s v=""/>
    <s v=""/>
    <s v=""/>
    <s v=""/>
    <s v=""/>
    <s v=""/>
    <s v=""/>
    <s v=""/>
    <s v=""/>
    <s v=""/>
    <s v=""/>
    <s v=""/>
    <s v="['1&amp;rsquor;|0:0|Max Lorenz', '1&amp;rsquor;|0:0|Hannes Löhr']"/>
    <s v="['1&amp;rsquor;|0:0|Dagoberto Fontes', '1&amp;rsquor;|0:0|Luis Ubiña', '1&amp;rsquor;|0:0|Julio Montero Castillo']"/>
    <s v="['46&amp;rsquor;|1:0|Max Lorenz', '73&amp;rsquor;|1:0|Hannes Löhr|for Reinhard Libuda']"/>
    <s v="['46&amp;rsquor;|1:0|Víctor Espárrago|for Dagoberto Fontes', '67&amp;rsquor;|1:0|Rodolfo Sandoval|for Ildo Maneiro']"/>
  </r>
  <r>
    <s v="Italy"/>
    <s v="West Germany"/>
    <n v="4"/>
    <m/>
    <m/>
    <n v="3"/>
    <m/>
    <m/>
    <s v="Ferruccio Valcareggi"/>
    <s v="Giacinto Facchetti"/>
    <s v="Helmut Schoen"/>
    <s v="Uwe Seeler"/>
    <n v="102444"/>
    <s v="Estadio Azteca, Mexico City"/>
    <s v="Arturo Yamasaki Maldonado (Referee) · Rafael Hormazabal Diaz (AR1) · Guillermo Velasquez (AR2)"/>
    <x v="2"/>
    <x v="293"/>
    <s v="4–3"/>
    <s v="Arturo Yamasaki Maldonado"/>
    <s v="Required Extra Time"/>
    <x v="9"/>
    <x v="13"/>
    <s v="Roberto Boninsegna · 8|Tarcisio Burgnich · 98|Luigi Riva · 104|Gianni Rivera · 111"/>
    <s v="Karl-Heinz Schnellinger · 90|Gerd Müller · 94|Gerd Müller · 110"/>
    <s v="['8&amp;rsquor;|1:0|Roberto Boninsegna', '98&amp;rsquor;|2:2|Tarcisio Burgnich', '104&amp;rsquor;|3:2|Luigi Riva', '111&amp;rsquor;|4:3|Gianni Rivera']"/>
    <s v="['90&amp;rsquor;|1:1|Karl-Heinz Schnellinger', '94&amp;rsquor;|1:2|Gerd Müller', '110&amp;rsquor;|3:3|Gerd Müller']"/>
    <s v=""/>
    <s v=""/>
    <s v=""/>
    <s v=""/>
    <s v=""/>
    <s v=""/>
    <s v=""/>
    <s v=""/>
    <s v=""/>
    <s v=""/>
    <s v=""/>
    <s v=""/>
    <s v=""/>
    <s v=""/>
    <s v="['1&amp;rsquor;|0:0|Roberto Rosato', '1&amp;rsquor;|0:0|Angelo Domenghini', '1&amp;rsquor;|0:0|Giancarlo De Sisti']"/>
    <s v="['1&amp;rsquor;|0:0|Wolfgang Overath', '1&amp;rsquor;|0:0|Gerd Müller']"/>
    <s v="['46&amp;rsquor;|1:0|Gianni Rivera|for Sandro Mazzola', '91&amp;rsquor;|1:1|Fabrizio Poletti|for Roberto Rosato']"/>
    <s v="['53&amp;rsquor;|1:0|Reinhard Libuda', '66&amp;rsquor;|1:0|Sigfried Held|for Bernd Patzke']"/>
  </r>
  <r>
    <s v="Brazil"/>
    <s v="Uruguay"/>
    <n v="3"/>
    <m/>
    <m/>
    <n v="1"/>
    <m/>
    <m/>
    <s v="Mario Zagallo"/>
    <s v="Carlos Alberto Torres"/>
    <s v="Juan Hohberg"/>
    <s v="Luis Ubiña"/>
    <n v="51261"/>
    <s v="Jalisco, Guadalajara"/>
    <s v="Jose Maria Ortiz De Mendibil (Referee) · Tofik Bakhramov (AR1) · Ferdinand Marschall (AR2)"/>
    <x v="2"/>
    <x v="293"/>
    <s v="3–1"/>
    <s v="Jose Maria Ortiz De Mendibil"/>
    <s v=""/>
    <x v="9"/>
    <x v="13"/>
    <s v="Clodoaldo · 44|Jairzinho · 76|Rivellino · 89"/>
    <s v="Luis Cubilla · 19"/>
    <s v="['44&amp;rsquor;|1:1|Clodoaldo', '76&amp;rsquor;|2:1|Jairzinho', '89&amp;rsquor;|3:1|Rivellino']"/>
    <s v="['19&amp;rsquor;|0:1|Luis Cubilla']"/>
    <s v=""/>
    <s v=""/>
    <s v=""/>
    <s v=""/>
    <s v=""/>
    <s v=""/>
    <s v=""/>
    <s v=""/>
    <s v=""/>
    <s v=""/>
    <s v=""/>
    <s v=""/>
    <s v=""/>
    <s v=""/>
    <s v="['1&amp;rsquor;|0:0|Carlos Alberto Torres']"/>
    <s v="['1&amp;rsquor;|0:0|Ildo Maneiro', '1&amp;rsquor;|0:0|Juan Mujica', '1&amp;rsquor;|0:0|Dagoberto Fontes']"/>
    <s v=""/>
    <s v="['77&amp;rsquor;|2:1|Víctor Espárrago|for Ildo Maneiro']"/>
  </r>
  <r>
    <s v="Brazil"/>
    <s v="Peru"/>
    <n v="4"/>
    <m/>
    <m/>
    <n v="2"/>
    <m/>
    <m/>
    <s v="Mario Zagallo"/>
    <s v="Carlos Alberto Torres"/>
    <s v="Didi"/>
    <s v="Héctor Chumpitaz"/>
    <n v="54233"/>
    <s v="Jalisco, Guadalajara"/>
    <s v="Vital Loraux (Referee) · Ferdinand Marschall (AR1) · Gyula Emsberger (AR2)"/>
    <x v="3"/>
    <x v="294"/>
    <s v="4–2"/>
    <s v="Vital Loraux"/>
    <s v=""/>
    <x v="9"/>
    <x v="13"/>
    <s v="Rivellino · 11|Tostão · 15|Tostão · 52|Jairzinho · 75"/>
    <s v="Alberto Gallardo · 28|Teófilo Cubillas · 70"/>
    <s v="['11&amp;rsquor;|1:0|Rivellino', '15&amp;rsquor;|2:0|Tostão', '52&amp;rsquor;|3:1|Tostão', '75&amp;rsquor;|4:2|Jairzinho']"/>
    <s v="['28&amp;rsquor;|2:1|Alberto Gallardo', '70&amp;rsquor;|3:2|Teófilo Cubillas']"/>
    <s v=""/>
    <s v=""/>
    <s v=""/>
    <s v=""/>
    <s v=""/>
    <s v=""/>
    <s v=""/>
    <s v=""/>
    <s v=""/>
    <s v=""/>
    <s v=""/>
    <s v=""/>
    <s v=""/>
    <s v=""/>
    <s v=""/>
    <s v=""/>
    <s v="['67&amp;rsquor;|3:1|Paulo Cézar Caju', '80&amp;rsquor;|4:2|Roberto Miranda|for Jairzinho']"/>
    <s v="['54&amp;rsquor;|3:1|Hugo Sotil|for Julio Baylón', '61&amp;rsquor;|3:1|Eladio Reyes|for Pedro Pablo León']"/>
  </r>
  <r>
    <s v="Italy"/>
    <s v="Mexico"/>
    <n v="4"/>
    <m/>
    <m/>
    <n v="1"/>
    <m/>
    <m/>
    <s v="Ferruccio Valcareggi"/>
    <s v="Giacinto Facchetti"/>
    <s v="Raul Cardenas"/>
    <s v="Gustavo Peña"/>
    <n v="26851"/>
    <s v="Luis Dosal, Toluca"/>
    <s v="Ruedi Scheurer (Referee) · Keith Dunstan (AR1) · Henry Landauer (AR2)"/>
    <x v="3"/>
    <x v="294"/>
    <s v="4–1"/>
    <s v="Ruedi Scheurer"/>
    <s v=""/>
    <x v="9"/>
    <x v="13"/>
    <s v="Luigi Riva · 63|Gianni Rivera · 70|Luigi Riva · 76"/>
    <s v="José Luis González Dávila · 13"/>
    <s v="['63&amp;rsquor;|2:1|Luigi Riva', '70&amp;rsquor;|3:1|Gianni Rivera', '76&amp;rsquor;|4:1|Luigi Riva']"/>
    <s v="['13&amp;rsquor;|0:1|José Luis González Dávila']"/>
    <s v="Javier Guzmán (OG) · 25"/>
    <s v=""/>
    <s v=""/>
    <s v=""/>
    <s v=""/>
    <s v=""/>
    <s v=""/>
    <s v=""/>
    <s v=""/>
    <s v=""/>
    <s v=""/>
    <s v=""/>
    <s v=""/>
    <s v=""/>
    <s v="['1&amp;rsquor;|0:0|Gianni Rivera']"/>
    <s v=""/>
    <s v="['46&amp;rsquor;|1:1|Gianni Rivera|for Sandro Mazzola', '84&amp;rsquor;|4:1|Sergio Gori|for Angelo Domenghini']"/>
    <s v="['60&amp;rsquor;|1:1|Isidoro Díaz|for Antonio Munguía', '68&amp;rsquor;|2:1|Enrique Borja']"/>
  </r>
  <r>
    <s v="Uruguay"/>
    <s v="Soviet Union"/>
    <n v="1"/>
    <m/>
    <m/>
    <n v="0"/>
    <m/>
    <m/>
    <s v="Juan Hohberg"/>
    <s v="Luis Ubiña"/>
    <s v="Gavril Kachalin"/>
    <s v="Albert Shesternyov"/>
    <n v="26085"/>
    <s v="Estadio Azteca, Mexico City"/>
    <s v="Laurens Van Ravens (Referee) · Bob Davidson (AR1) · Rudolf Gloeckner (AR2)"/>
    <x v="3"/>
    <x v="294"/>
    <s v="1–0"/>
    <s v="Laurens Van Ravens"/>
    <s v="Required Extra Time"/>
    <x v="9"/>
    <x v="13"/>
    <s v="Víctor Espárrago · 117"/>
    <s v=""/>
    <s v="['117&amp;rsquor;|1:0|Víctor Espárrago']"/>
    <s v=""/>
    <s v=""/>
    <s v=""/>
    <s v=""/>
    <s v=""/>
    <s v=""/>
    <s v=""/>
    <s v=""/>
    <s v=""/>
    <s v=""/>
    <s v=""/>
    <s v=""/>
    <s v=""/>
    <s v=""/>
    <s v=""/>
    <s v=""/>
    <s v="['1&amp;rsquor;|0:0|Anatoliy Byshovets']"/>
    <s v="['96&amp;rsquor;|0:0|Alberto Gómez|for Julio Morales', '103&amp;rsquor;|0:0|Víctor Espárrago|for Dagoberto Fontes']"/>
    <s v="['71&amp;rsquor;|0:0|Nikolay Kiselyov|for Kakhi Asatiani', '86&amp;rsquor;|0:0|Gennady Logofet|for Murtaz Khurtsilava']"/>
  </r>
  <r>
    <s v="West Germany"/>
    <s v="England"/>
    <n v="3"/>
    <m/>
    <m/>
    <n v="2"/>
    <m/>
    <m/>
    <s v="Helmut Schoen"/>
    <s v="Uwe Seeler"/>
    <s v="Alf Ramsey"/>
    <s v="Bobby Moore"/>
    <n v="23357"/>
    <s v="Nou Camp - Estadio Leï¿½n, Leon"/>
    <s v="Norberto Angel Coerezza (Referee) · Guillermo Velasquez (AR1) · Jose Maria Ortiz De Mendibil (AR2)"/>
    <x v="3"/>
    <x v="294"/>
    <s v="3–2"/>
    <s v="Norberto Angel Coerezza"/>
    <s v="Required Extra Time"/>
    <x v="9"/>
    <x v="13"/>
    <s v="Franz Beckenbauer · 68|Uwe Seeler · 82|Gerd Müller · 108"/>
    <s v="Alan Mullery · 31|Martin Peters · 49"/>
    <s v="['68&amp;rsquor;|1:2|Franz Beckenbauer', '82&amp;rsquor;|2:2|Uwe Seeler', '108&amp;rsquor;|3:2|Gerd Müller']"/>
    <s v="['31&amp;rsquor;|0:1|Alan Mullery', '49&amp;rsquor;|0:2|Martin Peters']"/>
    <s v=""/>
    <s v=""/>
    <s v=""/>
    <s v=""/>
    <s v=""/>
    <s v=""/>
    <s v=""/>
    <s v=""/>
    <s v=""/>
    <s v=""/>
    <s v=""/>
    <s v=""/>
    <s v=""/>
    <s v=""/>
    <s v="['1&amp;rsquor;|0:0|Gerd Müller']"/>
    <s v="['1&amp;rsquor;|0:0|Francis Lee']"/>
    <s v="['45&amp;rsquor;|0:1|Willi Schulz|for Horst-Dieter Höttges', '55&amp;rsquor;|0:2|Jürgen Grabowski|for Reinhard Libuda']"/>
    <s v="['70&amp;rsquor;|1:2|Colin Bell|for Bobby Charlton', '81&amp;rsquor;|1:2|Norman Hunter|for Martin Peters']"/>
  </r>
  <r>
    <s v="Mexico"/>
    <s v="Belgium"/>
    <n v="1"/>
    <m/>
    <m/>
    <n v="0"/>
    <m/>
    <m/>
    <s v="Raul Cardenas"/>
    <s v="Gustavo Peña"/>
    <s v="Raymond Goethals"/>
    <s v="Paul Van Himst"/>
    <n v="108192"/>
    <s v="Estadio Azteca, Mexico City"/>
    <s v="Norberto Angel Coerezza (Referee) · Henry Landauer (AR1) · Rafael Hormazabal Diaz (AR2)"/>
    <x v="5"/>
    <x v="295"/>
    <s v="1–0"/>
    <s v="Norberto Angel Coerezza"/>
    <s v=""/>
    <x v="9"/>
    <x v="13"/>
    <s v=""/>
    <s v=""/>
    <s v=""/>
    <s v=""/>
    <s v=""/>
    <s v=""/>
    <s v="Gustavo Peña (P) · 14"/>
    <s v=""/>
    <s v=""/>
    <s v=""/>
    <s v=""/>
    <s v=""/>
    <s v=""/>
    <s v=""/>
    <s v=""/>
    <s v=""/>
    <s v=""/>
    <s v=""/>
    <s v="['1&amp;rsquor;|0:0|Javier Valdivia', '1&amp;rsquor;|0:0|Gustavo Peña']"/>
    <s v="['1&amp;rsquor;|0:0|Jean Thissen', '1&amp;rsquor;|0:0|Paul Van Himst']"/>
    <s v="['46&amp;rsquor;|1:0|Juan Ignacio Basaguren|for Javier Valdivia']"/>
    <s v="['65&amp;rsquor;|1:0|Johan Devrindt|for Odilon Polleunis']"/>
  </r>
  <r>
    <s v="Italy"/>
    <s v="Israel"/>
    <n v="0"/>
    <m/>
    <m/>
    <n v="0"/>
    <m/>
    <m/>
    <s v="Ferruccio Valcareggi"/>
    <s v="Giacinto Facchetti"/>
    <s v="Emmanuel Sheffer"/>
    <s v="Mordechai Spiegler"/>
    <n v="9890"/>
    <s v="Luis Dosal, Toluca"/>
    <s v="Ayrton Vieira De Moraes (Referee) · Seyoum Tarekegn (AR1) · Kurt Tschenscher (AR2)"/>
    <x v="5"/>
    <x v="295"/>
    <s v="0–0"/>
    <s v="Ayrton Vieira De Moraes"/>
    <s v=""/>
    <x v="9"/>
    <x v="13"/>
    <s v=""/>
    <s v=""/>
    <s v=""/>
    <s v=""/>
    <s v=""/>
    <s v=""/>
    <s v=""/>
    <s v=""/>
    <s v=""/>
    <s v=""/>
    <s v=""/>
    <s v=""/>
    <s v=""/>
    <s v=""/>
    <s v=""/>
    <s v=""/>
    <s v=""/>
    <s v=""/>
    <s v="['90&amp;rsquor;|0:0|Roberto Boninsegna']"/>
    <s v="['62&amp;rsquor;|0:0|David Primo', '67&amp;rsquor;|0:0|Menachem Bello']"/>
    <s v="['46&amp;rsquor;|0:0|Gianni Rivera|for Angelo Domenghini']"/>
    <s v="['46&amp;rsquor;|0:0|Dani Shmulevich-Rom|for Yehoshua Feigenbaum']"/>
  </r>
  <r>
    <s v="Bulgaria"/>
    <s v="Morocco"/>
    <n v="1"/>
    <m/>
    <m/>
    <n v="1"/>
    <m/>
    <m/>
    <s v="Stefan Bozhkov"/>
    <s v="Aleksandar Shalamanov"/>
    <s v="Blagoje Vidinic"/>
    <s v="Driss Bamous"/>
    <n v="12299"/>
    <s v="Nou Camp - Estadio Leï¿½n, Leon"/>
    <s v="Antonio Saldanha Ribeiro (Referee) · Tofik Bakhramov (AR1) · Laurens Van Ravens (AR2)"/>
    <x v="5"/>
    <x v="295"/>
    <s v="1–1"/>
    <s v="Antonio Saldanha Ribeiro"/>
    <s v=""/>
    <x v="9"/>
    <x v="13"/>
    <s v="Dobromir Zhechev · 40"/>
    <s v="Maouhoub Ghazouani · 61"/>
    <s v="['40&amp;rsquor;|1:0|Dobromir Zhechev']"/>
    <s v="['61&amp;rsquor;|1:1|Maouhoub Ghazouani']"/>
    <s v=""/>
    <s v=""/>
    <s v=""/>
    <s v=""/>
    <s v=""/>
    <s v=""/>
    <s v=""/>
    <s v=""/>
    <s v=""/>
    <s v=""/>
    <s v=""/>
    <s v=""/>
    <s v=""/>
    <s v=""/>
    <s v=""/>
    <s v=""/>
    <s v="['42&amp;rsquor;|1:0|Ivan Dimitrov|for Dimitar Penev', '50&amp;rsquor;|1:0|Hristo Bonev|for Dimitar Yakimov']"/>
    <s v="['46&amp;rsquor;|1:0|Moustapha Choukri|for Driss Bamous', '74&amp;rsquor;|1:1|Ahmed Faras']"/>
  </r>
  <r>
    <s v="England"/>
    <s v="Czechoslovakia"/>
    <n v="1"/>
    <m/>
    <m/>
    <n v="0"/>
    <m/>
    <m/>
    <s v="Alf Ramsey"/>
    <s v="Bobby Moore"/>
    <s v="Jozef Marko"/>
    <s v="Ivo Viktor"/>
    <n v="49292"/>
    <s v="Jalisco, Guadalajara"/>
    <s v="Roger Machin (Referee) · Gyula Emsberger (AR1) · Ferdinand Marschall (AR2)"/>
    <x v="5"/>
    <x v="295"/>
    <s v="1–0"/>
    <s v="Roger Machin"/>
    <s v=""/>
    <x v="9"/>
    <x v="13"/>
    <s v=""/>
    <s v=""/>
    <s v=""/>
    <s v=""/>
    <s v=""/>
    <s v=""/>
    <s v="Allan Clarke (P) · 50"/>
    <s v=""/>
    <s v=""/>
    <s v=""/>
    <s v=""/>
    <s v=""/>
    <s v=""/>
    <s v=""/>
    <s v=""/>
    <s v=""/>
    <s v=""/>
    <s v=""/>
    <s v=""/>
    <s v="['1&amp;rsquor;|0:0|Karol Dobiaš']"/>
    <s v="['65&amp;rsquor;|1:0|Alan Ball Jr.|for Bobby Charlton', '65&amp;rsquor;|1:0|Peter Osgood|for Jeff Astle']"/>
    <s v="['72&amp;rsquor;|1:0|Karol Jokl|for Jozef Čapkovič']"/>
  </r>
  <r>
    <s v="West Germany"/>
    <s v="Peru"/>
    <n v="3"/>
    <m/>
    <m/>
    <n v="1"/>
    <m/>
    <m/>
    <s v="Helmut Schoen"/>
    <s v="Uwe Seeler"/>
    <s v="Didi"/>
    <s v="Héctor Chumpitaz"/>
    <n v="17875"/>
    <s v="Nou Camp - Estadio Leï¿½n, Leon"/>
    <s v="Abel Aguilar Elizalde (Referee) · Jose Maria Ortiz De Mendibil (AR1) · Antonio Sbardella (AR2)"/>
    <x v="5"/>
    <x v="296"/>
    <s v="3–1"/>
    <s v="Abel Aguilar Elizalde"/>
    <s v=""/>
    <x v="9"/>
    <x v="13"/>
    <s v="Gerd Müller · 19|Gerd Müller · 26|Gerd Müller · 39"/>
    <s v="Teófilo Cubillas · 44"/>
    <s v="['19&amp;rsquor;|1:0|Gerd Müller', '26&amp;rsquor;|2:0|Gerd Müller', '39&amp;rsquor;|3:0|Gerd Müller']"/>
    <s v="['44&amp;rsquor;|3:1|Teófilo Cubillas']"/>
    <s v=""/>
    <s v=""/>
    <s v=""/>
    <s v=""/>
    <s v=""/>
    <s v=""/>
    <s v=""/>
    <s v=""/>
    <s v=""/>
    <s v=""/>
    <s v=""/>
    <s v=""/>
    <s v=""/>
    <s v=""/>
    <s v=""/>
    <s v=""/>
    <s v="['46&amp;rsquor;|3:1|Bernd Patzke|for Horst-Dieter Höttges', '75&amp;rsquor;|3:1|Jürgen Grabowski|for Reinhard Libuda']"/>
    <s v="['56&amp;rsquor;|3:1|Oswaldo Ramírez|for Pedro Pablo León', '72&amp;rsquor;|3:1|Luis Cruzado']"/>
  </r>
  <r>
    <s v="Brazil"/>
    <s v="Romania"/>
    <n v="3"/>
    <m/>
    <m/>
    <n v="2"/>
    <m/>
    <m/>
    <s v="Mario Zagallo"/>
    <s v="Carlos Alberto Torres"/>
    <s v="Angelo Niculescu"/>
    <s v="Mircea Lucescu"/>
    <n v="50804"/>
    <s v="Jalisco, Guadalajara"/>
    <s v="Ferdinand Marschall (Referee) · Ramon Barreto Ruiz (AR1) · Vital Loraux (AR2)"/>
    <x v="5"/>
    <x v="296"/>
    <s v="3–2"/>
    <s v="Ferdinand Marschall"/>
    <s v=""/>
    <x v="9"/>
    <x v="13"/>
    <s v="Pelé · 19|Jairzinho · 22|Pelé · 67"/>
    <s v="Florea Dumitrache · 34|Emerich Dembrovschi · 84"/>
    <s v="['19&amp;rsquor;|1:0|Pelé', '22&amp;rsquor;|2:0|Jairzinho', '67&amp;rsquor;|3:1|Pelé']"/>
    <s v="['34&amp;rsquor;|2:1|Florea Dumitrache', '84&amp;rsquor;|3:2|Emerich Dembrovschi']"/>
    <s v=""/>
    <s v=""/>
    <s v=""/>
    <s v=""/>
    <s v=""/>
    <s v=""/>
    <s v=""/>
    <s v=""/>
    <s v=""/>
    <s v=""/>
    <s v=""/>
    <s v=""/>
    <s v=""/>
    <s v=""/>
    <s v=""/>
    <s v="['1&amp;rsquor;|0:0|Mihai Mocanu', '1&amp;rsquor;|0:0|Ion Dumitru']"/>
    <s v="['60&amp;rsquor;|2:1|Marco Antônio|for Everaldo', '74&amp;rsquor;|3:1|Jonas Eduardo Américo|for Clodoaldo']"/>
    <s v="['27&amp;rsquor;|2:0|Răducanu Necula|for Stere Adamache', '72&amp;rsquor;|3:1|Gheorghe Tătaru|for Florea Dumitrache']"/>
  </r>
  <r>
    <s v="Sweden"/>
    <s v="Uruguay"/>
    <n v="1"/>
    <m/>
    <m/>
    <n v="0"/>
    <m/>
    <m/>
    <s v="Orvar Bergmark"/>
    <s v="Björn Nordqvist"/>
    <s v="Juan Hohberg"/>
    <s v="Luis Ubiña"/>
    <n v="18163"/>
    <s v="Cuauhtemoc, Puebla"/>
    <s v="Henry Landauer (Referee) · John Taylor (AR1) · Andrei Radulescu (AR2)"/>
    <x v="5"/>
    <x v="296"/>
    <s v="1–0"/>
    <s v="Henry Landauer"/>
    <s v=""/>
    <x v="9"/>
    <x v="13"/>
    <s v="Ove Grahn · 90"/>
    <s v=""/>
    <s v="['90&amp;rsquor;|1:0|Ove Grahn']"/>
    <s v=""/>
    <s v=""/>
    <s v=""/>
    <s v=""/>
    <s v=""/>
    <s v=""/>
    <s v=""/>
    <s v=""/>
    <s v=""/>
    <s v=""/>
    <s v=""/>
    <s v=""/>
    <s v=""/>
    <s v=""/>
    <s v=""/>
    <s v=""/>
    <s v=""/>
    <s v="['58&amp;rsquor;|0:0|Tom Turesson|for Ove Kindvall', '84&amp;rsquor;|0:0|Ove Grahn|for Göran Nicklasson']"/>
    <s v="['61&amp;rsquor;|0:0|Dagoberto Fontes|for Víctor Espárrago']"/>
  </r>
  <r>
    <s v="Soviet Union"/>
    <s v="El Salvador"/>
    <n v="2"/>
    <m/>
    <m/>
    <n v="0"/>
    <m/>
    <m/>
    <s v="Gavril Kachalin"/>
    <s v="Albert Shesternyov"/>
    <s v="Hernan Carrasco"/>
    <s v="Salvador Mariona"/>
    <n v="89979"/>
    <s v="Estadio Azteca, Mexico City"/>
    <s v="Rafael Hormazabal Diaz (Referee) · Norberto Angel Coerezza (AR1) · Ayrton Vieira De Moraes (AR2)"/>
    <x v="5"/>
    <x v="296"/>
    <s v="2–0"/>
    <s v="Rafael Hormazabal Diaz"/>
    <s v=""/>
    <x v="9"/>
    <x v="13"/>
    <s v="Anatoliy Byshovets · 51|Anatoliy Byshovets · 74"/>
    <s v=""/>
    <s v="['51&amp;rsquor;|1:0|Anatoliy Byshovets', '74&amp;rsquor;|2:0|Anatoliy Byshovets']"/>
    <s v=""/>
    <s v=""/>
    <s v=""/>
    <s v=""/>
    <s v=""/>
    <s v=""/>
    <s v=""/>
    <s v=""/>
    <s v=""/>
    <s v=""/>
    <s v=""/>
    <s v=""/>
    <s v=""/>
    <s v=""/>
    <s v=""/>
    <s v="['1&amp;rsquor;|0:0|Vitaliy Khmelnytskyi']"/>
    <s v=""/>
    <s v="['46&amp;rsquor;|0:0|Gennady Yevryuzhikhin|for Anatoliy Puzach', '81&amp;rsquor;|2:0|Kakhi Asatiani|for Nikolay Kiselyov']"/>
    <s v="['82&amp;rsquor;|2:0|Ernesto Aparicio|for Salvador Cabezas', '86&amp;rsquor;|2:0|Genaro Sermeño']"/>
  </r>
  <r>
    <s v="Mexico"/>
    <s v="El Salvador"/>
    <n v="4"/>
    <m/>
    <m/>
    <n v="0"/>
    <m/>
    <m/>
    <s v="Raul Cardenas"/>
    <s v="Gustavo Peña"/>
    <s v="Hernan Carrasco"/>
    <s v="Salvador Mariona"/>
    <n v="103058"/>
    <s v="Estadio Azteca, Mexico City"/>
    <s v="Aly Hussein Kandil (Referee) · Keith Dunstan (AR1) · John Taylor (AR2)"/>
    <x v="5"/>
    <x v="297"/>
    <s v="4–0"/>
    <s v="Aly Hussein Kandil"/>
    <s v=""/>
    <x v="9"/>
    <x v="13"/>
    <s v="Javier Valdivia · 45|Javier Valdivia · 46|Javier Fragoso · 58|Juan Ignacio Basaguren · 83"/>
    <s v=""/>
    <s v="['45&amp;rsquor;|1:0|Javier Valdivia', '46&amp;rsquor;|2:0|Javier Valdivia', '58&amp;rsquor;|3:0|Javier Fragoso', '83&amp;rsquor;|4:0|Juan Ignacio Basaguren']"/>
    <s v=""/>
    <s v=""/>
    <s v=""/>
    <s v=""/>
    <s v=""/>
    <s v=""/>
    <s v=""/>
    <s v=""/>
    <s v=""/>
    <s v=""/>
    <s v=""/>
    <s v=""/>
    <s v=""/>
    <s v=""/>
    <s v=""/>
    <s v=""/>
    <s v="['1&amp;rsquor;|0:0|Sergio Méndez', '1&amp;rsquor;|0:0|Raúl Magaña', '1&amp;rsquor;|0:0|Salvador Mariona', '1&amp;rsquor;|0:0|Salvador Cabezas']"/>
    <s v="['46&amp;rsquor;|2:0|Horacio López Salgado|for Enrique Borja', '76&amp;rsquor;|3:0|Juan Ignacio Basaguren|for Horacio López Salgado']"/>
    <s v="['58&amp;rsquor;|3:0|Sergio Méndez|for Ernesto Aparicio', '68&amp;rsquor;|3:0|Mario Monge|for Santiago Cortés']"/>
  </r>
  <r>
    <s v="Brazil"/>
    <s v="England"/>
    <n v="1"/>
    <m/>
    <m/>
    <n v="0"/>
    <m/>
    <m/>
    <s v="Mario Zagallo"/>
    <s v="Carlos Alberto Torres"/>
    <s v="Alf Ramsey"/>
    <s v="Bobby Moore"/>
    <n v="66843"/>
    <s v="Jalisco, Guadalajara"/>
    <s v="Abraham Klein (Referee) · Arturo Yamasaki Maldonado (AR1) · Roger Machin (AR2)"/>
    <x v="5"/>
    <x v="297"/>
    <s v="1–0"/>
    <s v="Abraham Klein"/>
    <s v=""/>
    <x v="9"/>
    <x v="13"/>
    <s v="Jairzinho · 59"/>
    <s v=""/>
    <s v="['59&amp;rsquor;|1:0|Jairzinho']"/>
    <s v=""/>
    <s v=""/>
    <s v=""/>
    <s v=""/>
    <s v=""/>
    <s v=""/>
    <s v=""/>
    <s v=""/>
    <s v=""/>
    <s v=""/>
    <s v=""/>
    <s v=""/>
    <s v=""/>
    <s v=""/>
    <s v=""/>
    <s v=""/>
    <s v="['1&amp;rsquor;|0:0|Francis Lee']"/>
    <s v="['68&amp;rsquor;|1:0|Roberto Miranda|for Tostão']"/>
    <s v="['63&amp;rsquor;|1:0|Colin Bell|for Bobby Charlton', '63&amp;rsquor;|1:0|Jeff Astle|for Francis Lee']"/>
  </r>
  <r>
    <s v="West Germany"/>
    <s v="Bulgaria"/>
    <n v="5"/>
    <m/>
    <m/>
    <n v="2"/>
    <m/>
    <m/>
    <s v="Helmut Schoen"/>
    <s v="Uwe Seeler"/>
    <s v="Stefan Bozhkov"/>
    <s v="Boris Gaganelov"/>
    <n v="12710"/>
    <s v="Nou Camp - Estadio Leï¿½n, Leon"/>
    <s v="Jose Maria Ortiz De Mendibil (Referee) · Guillermo Velasquez (AR1) · Antonio Saldanha Ribeiro (AR2)"/>
    <x v="5"/>
    <x v="297"/>
    <s v="5–2"/>
    <s v="Jose Maria Ortiz De Mendibil"/>
    <s v=""/>
    <x v="9"/>
    <x v="13"/>
    <s v="Reinhard Libuda · 20|Gerd Müller · 27|Uwe Seeler · 70|Gerd Müller · 88"/>
    <s v="Asparuh Nikodimov · 12|Todor Kolev · 89"/>
    <s v="['20&amp;rsquor;|1:1|Reinhard Libuda', '27&amp;rsquor;|2:1|Gerd Müller', '70&amp;rsquor;|4:1|Uwe Seeler', '88&amp;rsquor;|5:1|Gerd Müller']"/>
    <s v="['12&amp;rsquor;|0:1|Asparuh Nikodimov', '89&amp;rsquor;|5:2|Todor Kolev']"/>
    <s v=""/>
    <s v=""/>
    <s v="Gerd Müller (P) · 52"/>
    <s v=""/>
    <s v=""/>
    <s v=""/>
    <s v=""/>
    <s v=""/>
    <s v=""/>
    <s v=""/>
    <s v=""/>
    <s v=""/>
    <s v=""/>
    <s v=""/>
    <s v=""/>
    <s v=""/>
    <s v="['58&amp;rsquor;|3:1|Jürgen Grabowski', '72&amp;rsquor;|4:1|Wolfgang Weber|for Franz Beckenbauer']"/>
    <s v="['46&amp;rsquor;|2:1|Vasil Mitkov|for Dinko Dermendzhiev', '58&amp;rsquor;|3:1|Aleksandar Shalamanov|for Boris Gaganelov']"/>
  </r>
  <r>
    <s v="Sweden"/>
    <s v="Israel"/>
    <n v="1"/>
    <m/>
    <m/>
    <n v="1"/>
    <m/>
    <m/>
    <s v="Orvar Bergmark"/>
    <s v="Tommy Svensson"/>
    <s v="Emmanuel Sheffer"/>
    <s v="Mordechai Spiegler"/>
    <n v="9624"/>
    <s v="Luis Dosal, Toluca"/>
    <s v="Seyoum Tarekegn (Referee) · Andrei Radulescu (AR1) · Drago Horvat (AR2)"/>
    <x v="5"/>
    <x v="297"/>
    <s v="1–1"/>
    <s v="Seyoum Tarekegn"/>
    <s v=""/>
    <x v="9"/>
    <x v="13"/>
    <s v="Tom Turesson · 53"/>
    <s v="Mordechai Spiegler · 56"/>
    <s v="['53&amp;rsquor;|1:0|Tom Turesson']"/>
    <s v="['56&amp;rsquor;|1:1|Mordechai Spiegler']"/>
    <s v=""/>
    <s v=""/>
    <s v=""/>
    <s v=""/>
    <s v=""/>
    <s v=""/>
    <s v=""/>
    <s v=""/>
    <s v=""/>
    <s v=""/>
    <s v=""/>
    <s v=""/>
    <s v=""/>
    <s v=""/>
    <s v="['72&amp;rsquor;|1:1|Örjan Persson']"/>
    <s v="['38&amp;rsquor;|0:0|Shraga Bar', '89&amp;rsquor;|1:1|David Primo']"/>
    <s v="['76&amp;rsquor;|1:1|Sten Pålsson|for Örjan Persson']"/>
    <s v="['51&amp;rsquor;|0:0|Roni Shuruk|for Yochanan Vollach']"/>
  </r>
  <r>
    <s v="Romania"/>
    <s v="Czechoslovakia"/>
    <n v="2"/>
    <m/>
    <m/>
    <n v="1"/>
    <m/>
    <m/>
    <s v="Angelo Niculescu"/>
    <s v="Mircea Lucescu"/>
    <s v="Jozef Marko"/>
    <s v="Alexander Horváth"/>
    <n v="56818"/>
    <s v="Jalisco, Guadalajara"/>
    <s v="Diego De Leo (Referee) · Gyula Emsberger (AR1) · Vital Loraux (AR2)"/>
    <x v="5"/>
    <x v="298"/>
    <s v="2–1"/>
    <s v="Diego De Leo"/>
    <s v=""/>
    <x v="9"/>
    <x v="13"/>
    <s v="Alexandru Neagu · 52"/>
    <s v="Ladislav Petráš · 5"/>
    <s v="['52&amp;rsquor;|1:1|Alexandru Neagu']"/>
    <s v="['5&amp;rsquor;|0:1|Ladislav Petráš']"/>
    <s v=""/>
    <s v=""/>
    <s v="Florea Dumitrache (P) · 75"/>
    <s v=""/>
    <s v=""/>
    <s v=""/>
    <s v=""/>
    <s v=""/>
    <s v=""/>
    <s v=""/>
    <s v=""/>
    <s v=""/>
    <s v=""/>
    <s v=""/>
    <s v="['1&amp;rsquor;|0:0|Radu Nunweiller']"/>
    <s v="['1&amp;rsquor;|0:0|Andrej Kvašňák']"/>
    <s v="['69&amp;rsquor;|1:1|Gheorghe Tătaru|for Mircea Lucescu', '81&amp;rsquor;|2:1|Vasile Gergely|for Ion Dumitru']"/>
    <s v="['46&amp;rsquor;|0:1|Jozef Adamec|for Josef Jurkanin', '69&amp;rsquor;|1:1|František Veselý']"/>
  </r>
  <r>
    <s v="Uruguay"/>
    <s v="Italy"/>
    <n v="0"/>
    <m/>
    <m/>
    <n v="0"/>
    <m/>
    <m/>
    <s v="Juan Hohberg"/>
    <s v="Luis Ubiña"/>
    <s v="Ferruccio Valcareggi"/>
    <s v="Giacinto Facchetti"/>
    <n v="29968"/>
    <s v="Cuauhtemoc, Puebla"/>
    <s v="Rudolf Gloeckner (Referee) · Kurt Tschenscher (AR1) · Drago Horvat (AR2)"/>
    <x v="5"/>
    <x v="298"/>
    <s v="0–0"/>
    <s v="Rudolf Gloeckner"/>
    <s v=""/>
    <x v="9"/>
    <x v="13"/>
    <s v=""/>
    <s v=""/>
    <s v=""/>
    <s v=""/>
    <s v=""/>
    <s v=""/>
    <s v=""/>
    <s v=""/>
    <s v=""/>
    <s v=""/>
    <s v=""/>
    <s v=""/>
    <s v=""/>
    <s v=""/>
    <s v=""/>
    <s v=""/>
    <s v=""/>
    <s v=""/>
    <s v="['1&amp;rsquor;|0:0|Julio César Cortés']"/>
    <s v=""/>
    <s v="['70&amp;rsquor;|0:0|Oscar Zubía|for Rúben Bareño']"/>
    <s v="['46&amp;rsquor;|0:0|Giuseppe Furino|for Angelo Domenghini']"/>
  </r>
  <r>
    <s v="Soviet Union"/>
    <s v="Belgium"/>
    <n v="4"/>
    <m/>
    <m/>
    <n v="1"/>
    <m/>
    <m/>
    <s v="Gavril Kachalin"/>
    <s v="Albert Shesternyov"/>
    <s v="Raymond Goethals"/>
    <s v="Paul Van Himst"/>
    <n v="95261"/>
    <s v="Estadio Azteca, Mexico City"/>
    <s v="Ruedi Scheurer (Referee) · Henry Landauer (AR1) · Bob Davidson (AR2)"/>
    <x v="5"/>
    <x v="298"/>
    <s v="4–1"/>
    <s v="Ruedi Scheurer"/>
    <s v=""/>
    <x v="9"/>
    <x v="13"/>
    <s v="Anatoliy Byshovets · 14|Kakhi Asatiani · 57|Anatoliy Byshovets · 63|Vitaliy Khmelnytskyi · 76"/>
    <s v="Raoul Lambert · 86"/>
    <s v="['14&amp;rsquor;|1:0|Anatoliy Byshovets', '57&amp;rsquor;|2:0|Kakhi Asatiani', '63&amp;rsquor;|3:0|Anatoliy Byshovets', '76&amp;rsquor;|4:0|Vitaliy Khmelnytskyi']"/>
    <s v="['86&amp;rsquor;|4:1|Raoul Lambert']"/>
    <s v=""/>
    <s v=""/>
    <s v=""/>
    <s v=""/>
    <s v=""/>
    <s v=""/>
    <s v=""/>
    <s v=""/>
    <s v=""/>
    <s v=""/>
    <s v=""/>
    <s v=""/>
    <s v=""/>
    <s v=""/>
    <s v=""/>
    <s v=""/>
    <s v="['34&amp;rsquor;|1:0|Evgeny Lovchev|for Volodymyr Kaplychnyi', '73&amp;rsquor;|3:0|Nikolay Kiselyov|for Revaz Dzodzuashvili']"/>
    <s v=""/>
  </r>
  <r>
    <s v="Peru"/>
    <s v="Morocco"/>
    <n v="3"/>
    <m/>
    <m/>
    <n v="0"/>
    <m/>
    <m/>
    <s v="Didi"/>
    <s v="Héctor Chumpitaz"/>
    <s v="Blagoje Vidinic"/>
    <s v="Driss Bamous"/>
    <n v="13537"/>
    <s v="Nou Camp - Estadio Leï¿½n, Leon"/>
    <s v="Tofik Bakhramov (Referee) · Yoshiyuki Maruyama (AR1) · Antonio Sbardella (AR2)"/>
    <x v="5"/>
    <x v="298"/>
    <s v="3–0"/>
    <s v="Tofik Bakhramov"/>
    <s v=""/>
    <x v="9"/>
    <x v="13"/>
    <s v="Teófilo Cubillas · 65|Roberto Challe · 67|Teófilo Cubillas · 75"/>
    <s v=""/>
    <s v="['65&amp;rsquor;|1:0|Teófilo Cubillas', '67&amp;rsquor;|2:0|Roberto Challe', '75&amp;rsquor;|3:0|Teófilo Cubillas']"/>
    <s v=""/>
    <s v=""/>
    <s v=""/>
    <s v=""/>
    <s v=""/>
    <s v=""/>
    <s v=""/>
    <s v=""/>
    <s v=""/>
    <s v=""/>
    <s v=""/>
    <s v=""/>
    <s v=""/>
    <s v=""/>
    <s v=""/>
    <s v=""/>
    <s v=""/>
    <s v="['56&amp;rsquor;|0:0|Luis Cruzado|for Ramón Mifflin', '76&amp;rsquor;|3:0|Oswaldo Ramírez|for Alberto Gallardo']"/>
    <s v="['66&amp;rsquor;|1:0|Jalili Fadili|for Boujemaa Benkhrif', '81&amp;rsquor;|3:0|Ahmed Alaoui|for Said Ghandi']"/>
  </r>
  <r>
    <s v="Belgium"/>
    <s v="El Salvador"/>
    <n v="3"/>
    <m/>
    <m/>
    <n v="0"/>
    <m/>
    <m/>
    <s v="Raymond Goethals"/>
    <s v="Paul Van Himst"/>
    <s v="Hernan Carrasco"/>
    <s v="Salvador Mariona"/>
    <n v="92205"/>
    <s v="Estadio Azteca, Mexico City"/>
    <s v="Andrei Radulescu (Referee) · Rudolf Gloeckner (AR1) · Kurt Tschenscher (AR2)"/>
    <x v="5"/>
    <x v="299"/>
    <s v="3–0"/>
    <s v="Andrei Radulescu"/>
    <s v=""/>
    <x v="9"/>
    <x v="13"/>
    <s v="Wilfried Van Moer · 12|Wilfried Van Moer · 54"/>
    <s v=""/>
    <s v="['12&amp;rsquor;|1:0|Wilfried Van Moer', '54&amp;rsquor;|2:0|Wilfried Van Moer']"/>
    <s v=""/>
    <s v=""/>
    <s v=""/>
    <s v="Raoul Lambert (P) · 79"/>
    <s v=""/>
    <s v=""/>
    <s v=""/>
    <s v=""/>
    <s v=""/>
    <s v=""/>
    <s v=""/>
    <s v=""/>
    <s v=""/>
    <s v=""/>
    <s v=""/>
    <s v=""/>
    <s v=""/>
    <s v="['79&amp;rsquor;|3:0|Odilon Polleunis|for Léon Semmeling']"/>
    <s v="['67&amp;rsquor;|2:0|Santiago Cortés|for Mauricio Manzano', '80&amp;rsquor;|3:0|Genaro Sermeño|for Mauricio Alonso Rodríguez']"/>
  </r>
  <r>
    <s v="Brazil"/>
    <s v="Czechoslovakia"/>
    <n v="4"/>
    <m/>
    <m/>
    <n v="1"/>
    <m/>
    <m/>
    <s v="Mario Zagallo"/>
    <s v="Carlos Alberto Torres"/>
    <s v="Jozef Marko"/>
    <s v="Alexander Horváth"/>
    <n v="52897"/>
    <s v="Jalisco, Guadalajara"/>
    <s v="Ramon Barreto Ruiz (Referee) · Abraham Klein (AR1) · Arturo Yamasaki Maldonado (AR2)"/>
    <x v="5"/>
    <x v="299"/>
    <s v="4–1"/>
    <s v="Ramon Barreto Ruiz"/>
    <s v=""/>
    <x v="9"/>
    <x v="13"/>
    <s v="Rivellino · 24|Pelé · 59|Jairzinho · 61|Jairzinho · 83"/>
    <s v="Ladislav Petráš · 11"/>
    <s v="['24&amp;rsquor;|1:1|Rivellino', '59&amp;rsquor;|2:1|Pelé', '61&amp;rsquor;|3:1|Jairzinho', '83&amp;rsquor;|4:1|Jairzinho']"/>
    <s v="['11&amp;rsquor;|0:1|Ladislav Petráš']"/>
    <s v=""/>
    <s v=""/>
    <s v=""/>
    <s v=""/>
    <s v=""/>
    <s v=""/>
    <s v=""/>
    <s v=""/>
    <s v=""/>
    <s v=""/>
    <s v=""/>
    <s v=""/>
    <s v=""/>
    <s v=""/>
    <s v="['1&amp;rsquor;|0:0|Gérson', '1&amp;rsquor;|0:0|Tostão']"/>
    <s v="['1&amp;rsquor;|0:0|Alexander Horváth']"/>
    <s v="['62&amp;rsquor;|3:1|Paulo Cézar Caju|for Gérson']"/>
    <s v="['46&amp;rsquor;|1:1|Andrej Kvašňák|for Ivan Hrdlička', '75&amp;rsquor;|3:1|Bohumil Veselý|for František Veselý']"/>
  </r>
  <r>
    <s v="Italy"/>
    <s v="Sweden"/>
    <n v="1"/>
    <m/>
    <m/>
    <n v="0"/>
    <m/>
    <m/>
    <s v="Ferruccio Valcareggi"/>
    <s v="Giacinto Facchetti"/>
    <s v="Orvar Bergmark"/>
    <s v="Björn Nordqvist"/>
    <n v="13433"/>
    <s v="Luis Dosal, Toluca"/>
    <s v="John Taylor (Referee) · Ruedi Scheurer (AR1) · Aly Hussein Kandil (AR2)"/>
    <x v="5"/>
    <x v="299"/>
    <s v="1–0"/>
    <s v="John Taylor"/>
    <s v=""/>
    <x v="9"/>
    <x v="13"/>
    <s v="Angelo Domenghini · 10"/>
    <s v=""/>
    <s v="['10&amp;rsquor;|1:0|Angelo Domenghini']"/>
    <s v=""/>
    <s v=""/>
    <s v=""/>
    <s v=""/>
    <s v=""/>
    <s v=""/>
    <s v=""/>
    <s v=""/>
    <s v=""/>
    <s v=""/>
    <s v=""/>
    <s v=""/>
    <s v=""/>
    <s v=""/>
    <s v=""/>
    <s v=""/>
    <s v="['1&amp;rsquor;|0:0|Claes Cronqvist']"/>
    <s v="['37&amp;rsquor;|1:0|Roberto Rosato|for Comunardo Niccolai']"/>
    <s v="['56&amp;rsquor;|1:0|Inge Ejderstedt|for Leif Eriksson', '80&amp;rsquor;|1:0|Göran Nicklasson|for Bo Larsson']"/>
  </r>
  <r>
    <s v="West Germany"/>
    <s v="Morocco"/>
    <n v="2"/>
    <m/>
    <m/>
    <n v="1"/>
    <m/>
    <m/>
    <s v="Helmut Schoen"/>
    <s v="Uwe Seeler"/>
    <s v="Blagoje Vidinic"/>
    <s v="Driss Bamous"/>
    <n v="12942"/>
    <s v="Nou Camp - Estadio Leï¿½n, Leon"/>
    <s v="Laurens Van Ravens (Referee) · Jose Maria Ortiz De Mendibil (AR1) · Guillermo Velasquez (AR2)"/>
    <x v="5"/>
    <x v="299"/>
    <s v="2–1"/>
    <s v="Laurens Van Ravens"/>
    <s v=""/>
    <x v="9"/>
    <x v="13"/>
    <s v="Uwe Seeler · 56|Gerd Müller · 80"/>
    <s v="Houmane Jarir · 21"/>
    <s v="['56&amp;rsquor;|1:1|Uwe Seeler', '80&amp;rsquor;|2:1|Gerd Müller']"/>
    <s v="['21&amp;rsquor;|0:1|Houmane Jarir']"/>
    <s v=""/>
    <s v=""/>
    <s v=""/>
    <s v=""/>
    <s v=""/>
    <s v=""/>
    <s v=""/>
    <s v=""/>
    <s v=""/>
    <s v=""/>
    <s v=""/>
    <s v=""/>
    <s v=""/>
    <s v=""/>
    <s v=""/>
    <s v=""/>
    <s v="['45&amp;rsquor;|0:1|Jürgen Grabowski|for Helmut Haller', '77&amp;rsquor;|1:1|Hannes Löhr']"/>
    <s v="['56&amp;rsquor;|1:1|Abdelkader El Khiati|for Maouhoub Ghazouani', '72&amp;rsquor;|1:1|Ahmed Faras|for Driss Bamous']"/>
  </r>
  <r>
    <s v="England"/>
    <s v="Romania"/>
    <n v="1"/>
    <m/>
    <m/>
    <n v="0"/>
    <m/>
    <m/>
    <s v="Alf Ramsey"/>
    <s v="Bobby Moore"/>
    <s v="Angelo Niculescu"/>
    <s v="Mircea Lucescu"/>
    <n v="50560"/>
    <s v="Jalisco, Guadalajara"/>
    <s v="Vital Loraux (Referee) · Roger Machin (AR1) · Diego De Leo (AR2)"/>
    <x v="5"/>
    <x v="300"/>
    <s v="1–0"/>
    <s v="Vital Loraux"/>
    <s v=""/>
    <x v="9"/>
    <x v="13"/>
    <s v="Geoff Hurst · 65"/>
    <s v=""/>
    <s v="['65&amp;rsquor;|1:0|Geoff Hurst']"/>
    <s v=""/>
    <s v=""/>
    <s v=""/>
    <s v=""/>
    <s v=""/>
    <s v=""/>
    <s v=""/>
    <s v=""/>
    <s v=""/>
    <s v=""/>
    <s v=""/>
    <s v=""/>
    <s v=""/>
    <s v=""/>
    <s v=""/>
    <s v=""/>
    <s v=""/>
    <s v="['51&amp;rsquor;|0:0|Tommy Wright|for Keith Newton', '75&amp;rsquor;|1:0|Peter Osgood|for Francis Lee']"/>
    <s v="['73&amp;rsquor;|1:0|Alexandru Neagu|for Gheorghe Tătaru']"/>
  </r>
  <r>
    <s v="Peru"/>
    <s v="Bulgaria"/>
    <n v="3"/>
    <m/>
    <m/>
    <n v="2"/>
    <m/>
    <m/>
    <s v="Didi"/>
    <s v="Héctor Chumpitaz"/>
    <s v="Stefan Bozhkov"/>
    <s v="Ivan Dimitrov"/>
    <n v="13765"/>
    <s v="Nou Camp - Estadio Leï¿½n, Leon"/>
    <s v="Antonio Sbardella (Referee) · Abel Aguilar Elizalde (AR1) · Yoshiyuki Maruyama (AR2)"/>
    <x v="5"/>
    <x v="300"/>
    <s v="3–2"/>
    <s v="Antonio Sbardella"/>
    <s v=""/>
    <x v="9"/>
    <x v="13"/>
    <s v="Alberto Gallardo · 50|Héctor Chumpitaz · 55|Teófilo Cubillas · 73"/>
    <s v="Dinko Dermendzhiev · 13|Hristo Bonev · 49"/>
    <s v="['50&amp;rsquor;|1:2|Alberto Gallardo', '55&amp;rsquor;|2:2|Héctor Chumpitaz', '73&amp;rsquor;|3:2|Teófilo Cubillas']"/>
    <s v="['13&amp;rsquor;|0:1|Dinko Dermendzhiev', '49&amp;rsquor;|0:2|Hristo Bonev']"/>
    <s v=""/>
    <s v=""/>
    <s v=""/>
    <s v=""/>
    <s v=""/>
    <s v=""/>
    <s v=""/>
    <s v=""/>
    <s v=""/>
    <s v=""/>
    <s v=""/>
    <s v=""/>
    <s v=""/>
    <s v=""/>
    <s v=""/>
    <s v=""/>
    <s v="['29&amp;rsquor;|0:1|Javier González|for Eloy Campos', '51&amp;rsquor;|1:2|Hugo Sotil|for Julio Baylón']"/>
    <s v="['59&amp;rsquor;|2:2|Dimitar Marashliev', '73&amp;rsquor;|3:2|Georgi Asparuhov|for Hristo Bonev']"/>
  </r>
  <r>
    <s v="Uruguay"/>
    <s v="Israel"/>
    <n v="2"/>
    <m/>
    <m/>
    <n v="0"/>
    <m/>
    <m/>
    <s v="Juan Hohberg"/>
    <s v="Pedro Rocha"/>
    <s v="Emmanuel Sheffer"/>
    <s v="Mordechai Spiegler"/>
    <n v="20654"/>
    <s v="Cuauhtemoc, Puebla"/>
    <s v="Bob Davidson (Referee) · Ruedi Scheurer (AR1) · Seyoum Tarekegn (AR2)"/>
    <x v="5"/>
    <x v="300"/>
    <s v="2–0"/>
    <s v="Bob Davidson"/>
    <s v=""/>
    <x v="9"/>
    <x v="13"/>
    <s v="Ildo Maneiro · 23|Juan Mujica · 50"/>
    <s v=""/>
    <s v="['23&amp;rsquor;|1:0|Ildo Maneiro', '50&amp;rsquor;|2:0|Juan Mujica']"/>
    <s v=""/>
    <s v=""/>
    <s v=""/>
    <s v=""/>
    <s v=""/>
    <s v=""/>
    <s v=""/>
    <s v=""/>
    <s v=""/>
    <s v=""/>
    <s v=""/>
    <s v=""/>
    <s v=""/>
    <s v=""/>
    <s v=""/>
    <s v=""/>
    <s v=""/>
    <s v="['12&amp;rsquor;|0:0|Julio César Cortés|for Pedro Rocha']"/>
    <s v="['46&amp;rsquor;|1:0|Shraga Bar|for Rachamim Talbi', '57&amp;rsquor;|2:0|Yochanan Vollach|for Dani Shmulevich-Rom']"/>
  </r>
  <r>
    <s v="Mexico"/>
    <s v="Soviet Union"/>
    <n v="0"/>
    <m/>
    <m/>
    <n v="0"/>
    <m/>
    <m/>
    <s v="Raul Cardenas"/>
    <s v="Gustavo Peña"/>
    <s v="Gavril Kachalin"/>
    <s v="Albert Shesternyov"/>
    <n v="107160"/>
    <s v="Estadio Azteca, Mexico City"/>
    <s v="Kurt Tschenscher (Referee) · Keith Dunstan (AR1) · John Taylor (AR2)"/>
    <x v="5"/>
    <x v="301"/>
    <s v="0–0"/>
    <s v="Kurt Tschenscher"/>
    <s v=""/>
    <x v="9"/>
    <x v="13"/>
    <s v=""/>
    <s v=""/>
    <s v=""/>
    <s v=""/>
    <s v=""/>
    <s v=""/>
    <s v=""/>
    <s v=""/>
    <s v=""/>
    <s v=""/>
    <s v=""/>
    <s v=""/>
    <s v=""/>
    <s v=""/>
    <s v=""/>
    <s v=""/>
    <s v=""/>
    <s v=""/>
    <s v="['1&amp;rsquor;|0:0|Gustavo Peña']"/>
    <s v="['1&amp;rsquor;|0:0|Givi Nodia', '1&amp;rsquor;|0:0|Gennady Logofet', '30&amp;rsquor;|0:0|Kakhi Asatiani', '34&amp;rsquor;|0:0|Evgeny Lovchev']"/>
    <s v="['67&amp;rsquor;|0:0|Antonio Munguía|for Mario Velarde']"/>
    <s v="['46&amp;rsquor;|0:0|Anatoliy Puzach|for Viktor Serebryanikov', '66&amp;rsquor;|0:0|Vitaliy Khmelnytskyi|for Givi Nodia']"/>
  </r>
  <r>
    <s v="England"/>
    <s v="West Germany"/>
    <n v="4"/>
    <m/>
    <m/>
    <n v="2"/>
    <m/>
    <m/>
    <s v="Alf Ramsey"/>
    <s v="Bobby Moore"/>
    <s v="Helmut Schoen"/>
    <s v="Uwe Seeler"/>
    <n v="96924"/>
    <s v="Wembley Stadium, London"/>
    <s v="Gottfried Dienst (Referee) · Tofik Bakhramov (AR1) · Karol Galba (AR2)"/>
    <x v="0"/>
    <x v="302"/>
    <s v="4–2"/>
    <s v="Gottfried Dienst"/>
    <s v="Required Extra Time"/>
    <x v="12"/>
    <x v="14"/>
    <s v="Geoff Hurst · 18|Martin Peters · 78|Geoff Hurst · 101|Geoff Hurst · 120"/>
    <s v="Helmut Haller · 12|Wolfgang Weber · 89"/>
    <s v="['18&amp;rsquor;|1:1|Geoff Hurst', '78&amp;rsquor;|2:1|Martin Peters', '101&amp;rsquor;|3:2|Geoff Hurst', '120&amp;rsquor;|4:2|Geoff Hurst']"/>
    <s v="['12&amp;rsquor;|0:1|Helmut Haller', '89&amp;rsquor;|2:2|Wolfgang Weber']"/>
    <s v=""/>
    <s v=""/>
    <s v=""/>
    <s v=""/>
    <s v=""/>
    <s v=""/>
    <s v=""/>
    <s v=""/>
    <s v=""/>
    <s v=""/>
    <s v=""/>
    <s v=""/>
    <s v=""/>
    <s v=""/>
    <s v="['1&amp;rsquor;|0:0|Martin Peters']"/>
    <s v=""/>
    <s v=""/>
    <s v=""/>
  </r>
  <r>
    <s v="Portugal"/>
    <s v="Soviet Union"/>
    <n v="2"/>
    <m/>
    <m/>
    <n v="1"/>
    <m/>
    <m/>
    <s v="Otto Gloria"/>
    <s v="Mário Coluna"/>
    <s v="Nikolai Morozov"/>
    <s v="Lev Yashin"/>
    <n v="87696"/>
    <s v="Wembley Stadium, London"/>
    <s v="Kenneth Dagnall (Referee) · Kevin Howley (AR1) · Aly Hussein Kandil (AR2)"/>
    <x v="1"/>
    <x v="303"/>
    <s v="2–1"/>
    <s v="Kenneth Dagnall"/>
    <s v=""/>
    <x v="12"/>
    <x v="14"/>
    <s v="José Augusto Torres · 89"/>
    <s v="Eduard Malofeyev · 43"/>
    <s v="['89&amp;rsquor;|2:1|José Augusto Torres']"/>
    <s v="['43&amp;rsquor;|1:1|Eduard Malofeyev']"/>
    <s v=""/>
    <s v=""/>
    <s v="Eusébio (P) · 12"/>
    <s v=""/>
    <s v=""/>
    <s v=""/>
    <s v=""/>
    <s v=""/>
    <s v=""/>
    <s v=""/>
    <s v=""/>
    <s v=""/>
    <s v=""/>
    <s v=""/>
    <s v=""/>
    <s v=""/>
    <s v=""/>
    <s v=""/>
  </r>
  <r>
    <s v="England"/>
    <s v="Portugal"/>
    <n v="2"/>
    <m/>
    <m/>
    <n v="1"/>
    <m/>
    <m/>
    <s v="Alf Ramsey"/>
    <s v="Bobby Moore"/>
    <s v="Otto Gloria"/>
    <s v="Mário Coluna"/>
    <n v="94493"/>
    <s v="Wembley Stadium, London"/>
    <s v="Pierre Schwinte (Referee) · Arturo Yamasaki Maldonado (AR1) · Konstantin Zecevic (AR2)"/>
    <x v="2"/>
    <x v="304"/>
    <s v="2–1"/>
    <s v="Pierre Schwinte"/>
    <s v=""/>
    <x v="12"/>
    <x v="14"/>
    <s v="Bobby Charlton · 30|Bobby Charlton · 80"/>
    <s v=""/>
    <s v="['30&amp;rsquor;|1:0|Bobby Charlton', '80&amp;rsquor;|2:0|Bobby Charlton']"/>
    <s v=""/>
    <s v=""/>
    <s v=""/>
    <s v=""/>
    <s v="Eusébio (P) · 82"/>
    <s v=""/>
    <s v=""/>
    <s v=""/>
    <s v=""/>
    <s v=""/>
    <s v=""/>
    <s v=""/>
    <s v=""/>
    <s v=""/>
    <s v=""/>
    <s v=""/>
    <s v=""/>
    <s v=""/>
    <s v=""/>
  </r>
  <r>
    <s v="West Germany"/>
    <s v="Soviet Union"/>
    <n v="2"/>
    <m/>
    <m/>
    <n v="1"/>
    <m/>
    <m/>
    <s v="Helmut Schoen"/>
    <s v="Uwe Seeler"/>
    <s v="Nikolai Morozov"/>
    <s v="Albert Shesternyov"/>
    <n v="38273"/>
    <s v="Goodison Park, Liverpool"/>
    <s v="Concetto Lo Bello (Referee) · Jose Maria Codesal (AR1) · Juan Gardeazabal (AR2)"/>
    <x v="2"/>
    <x v="305"/>
    <s v="2–1"/>
    <s v="Concetto Lo Bello"/>
    <s v=""/>
    <x v="12"/>
    <x v="14"/>
    <s v="Helmut Haller · 43|Franz Beckenbauer · 67"/>
    <s v="Valeriy Porkujan · 88"/>
    <s v="['43&amp;rsquor;|1:0|Helmut Haller', '67&amp;rsquor;|2:0|Franz Beckenbauer']"/>
    <s v="['88&amp;rsquor;|2:1|Valeriy Porkujan']"/>
    <s v=""/>
    <s v=""/>
    <s v=""/>
    <s v=""/>
    <s v=""/>
    <s v=""/>
    <s v=""/>
    <s v=""/>
    <s v=""/>
    <s v=""/>
    <s v=""/>
    <s v="Igor Chislenko · 44"/>
    <s v=""/>
    <s v=""/>
    <s v="['1&amp;rsquor;|0:0|Franz Beckenbauer']"/>
    <s v="['1&amp;rsquor;|0:0|Valery Voronin']"/>
    <s v=""/>
    <s v=""/>
  </r>
  <r>
    <s v="Portugal"/>
    <s v="Korea DPR"/>
    <n v="5"/>
    <m/>
    <m/>
    <n v="3"/>
    <m/>
    <m/>
    <s v="Otto Gloria"/>
    <s v="Mário Coluna"/>
    <s v="Rye Hyun Myung"/>
    <s v="Pak Seung-zin"/>
    <n v="40248"/>
    <s v="Goodison Park, Liverpool"/>
    <s v="Menachem Ashkenazi (Referee) · Karol Galba (AR1) · Pierre Schwinte (AR2)"/>
    <x v="3"/>
    <x v="306"/>
    <s v="5–3"/>
    <s v="Menachem Ashkenazi"/>
    <s v=""/>
    <x v="12"/>
    <x v="14"/>
    <s v="Eusébio · 27|Eusébio · 56|José Augusto de Almeida · 80"/>
    <s v="Pak Seung-zin · 1|Li Dong-woon · 22|Yang Seung-kook · 25"/>
    <s v="['27&amp;rsquor;|1:3|Eusébio', '56&amp;rsquor;|3:3|Eusébio', '80&amp;rsquor;|5:3|José Augusto de Almeida']"/>
    <s v="['1&amp;rsquor;|0:1|Pak Seung-zin', '22&amp;rsquor;|0:2|Li Dong-woon', '25&amp;rsquor;|0:3|Yang Seung-kook']"/>
    <s v=""/>
    <s v=""/>
    <s v="Eusébio (P) · 43|Eusébio (P) · 59"/>
    <s v=""/>
    <s v=""/>
    <s v=""/>
    <s v=""/>
    <s v=""/>
    <s v=""/>
    <s v=""/>
    <s v=""/>
    <s v=""/>
    <s v=""/>
    <s v=""/>
    <s v="['1&amp;rsquor;|0:1|Mário Coluna']"/>
    <s v=""/>
    <s v=""/>
    <s v=""/>
  </r>
  <r>
    <s v="England"/>
    <s v="Argentina"/>
    <n v="1"/>
    <m/>
    <m/>
    <n v="0"/>
    <m/>
    <m/>
    <s v="Alf Ramsey"/>
    <s v="Bobby Moore"/>
    <s v="Juan Carlos Lorenzo"/>
    <s v="Antonio Rattín"/>
    <n v="90584"/>
    <s v="Wembley Stadium, London"/>
    <s v="Rudolf Kreitlein (Referee) · Gottfried Dienst (AR1) · Istvan Zsolt (AR2)"/>
    <x v="3"/>
    <x v="306"/>
    <s v="1–0"/>
    <s v="Rudolf Kreitlein"/>
    <s v=""/>
    <x v="12"/>
    <x v="14"/>
    <s v="Geoff Hurst · 78"/>
    <s v=""/>
    <s v="['78&amp;rsquor;|1:0|Geoff Hurst']"/>
    <s v=""/>
    <s v=""/>
    <s v=""/>
    <s v=""/>
    <s v=""/>
    <s v=""/>
    <s v=""/>
    <s v=""/>
    <s v=""/>
    <s v=""/>
    <s v=""/>
    <s v=""/>
    <s v="Antonio Rattín · 35"/>
    <s v=""/>
    <s v=""/>
    <s v=""/>
    <s v="['1&amp;rsquor;|0:0|Antonio Rattín', '1&amp;rsquor;|0:0|Jorge Solari', '1&amp;rsquor;|0:0|Luis Artime']"/>
    <s v=""/>
    <s v=""/>
  </r>
  <r>
    <s v="Soviet Union"/>
    <s v="Hungary"/>
    <n v="2"/>
    <m/>
    <m/>
    <n v="1"/>
    <m/>
    <m/>
    <s v="Nikolai Morozov"/>
    <s v="Albert Shesternyov"/>
    <s v="Lajos Baroti"/>
    <s v="Ferenc Sipos"/>
    <n v="26844"/>
    <s v="Roker Park Ground, Sunderland"/>
    <s v="Juan Gardeazabal (Referee) · Jose Maria Codesal (AR1) · Joaquim Fernandes Campos (AR2)"/>
    <x v="3"/>
    <x v="306"/>
    <s v="2–1"/>
    <s v="Juan Gardeazabal"/>
    <s v=""/>
    <x v="12"/>
    <x v="14"/>
    <s v="Igor Chislenko · 5|Valeriy Porkujan · 46"/>
    <s v="Ferenc Bene · 57"/>
    <s v="['5&amp;rsquor;|1:0|Igor Chislenko', '46&amp;rsquor;|2:0|Valeriy Porkujan']"/>
    <s v="['57&amp;rsquor;|2:1|Ferenc Bene']"/>
    <s v=""/>
    <s v=""/>
    <s v=""/>
    <s v=""/>
    <s v=""/>
    <s v=""/>
    <s v=""/>
    <s v=""/>
    <s v=""/>
    <s v=""/>
    <s v=""/>
    <s v=""/>
    <s v=""/>
    <s v=""/>
    <s v=""/>
    <s v=""/>
    <s v=""/>
    <s v=""/>
  </r>
  <r>
    <s v="West Germany"/>
    <s v="Uruguay"/>
    <n v="4"/>
    <m/>
    <m/>
    <n v="0"/>
    <m/>
    <m/>
    <s v="Helmut Schoen"/>
    <s v="Uwe Seeler"/>
    <s v="Ondino Viera"/>
    <s v="Horacio Troche"/>
    <n v="40007"/>
    <s v="Hillsborough, Sheffield"/>
    <s v="Jim Finney (Referee) · Aly Hussein Kandil (AR1) · Hugh Phillips (AR2)"/>
    <x v="3"/>
    <x v="306"/>
    <s v="4–0"/>
    <s v="Jim Finney"/>
    <s v=""/>
    <x v="12"/>
    <x v="14"/>
    <s v="Helmut Haller · 11|Franz Beckenbauer · 70|Uwe Seeler · 75|Helmut Haller · 83"/>
    <s v=""/>
    <s v="['11&amp;rsquor;|1:0|Helmut Haller', '70&amp;rsquor;|2:0|Franz Beckenbauer', '75&amp;rsquor;|3:0|Uwe Seeler', '83&amp;rsquor;|4:0|Helmut Haller']"/>
    <s v=""/>
    <s v=""/>
    <s v=""/>
    <s v=""/>
    <s v=""/>
    <s v=""/>
    <s v=""/>
    <s v=""/>
    <s v=""/>
    <s v=""/>
    <s v=""/>
    <s v=""/>
    <s v="Horacio Troche · 49|Héctor Silva · 54"/>
    <s v=""/>
    <s v=""/>
    <s v="['1&amp;rsquor;|0:0|Wolfgang Weber']"/>
    <s v="['1&amp;rsquor;|0:0|Héctor Silva']"/>
    <s v=""/>
    <s v=""/>
  </r>
  <r>
    <s v="England"/>
    <s v="France"/>
    <n v="2"/>
    <m/>
    <m/>
    <n v="0"/>
    <m/>
    <m/>
    <s v="Alf Ramsey"/>
    <s v="Bobby Moore"/>
    <s v="Henri Guerin"/>
    <s v="Marcel Artelesa"/>
    <n v="98270"/>
    <s v="Wembley Stadium, London"/>
    <s v="Arturo Yamasaki Maldonado (Referee) · Karol Galba (AR1) · Dimitar Rumentchev (AR2)"/>
    <x v="5"/>
    <x v="307"/>
    <s v="2–0"/>
    <s v="Arturo Yamasaki Maldonado"/>
    <s v=""/>
    <x v="12"/>
    <x v="14"/>
    <s v="Roger Hunt · 38|Roger Hunt · 75"/>
    <s v=""/>
    <s v="['38&amp;rsquor;|1:0|Roger Hunt', '75&amp;rsquor;|2:0|Roger Hunt']"/>
    <s v=""/>
    <s v=""/>
    <s v=""/>
    <s v=""/>
    <s v=""/>
    <s v=""/>
    <s v=""/>
    <s v=""/>
    <s v=""/>
    <s v=""/>
    <s v=""/>
    <s v=""/>
    <s v=""/>
    <s v=""/>
    <s v=""/>
    <s v="['1&amp;rsquor;|0:0|Nobby Stiles']"/>
    <s v=""/>
    <s v=""/>
    <s v=""/>
  </r>
  <r>
    <s v="Hungary"/>
    <s v="Bulgaria"/>
    <n v="3"/>
    <m/>
    <m/>
    <n v="1"/>
    <m/>
    <m/>
    <s v="Lajos Baroti"/>
    <s v="Ferenc Sipos"/>
    <s v="Rudolf Vytlacil"/>
    <s v="Boris Gaganelov"/>
    <n v="24129"/>
    <s v="Old Trafford Stadium, Manchester"/>
    <s v="Roberto Goicoechea (Referee) · Juan Gardeazabal (AR1) · Jose Maria Codesal (AR2)"/>
    <x v="5"/>
    <x v="307"/>
    <s v="3–1"/>
    <s v="Roberto Goicoechea"/>
    <s v=""/>
    <x v="12"/>
    <x v="14"/>
    <s v="Kálmán Mészöly · 45|Ferenc Bene · 54"/>
    <s v="Georgi Asparuhov · 15"/>
    <s v="['45&amp;rsquor;|2:1|Kálmán Mészöly', '54&amp;rsquor;|3:1|Ferenc Bene']"/>
    <s v="['15&amp;rsquor;|0:1|Georgi Asparuhov']"/>
    <s v="Ivan Davidov (OG) · 43"/>
    <s v=""/>
    <s v=""/>
    <s v=""/>
    <s v=""/>
    <s v=""/>
    <s v=""/>
    <s v=""/>
    <s v=""/>
    <s v=""/>
    <s v=""/>
    <s v=""/>
    <s v=""/>
    <s v=""/>
    <s v=""/>
    <s v=""/>
    <s v=""/>
    <s v=""/>
  </r>
  <r>
    <s v="West Germany"/>
    <s v="Spain"/>
    <n v="2"/>
    <m/>
    <m/>
    <n v="1"/>
    <m/>
    <m/>
    <s v="Helmut Schoen"/>
    <s v="Uwe Seeler"/>
    <s v="Jose Villalonga"/>
    <s v="Ignacio Zoco"/>
    <n v="42187"/>
    <s v="Villa Park, Birmingham"/>
    <s v="Armando Marques (Referee) · Claudio Vicuna (AR1) · Duk Ryong Choi (AR2)"/>
    <x v="5"/>
    <x v="307"/>
    <s v="2–1"/>
    <s v="Armando Marques"/>
    <s v=""/>
    <x v="12"/>
    <x v="14"/>
    <s v="Lothar Emmerich · 38|Uwe Seeler · 84"/>
    <s v="Josep Maria Fusté · 22"/>
    <s v="['38&amp;rsquor;|1:1|Lothar Emmerich', '84&amp;rsquor;|2:1|Uwe Seeler']"/>
    <s v="['22&amp;rsquor;|0:1|Josep Maria Fusté']"/>
    <s v=""/>
    <s v=""/>
    <s v=""/>
    <s v=""/>
    <s v=""/>
    <s v=""/>
    <s v=""/>
    <s v=""/>
    <s v=""/>
    <s v=""/>
    <s v=""/>
    <s v=""/>
    <s v=""/>
    <s v=""/>
    <s v="['1&amp;rsquor;|0:0|Wolfgang Overath']"/>
    <s v="['1&amp;rsquor;|0:0|Jesús Glaría']"/>
    <s v=""/>
    <s v=""/>
  </r>
  <r>
    <s v="Soviet Union"/>
    <s v="Chile"/>
    <n v="2"/>
    <m/>
    <m/>
    <n v="1"/>
    <m/>
    <m/>
    <s v="Nikolai Morozov"/>
    <s v="Albert Shesternyov"/>
    <s v="Luis Alamos"/>
    <s v="Leonel Sánchez"/>
    <n v="16027"/>
    <s v="Roker Park Ground, Sunderland"/>
    <s v="John Adair (Referee) · Pierre Schwinte (AR1) · William Clements (AR2)"/>
    <x v="5"/>
    <x v="307"/>
    <s v="2–1"/>
    <s v="John Adair"/>
    <s v=""/>
    <x v="12"/>
    <x v="14"/>
    <s v="Valeriy Porkujan · 28|Valeriy Porkujan · 85"/>
    <s v="Rubén Marcos · 32"/>
    <s v="['28&amp;rsquor;|1:0|Valeriy Porkujan', '85&amp;rsquor;|2:1|Valeriy Porkujan']"/>
    <s v="['32&amp;rsquor;|1:1|Rubén Marcos']"/>
    <s v=""/>
    <s v=""/>
    <s v=""/>
    <s v=""/>
    <s v=""/>
    <s v=""/>
    <s v=""/>
    <s v=""/>
    <s v=""/>
    <s v=""/>
    <s v=""/>
    <s v=""/>
    <s v=""/>
    <s v=""/>
    <s v=""/>
    <s v=""/>
    <s v=""/>
    <s v=""/>
  </r>
  <r>
    <s v="Uruguay"/>
    <s v="Mexico"/>
    <n v="0"/>
    <m/>
    <m/>
    <n v="0"/>
    <m/>
    <m/>
    <s v="Ondino Viera"/>
    <s v="Horacio Troche"/>
    <s v="Ignacio Trellez"/>
    <s v="Gustavo Peña"/>
    <n v="61112"/>
    <s v="Wembley Stadium, London"/>
    <s v="Bertil Loeoew (Referee) · Claudio Vicuna (AR1) · Concetto Lo Bello (AR2)"/>
    <x v="5"/>
    <x v="308"/>
    <s v="0–0"/>
    <s v="Bertil Loeoew"/>
    <s v=""/>
    <x v="12"/>
    <x v="14"/>
    <s v=""/>
    <s v=""/>
    <s v=""/>
    <s v=""/>
    <s v=""/>
    <s v=""/>
    <s v=""/>
    <s v=""/>
    <s v=""/>
    <s v=""/>
    <s v=""/>
    <s v=""/>
    <s v=""/>
    <s v=""/>
    <s v=""/>
    <s v=""/>
    <s v=""/>
    <s v=""/>
    <s v=""/>
    <s v=""/>
    <s v=""/>
    <s v=""/>
  </r>
  <r>
    <s v="Argentina"/>
    <s v="Switzerland"/>
    <n v="2"/>
    <m/>
    <m/>
    <n v="0"/>
    <m/>
    <m/>
    <s v="Juan Carlos Lorenzo"/>
    <s v="Antonio Rattín"/>
    <s v="Alfredo Foni"/>
    <s v="René Brodmann"/>
    <n v="32127"/>
    <s v="Hillsborough, Sheffield"/>
    <s v="Joaquim Fernandes Campos (Referee) · Istvan Zsolt (AR1) · Tofik Bakhramov (AR2)"/>
    <x v="5"/>
    <x v="308"/>
    <s v="2–0"/>
    <s v="Joaquim Fernandes Campos"/>
    <s v=""/>
    <x v="12"/>
    <x v="14"/>
    <s v="Luis Artime · 53|Ermindo Onega · 81"/>
    <s v=""/>
    <s v="['53&amp;rsquor;|1:0|Luis Artime', '81&amp;rsquor;|2:0|Ermindo Onega']"/>
    <s v=""/>
    <s v=""/>
    <s v=""/>
    <s v=""/>
    <s v=""/>
    <s v=""/>
    <s v=""/>
    <s v=""/>
    <s v=""/>
    <s v=""/>
    <s v=""/>
    <s v=""/>
    <s v=""/>
    <s v=""/>
    <s v=""/>
    <s v=""/>
    <s v=""/>
    <s v=""/>
    <s v=""/>
  </r>
  <r>
    <s v="Portugal"/>
    <s v="Brazil"/>
    <n v="3"/>
    <m/>
    <m/>
    <n v="1"/>
    <m/>
    <m/>
    <s v="Otto Gloria"/>
    <s v="Mário Coluna"/>
    <s v="Vicente Feola"/>
    <s v="Orlando Peçanha"/>
    <n v="58479"/>
    <s v="Goodison Park, Liverpool"/>
    <s v="George Mccabe (Referee) · Leo Callaghan (AR1) · Kenneth Dagnall (AR2)"/>
    <x v="5"/>
    <x v="308"/>
    <s v="3–1"/>
    <s v="George Mccabe"/>
    <s v=""/>
    <x v="12"/>
    <x v="14"/>
    <s v="António Simões · 15|Eusébio · 27|Eusébio · 85"/>
    <s v="Rildo da Costa Menezes · 73"/>
    <s v="['15&amp;rsquor;|1:0|António Simões', '27&amp;rsquor;|2:0|Eusébio', '85&amp;rsquor;|3:1|Eusébio']"/>
    <s v="['73&amp;rsquor;|2:1|Rildo da Costa Menezes']"/>
    <s v=""/>
    <s v=""/>
    <s v=""/>
    <s v=""/>
    <s v=""/>
    <s v=""/>
    <s v=""/>
    <s v=""/>
    <s v=""/>
    <s v=""/>
    <s v=""/>
    <s v=""/>
    <s v=""/>
    <s v=""/>
    <s v=""/>
    <s v=""/>
    <s v=""/>
    <s v=""/>
  </r>
  <r>
    <s v="Korea DPR"/>
    <s v="Italy"/>
    <n v="1"/>
    <m/>
    <m/>
    <n v="0"/>
    <m/>
    <m/>
    <s v="Rye Hyun Myung"/>
    <s v="Pak Seung-zin"/>
    <s v="Edmondo Fabbri"/>
    <s v="Giacomo Bulgarelli"/>
    <n v="17829"/>
    <s v="Ayresome Park, Middlesbrough"/>
    <s v="Pierre Schwinte (Referee) · John Adair (AR1) · John Taylor (AR2)"/>
    <x v="5"/>
    <x v="308"/>
    <s v="1–0"/>
    <s v="Pierre Schwinte"/>
    <s v=""/>
    <x v="12"/>
    <x v="14"/>
    <s v="Pak Doo-ik · 42"/>
    <s v=""/>
    <s v="['42&amp;rsquor;|1:0|Pak Doo-ik']"/>
    <s v=""/>
    <s v=""/>
    <s v=""/>
    <s v=""/>
    <s v=""/>
    <s v=""/>
    <s v=""/>
    <s v=""/>
    <s v=""/>
    <s v=""/>
    <s v=""/>
    <s v=""/>
    <s v=""/>
    <s v=""/>
    <s v=""/>
    <s v=""/>
    <s v=""/>
    <s v=""/>
    <s v=""/>
  </r>
  <r>
    <s v="West Germany"/>
    <s v="Argentina"/>
    <n v="0"/>
    <m/>
    <m/>
    <n v="0"/>
    <m/>
    <m/>
    <s v="Helmut Schoen"/>
    <s v="Uwe Seeler"/>
    <s v="Juan Carlos Lorenzo"/>
    <s v="Antonio Rattín"/>
    <n v="46587"/>
    <s v="Villa Park, Birmingham"/>
    <s v="Konstantin Zecevic (Referee) · Joaquim Fernandes Campos (AR1) · Bertil Loeoew (AR2)"/>
    <x v="5"/>
    <x v="309"/>
    <s v="0–0"/>
    <s v="Konstantin Zecevic"/>
    <s v=""/>
    <x v="12"/>
    <x v="14"/>
    <s v=""/>
    <s v=""/>
    <s v=""/>
    <s v=""/>
    <s v=""/>
    <s v=""/>
    <s v=""/>
    <s v=""/>
    <s v=""/>
    <s v=""/>
    <s v=""/>
    <s v=""/>
    <s v=""/>
    <s v=""/>
    <s v=""/>
    <s v="Rafael Albrecht · 65"/>
    <s v=""/>
    <s v=""/>
    <s v="['1&amp;rsquor;|0:0|Franz Beckenbauer']"/>
    <s v=""/>
    <s v=""/>
    <s v=""/>
  </r>
  <r>
    <s v="Soviet Union"/>
    <s v="Italy"/>
    <n v="1"/>
    <m/>
    <m/>
    <n v="0"/>
    <m/>
    <m/>
    <s v="Nikolai Morozov"/>
    <s v="Albert Shesternyov"/>
    <s v="Edmondo Fabbri"/>
    <s v="Sandro Salvadore"/>
    <n v="27793"/>
    <s v="Roker Park Ground, Sunderland"/>
    <s v="Rudolf Kreitlein (Referee) · William Crawford (AR1) · Aly Hussein Kandil (AR2)"/>
    <x v="5"/>
    <x v="309"/>
    <s v="1–0"/>
    <s v="Rudolf Kreitlein"/>
    <s v=""/>
    <x v="12"/>
    <x v="14"/>
    <s v="Igor Chislenko · 57"/>
    <s v=""/>
    <s v="['57&amp;rsquor;|1:0|Igor Chislenko']"/>
    <s v=""/>
    <s v=""/>
    <s v=""/>
    <s v=""/>
    <s v=""/>
    <s v=""/>
    <s v=""/>
    <s v=""/>
    <s v=""/>
    <s v=""/>
    <s v=""/>
    <s v=""/>
    <s v=""/>
    <s v=""/>
    <s v=""/>
    <s v="['1&amp;rsquor;|0:0|Yozhef Sabo']"/>
    <s v=""/>
    <s v=""/>
    <s v=""/>
  </r>
  <r>
    <s v="Portugal"/>
    <s v="Bulgaria"/>
    <n v="3"/>
    <m/>
    <m/>
    <n v="0"/>
    <m/>
    <m/>
    <s v="Otto Gloria"/>
    <s v="Mário Coluna"/>
    <s v="Rudolf Vytlacil"/>
    <s v="Boris Gaganelov"/>
    <n v="25438"/>
    <s v="Old Trafford Stadium, Manchester"/>
    <s v="Jose Maria Codesal (Referee) · Roberto Goicoechea (AR1) · Kurt Tschenscher (AR2)"/>
    <x v="5"/>
    <x v="309"/>
    <s v="3–0"/>
    <s v="Jose Maria Codesal"/>
    <s v=""/>
    <x v="12"/>
    <x v="14"/>
    <s v="Eusébio · 38|José Augusto Torres · 81"/>
    <s v=""/>
    <s v="['38&amp;rsquor;|2:0|Eusébio', '81&amp;rsquor;|3:0|José Augusto Torres']"/>
    <s v=""/>
    <s v="Ivan Vutsov (OG) · 17"/>
    <s v=""/>
    <s v=""/>
    <s v=""/>
    <s v=""/>
    <s v=""/>
    <s v=""/>
    <s v=""/>
    <s v=""/>
    <s v=""/>
    <s v=""/>
    <s v=""/>
    <s v=""/>
    <s v=""/>
    <s v="['1&amp;rsquor;|0:0|Eusébio']"/>
    <s v="['1&amp;rsquor;|0:0|Dinko Dermendzhiev']"/>
    <s v=""/>
    <s v=""/>
  </r>
  <r>
    <s v="England"/>
    <s v="Mexico"/>
    <n v="2"/>
    <m/>
    <m/>
    <n v="0"/>
    <m/>
    <m/>
    <s v="Alf Ramsey"/>
    <s v="Bobby Moore"/>
    <s v="Ignacio Trellez"/>
    <s v="Gustavo Peña"/>
    <n v="92570"/>
    <s v="Wembley Stadium, London"/>
    <s v="Concetto Lo Bello (Referee) · Duk Ryong Choi (AR1) · Menachem Ashkenazi (AR2)"/>
    <x v="5"/>
    <x v="309"/>
    <s v="2–0"/>
    <s v="Concetto Lo Bello"/>
    <s v=""/>
    <x v="12"/>
    <x v="14"/>
    <s v="Bobby Charlton · 37|Roger Hunt · 75"/>
    <s v=""/>
    <s v="['37&amp;rsquor;|1:0|Bobby Charlton', '75&amp;rsquor;|2:0|Roger Hunt']"/>
    <s v=""/>
    <s v=""/>
    <s v=""/>
    <s v=""/>
    <s v=""/>
    <s v=""/>
    <s v=""/>
    <s v=""/>
    <s v=""/>
    <s v=""/>
    <s v=""/>
    <s v=""/>
    <s v=""/>
    <s v=""/>
    <s v=""/>
    <s v=""/>
    <s v=""/>
    <s v=""/>
    <s v=""/>
  </r>
  <r>
    <s v="Spain"/>
    <s v="Switzerland"/>
    <n v="2"/>
    <m/>
    <m/>
    <n v="1"/>
    <m/>
    <m/>
    <s v="Jose Villalonga"/>
    <s v="Francisco Gento"/>
    <s v="Alfredo Foni"/>
    <s v="René Brodmann"/>
    <n v="32028"/>
    <s v="Hillsborough, Sheffield"/>
    <s v="Tofik Bakhramov (Referee) · Istvan Zsolt (AR1) · Hugh Phillips (AR2)"/>
    <x v="5"/>
    <x v="310"/>
    <s v="2–1"/>
    <s v="Tofik Bakhramov"/>
    <s v=""/>
    <x v="12"/>
    <x v="14"/>
    <s v="Manuel Sanchís · 57|Amancio Amaro · 75"/>
    <s v="René-Pierre Quentin · 28"/>
    <s v="['57&amp;rsquor;|1:1|Manuel Sanchís', '75&amp;rsquor;|2:1|Amancio Amaro']"/>
    <s v="['28&amp;rsquor;|0:1|René-Pierre Quentin']"/>
    <s v=""/>
    <s v=""/>
    <s v=""/>
    <s v=""/>
    <s v=""/>
    <s v=""/>
    <s v=""/>
    <s v=""/>
    <s v=""/>
    <s v=""/>
    <s v=""/>
    <s v=""/>
    <s v=""/>
    <s v=""/>
    <s v=""/>
    <s v=""/>
    <s v=""/>
    <s v=""/>
  </r>
  <r>
    <s v="Uruguay"/>
    <s v="France"/>
    <n v="2"/>
    <m/>
    <m/>
    <n v="1"/>
    <m/>
    <m/>
    <s v="Ondino Viera"/>
    <s v="Horacio Troche"/>
    <s v="Henri Guerin"/>
    <s v="Marcel Artelesa"/>
    <n v="45662"/>
    <s v="White City, London"/>
    <s v="Karol Galba (Referee) · Leo Callaghan (AR1) · Armando Marques (AR2)"/>
    <x v="5"/>
    <x v="310"/>
    <s v="2–1"/>
    <s v="Karol Galba"/>
    <s v=""/>
    <x v="12"/>
    <x v="14"/>
    <s v="Pedro Rocha · 26|Julio César Cortés · 31"/>
    <s v=""/>
    <s v="['26&amp;rsquor;|1:1|Pedro Rocha', '31&amp;rsquor;|2:1|Julio César Cortés']"/>
    <s v=""/>
    <s v=""/>
    <s v=""/>
    <s v=""/>
    <s v="Héctor De Bourgoing (P) · 15"/>
    <s v=""/>
    <s v=""/>
    <s v=""/>
    <s v=""/>
    <s v=""/>
    <s v=""/>
    <s v=""/>
    <s v=""/>
    <s v=""/>
    <s v=""/>
    <s v=""/>
    <s v=""/>
    <s v=""/>
    <s v=""/>
  </r>
  <r>
    <s v="Hungary"/>
    <s v="Brazil"/>
    <n v="3"/>
    <m/>
    <m/>
    <n v="1"/>
    <m/>
    <m/>
    <s v="Lajos Baroti"/>
    <s v="Ferenc Sipos"/>
    <s v="Vicente Feola"/>
    <s v="Hilderaldo Bellini"/>
    <n v="51387"/>
    <s v="Goodison Park, Liverpool"/>
    <s v="Kenneth Dagnall (Referee) · Kevin Howley (AR1) · Arturo Yamasaki Maldonado (AR2)"/>
    <x v="5"/>
    <x v="310"/>
    <s v="3–1"/>
    <s v="Kenneth Dagnall"/>
    <s v=""/>
    <x v="12"/>
    <x v="14"/>
    <s v="Ferenc Bene · 2|János Farkas · 64"/>
    <s v="Tostão · 14"/>
    <s v="['2&amp;rsquor;|1:0|Ferenc Bene', '64&amp;rsquor;|2:1|János Farkas']"/>
    <s v="['14&amp;rsquor;|1:1|Tostão']"/>
    <s v=""/>
    <s v=""/>
    <s v="Kálmán Mészöly (P) · 73"/>
    <s v=""/>
    <s v=""/>
    <s v=""/>
    <s v=""/>
    <s v=""/>
    <s v=""/>
    <s v=""/>
    <s v=""/>
    <s v=""/>
    <s v=""/>
    <s v=""/>
    <s v=""/>
    <s v=""/>
    <s v=""/>
    <s v=""/>
  </r>
  <r>
    <s v="Korea DPR"/>
    <s v="Chile"/>
    <n v="1"/>
    <m/>
    <m/>
    <n v="1"/>
    <m/>
    <m/>
    <s v="Rye Hyun Myung"/>
    <s v="Pak Seung-zin"/>
    <s v="Luis Alamos"/>
    <s v="Leonel Sánchez"/>
    <n v="13792"/>
    <s v="Ayresome Park, Middlesbrough"/>
    <s v="Aly Hussein Kandil (Referee) · William Crawford (AR1) · Jim Finney (AR2)"/>
    <x v="5"/>
    <x v="310"/>
    <s v="1–1"/>
    <s v="Aly Hussein Kandil"/>
    <s v=""/>
    <x v="12"/>
    <x v="14"/>
    <s v="Pak Seung-zin · 88"/>
    <s v=""/>
    <s v="['88&amp;rsquor;|1:1|Pak Seung-zin']"/>
    <s v=""/>
    <s v=""/>
    <s v=""/>
    <s v=""/>
    <s v="Rubén Marcos (P) · 26"/>
    <s v=""/>
    <s v=""/>
    <s v=""/>
    <s v=""/>
    <s v=""/>
    <s v=""/>
    <s v=""/>
    <s v=""/>
    <s v=""/>
    <s v=""/>
    <s v=""/>
    <s v="['1&amp;rsquor;|0:0|Rubén Marcos']"/>
    <s v=""/>
    <s v=""/>
  </r>
  <r>
    <s v="Argentina"/>
    <s v="Spain"/>
    <n v="2"/>
    <m/>
    <m/>
    <n v="1"/>
    <m/>
    <m/>
    <s v="Juan Carlos Lorenzo"/>
    <s v="Antonio Rattín"/>
    <s v="Jose Villalonga"/>
    <s v="Francisco Gento"/>
    <n v="42738"/>
    <s v="Villa Park, Birmingham"/>
    <s v="Dimitar Rumentchev (Referee) · Arturo Yamasaki Maldonado (AR1) · Konstantin Zecevic (AR2)"/>
    <x v="5"/>
    <x v="311"/>
    <s v="2–1"/>
    <s v="Dimitar Rumentchev"/>
    <s v=""/>
    <x v="12"/>
    <x v="14"/>
    <s v="Luis Artime · 65|Luis Artime · 79"/>
    <s v="Pirri · 71"/>
    <s v="['65&amp;rsquor;|1:0|Luis Artime', '79&amp;rsquor;|2:1|Luis Artime']"/>
    <s v="['71&amp;rsquor;|1:1|Pirri']"/>
    <s v=""/>
    <s v=""/>
    <s v=""/>
    <s v=""/>
    <s v=""/>
    <s v=""/>
    <s v=""/>
    <s v=""/>
    <s v=""/>
    <s v=""/>
    <s v=""/>
    <s v=""/>
    <s v=""/>
    <s v=""/>
    <s v=""/>
    <s v=""/>
    <s v=""/>
    <s v=""/>
  </r>
  <r>
    <s v="France"/>
    <s v="Mexico"/>
    <n v="1"/>
    <m/>
    <m/>
    <n v="1"/>
    <m/>
    <m/>
    <s v="Henri Guerin"/>
    <s v="Marcel Artelesa"/>
    <s v="Ignacio Trellez"/>
    <s v="Gustavo Peña"/>
    <n v="69237"/>
    <s v="Wembley Stadium, London"/>
    <s v="Menachem Ashkenazi (Referee) · Joaquim Fernandes Campos (AR1) · Karol Galba (AR2)"/>
    <x v="5"/>
    <x v="311"/>
    <s v="1–1"/>
    <s v="Menachem Ashkenazi"/>
    <s v=""/>
    <x v="12"/>
    <x v="14"/>
    <s v="Gérard Hausser · 62"/>
    <s v="Enrique Borja · 48"/>
    <s v="['62&amp;rsquor;|1:1|Gérard Hausser']"/>
    <s v="['48&amp;rsquor;|0:1|Enrique Borja']"/>
    <s v=""/>
    <s v=""/>
    <s v=""/>
    <s v=""/>
    <s v=""/>
    <s v=""/>
    <s v=""/>
    <s v=""/>
    <s v=""/>
    <s v=""/>
    <s v=""/>
    <s v=""/>
    <s v=""/>
    <s v=""/>
    <s v=""/>
    <s v=""/>
    <s v=""/>
    <s v=""/>
  </r>
  <r>
    <s v="Italy"/>
    <s v="Chile"/>
    <n v="2"/>
    <m/>
    <m/>
    <n v="0"/>
    <m/>
    <m/>
    <s v="Edmondo Fabbri"/>
    <s v="Sandro Salvadore"/>
    <s v="Luis Alamos"/>
    <s v="Leonel Sánchez"/>
    <n v="27199"/>
    <s v="Roker Park Ground, Sunderland"/>
    <s v="Gottfried Dienst (Referee) · Jim Finney (AR1) · Rudolf Kreitlein (AR2)"/>
    <x v="5"/>
    <x v="311"/>
    <s v="2–0"/>
    <s v="Gottfried Dienst"/>
    <s v=""/>
    <x v="12"/>
    <x v="14"/>
    <s v="Sandro Mazzola · 8|Paolo Barison · 88"/>
    <s v=""/>
    <s v="['8&amp;rsquor;|1:0|Sandro Mazzola', '88&amp;rsquor;|2:0|Paolo Barison']"/>
    <s v=""/>
    <s v=""/>
    <s v=""/>
    <s v=""/>
    <s v=""/>
    <s v=""/>
    <s v=""/>
    <s v=""/>
    <s v=""/>
    <s v=""/>
    <s v=""/>
    <s v=""/>
    <s v=""/>
    <s v=""/>
    <s v=""/>
    <s v=""/>
    <s v=""/>
    <s v=""/>
    <s v=""/>
  </r>
  <r>
    <s v="Portugal"/>
    <s v="Hungary"/>
    <n v="3"/>
    <m/>
    <m/>
    <n v="1"/>
    <m/>
    <m/>
    <s v="Otto Gloria"/>
    <s v="Mário Coluna"/>
    <s v="Lajos Baroti"/>
    <s v="Ferenc Sipos"/>
    <n v="29886"/>
    <s v="Old Trafford Stadium, Manchester"/>
    <s v="Leo Callaghan (Referee) · Kevin Howley (AR1) · William Clements (AR2)"/>
    <x v="5"/>
    <x v="311"/>
    <s v="3–1"/>
    <s v="Leo Callaghan"/>
    <s v=""/>
    <x v="12"/>
    <x v="14"/>
    <s v="José Augusto de Almeida · 2|José Augusto de Almeida · 67|José Augusto Torres · 90"/>
    <s v="Ferenc Bene · 60"/>
    <s v="['2&amp;rsquor;|1:0|José Augusto de Almeida', '67&amp;rsquor;|2:1|José Augusto de Almeida', '90&amp;rsquor;|3:1|José Augusto Torres']"/>
    <s v="['60&amp;rsquor;|1:1|Ferenc Bene']"/>
    <s v=""/>
    <s v=""/>
    <s v=""/>
    <s v=""/>
    <s v=""/>
    <s v=""/>
    <s v=""/>
    <s v=""/>
    <s v=""/>
    <s v=""/>
    <s v=""/>
    <s v=""/>
    <s v=""/>
    <s v=""/>
    <s v=""/>
    <s v=""/>
    <s v=""/>
    <s v=""/>
  </r>
  <r>
    <s v="Brazil"/>
    <s v="Bulgaria"/>
    <n v="2"/>
    <m/>
    <m/>
    <n v="0"/>
    <m/>
    <m/>
    <s v="Vicente Feola"/>
    <s v="Hilderaldo Bellini"/>
    <s v="Rudolf Vytlacil"/>
    <s v="Boris Gaganelov"/>
    <n v="47308"/>
    <s v="Goodison Park, Liverpool"/>
    <s v="Kurt Tschenscher (Referee) · George Mccabe (AR1) · John Taylor (AR2)"/>
    <x v="5"/>
    <x v="312"/>
    <s v="2–0"/>
    <s v="Kurt Tschenscher"/>
    <s v=""/>
    <x v="12"/>
    <x v="14"/>
    <s v="Pelé · 15|Garrincha · 63"/>
    <s v=""/>
    <s v="['15&amp;rsquor;|1:0|Pelé', '63&amp;rsquor;|2:0|Garrincha']"/>
    <s v=""/>
    <s v=""/>
    <s v=""/>
    <s v=""/>
    <s v=""/>
    <s v=""/>
    <s v=""/>
    <s v=""/>
    <s v=""/>
    <s v=""/>
    <s v=""/>
    <s v=""/>
    <s v=""/>
    <s v=""/>
    <s v=""/>
    <s v="['1&amp;rsquor;|0:0|Denílson Custódio Machado']"/>
    <s v="['1&amp;rsquor;|0:0|Dobromir Zhechev', '1&amp;rsquor;|0:0|Ivan Kolev']"/>
    <s v=""/>
    <s v=""/>
  </r>
  <r>
    <s v="Soviet Union"/>
    <s v="Korea DPR"/>
    <n v="3"/>
    <m/>
    <m/>
    <n v="0"/>
    <m/>
    <m/>
    <s v="Nikolai Morozov"/>
    <s v="Albert Shesternyov"/>
    <s v="Rye Hyun Myung"/>
    <s v="Pak Seung-zin"/>
    <n v="23006"/>
    <s v="Ayresome Park, Middlesbrough"/>
    <s v="Juan Gardeazabal (Referee) · Aly Hussein Kandil (AR1) · Gottfried Dienst (AR2)"/>
    <x v="5"/>
    <x v="312"/>
    <s v="3–0"/>
    <s v="Juan Gardeazabal"/>
    <s v=""/>
    <x v="12"/>
    <x v="14"/>
    <s v="Eduard Malofeyev · 31|Anatoliy Banishevskiy · 33|Eduard Malofeyev · 88"/>
    <s v=""/>
    <s v="['31&amp;rsquor;|1:0|Eduard Malofeyev', '33&amp;rsquor;|2:0|Anatoliy Banishevskiy', '88&amp;rsquor;|3:0|Eduard Malofeyev']"/>
    <s v=""/>
    <s v=""/>
    <s v=""/>
    <s v=""/>
    <s v=""/>
    <s v=""/>
    <s v=""/>
    <s v=""/>
    <s v=""/>
    <s v=""/>
    <s v=""/>
    <s v=""/>
    <s v=""/>
    <s v=""/>
    <s v=""/>
    <s v="['1&amp;rsquor;|0:0|Galimzyan Khusainov']"/>
    <s v=""/>
    <s v=""/>
    <s v=""/>
  </r>
  <r>
    <s v="West Germany"/>
    <s v="Switzerland"/>
    <n v="5"/>
    <m/>
    <m/>
    <n v="0"/>
    <m/>
    <m/>
    <s v="Helmut Schoen"/>
    <s v="Uwe Seeler"/>
    <s v="Alfredo Foni"/>
    <s v="Heinz Schneiter"/>
    <n v="36127"/>
    <s v="Hillsborough, Sheffield"/>
    <s v="Hugh Phillips (Referee) · John Adair (AR1) · Bertil Loeoew (AR2)"/>
    <x v="5"/>
    <x v="312"/>
    <s v="5–0"/>
    <s v="Hugh Phillips"/>
    <s v=""/>
    <x v="12"/>
    <x v="14"/>
    <s v="Sigfried Held · 15|Helmut Haller · 20|Franz Beckenbauer · 39|Franz Beckenbauer · 52"/>
    <s v=""/>
    <s v="['15&amp;rsquor;|1:0|Sigfried Held', '20&amp;rsquor;|2:0|Helmut Haller', '39&amp;rsquor;|3:0|Franz Beckenbauer', '52&amp;rsquor;|4:0|Franz Beckenbauer']"/>
    <s v=""/>
    <s v=""/>
    <s v=""/>
    <s v="Helmut Haller (P) · 77"/>
    <s v=""/>
    <s v=""/>
    <s v=""/>
    <s v=""/>
    <s v=""/>
    <s v=""/>
    <s v=""/>
    <s v=""/>
    <s v=""/>
    <s v=""/>
    <s v=""/>
    <s v=""/>
    <s v=""/>
    <s v=""/>
    <s v=""/>
  </r>
  <r>
    <s v="England"/>
    <s v="Uruguay"/>
    <n v="0"/>
    <m/>
    <m/>
    <n v="0"/>
    <m/>
    <m/>
    <s v="Alf Ramsey"/>
    <s v="Bobby Moore"/>
    <s v="Ondino Viera"/>
    <s v="Horacio Troche"/>
    <n v="87148"/>
    <s v="Wembley Stadium, London"/>
    <s v="Istvan Zsolt (Referee) · Tofik Bakhramov (AR1) · Dimitar Rumentchev (AR2)"/>
    <x v="5"/>
    <x v="313"/>
    <s v="0–0"/>
    <s v="Istvan Zsolt"/>
    <s v=""/>
    <x v="12"/>
    <x v="14"/>
    <s v=""/>
    <s v=""/>
    <s v=""/>
    <s v=""/>
    <s v=""/>
    <s v=""/>
    <s v=""/>
    <s v=""/>
    <s v=""/>
    <s v=""/>
    <s v=""/>
    <s v=""/>
    <s v=""/>
    <s v=""/>
    <s v=""/>
    <s v=""/>
    <s v=""/>
    <s v=""/>
    <s v=""/>
    <s v=""/>
    <s v=""/>
    <s v=""/>
  </r>
  <r>
    <s v="Brazil"/>
    <s v="Czechoslovakia"/>
    <n v="3"/>
    <m/>
    <m/>
    <n v="1"/>
    <m/>
    <m/>
    <s v="Aymore Moreira"/>
    <s v="Mauro Ramos"/>
    <s v="Rudolf Vytlacil"/>
    <s v="Ladislav Novák"/>
    <n v="68679"/>
    <s v="Nacional, Santiago De Chile"/>
    <s v="Nikolaj Latychev (Referee) · Leo Horn (AR1) · Bob Davidson (AR2)"/>
    <x v="0"/>
    <x v="314"/>
    <s v="3–1"/>
    <s v="Nikolaj Latychev"/>
    <s v=""/>
    <x v="13"/>
    <x v="15"/>
    <s v="Amarildo Tavares da Silveira · 17|Zito · 69|Vavá · 78"/>
    <s v="Josef Masopust · 15"/>
    <s v="['17&amp;rsquor;|1:1|Amarildo Tavares da Silveira', '69&amp;rsquor;|2:1|Zito', '78&amp;rsquor;|3:1|Vavá']"/>
    <s v="['15&amp;rsquor;|0:1|Josef Masopust']"/>
    <s v=""/>
    <s v=""/>
    <s v=""/>
    <s v=""/>
    <s v=""/>
    <s v=""/>
    <s v=""/>
    <s v=""/>
    <s v=""/>
    <s v=""/>
    <s v=""/>
    <s v=""/>
    <s v=""/>
    <s v=""/>
    <s v=""/>
    <s v=""/>
    <s v=""/>
    <s v=""/>
  </r>
  <r>
    <s v="Chile"/>
    <s v="Yugoslavia"/>
    <n v="1"/>
    <m/>
    <m/>
    <n v="0"/>
    <m/>
    <m/>
    <s v="Fernando Riera"/>
    <s v="Jorge Toro"/>
    <s v="Ljubomir Lovric"/>
    <s v="Milan Galić"/>
    <n v="66697"/>
    <s v="Nacional, Santiago De Chile"/>
    <s v="Juan Gardeazabal (Referee) · Albert Dusch (AR1) · Andor Dorogi (AR2)"/>
    <x v="1"/>
    <x v="315"/>
    <s v="1–0"/>
    <s v="Juan Gardeazabal"/>
    <s v=""/>
    <x v="13"/>
    <x v="15"/>
    <s v="Eladio Rojas · 90"/>
    <s v=""/>
    <s v="['90&amp;rsquor;|1:0|Eladio Rojas']"/>
    <s v=""/>
    <s v=""/>
    <s v=""/>
    <s v=""/>
    <s v=""/>
    <s v=""/>
    <s v=""/>
    <s v=""/>
    <s v=""/>
    <s v=""/>
    <s v=""/>
    <s v=""/>
    <s v=""/>
    <s v=""/>
    <s v=""/>
    <s v=""/>
    <s v=""/>
    <s v=""/>
    <s v=""/>
  </r>
  <r>
    <s v="Brazil"/>
    <s v="Chile"/>
    <n v="4"/>
    <m/>
    <m/>
    <n v="2"/>
    <m/>
    <m/>
    <s v="Aymore Moreira"/>
    <s v="Mauro Ramos"/>
    <s v="Fernando Riera"/>
    <s v="Jorge Toro"/>
    <n v="76594"/>
    <s v="Nacional, Santiago De Chile"/>
    <s v="Arturo Yamasaki Maldonado (Referee) · Esteban Marino (AR1) · Luis Antonio Ventre (AR2)"/>
    <x v="2"/>
    <x v="316"/>
    <s v="4–2"/>
    <s v="Arturo Yamasaki Maldonado"/>
    <s v=""/>
    <x v="13"/>
    <x v="15"/>
    <s v="Garrincha · 9|Garrincha · 32|Vavá · 47|Vavá · 78"/>
    <s v="Jorge Toro · 42"/>
    <s v="['9&amp;rsquor;|1:0|Garrincha', '32&amp;rsquor;|2:0|Garrincha', '47&amp;rsquor;|3:1|Vavá', '78&amp;rsquor;|4:2|Vavá']"/>
    <s v="['42&amp;rsquor;|2:1|Jorge Toro']"/>
    <s v=""/>
    <s v=""/>
    <s v=""/>
    <s v="Leonel Sánchez (P) · 61"/>
    <s v=""/>
    <s v=""/>
    <s v=""/>
    <s v=""/>
    <s v=""/>
    <s v=""/>
    <s v="Garrincha · 83"/>
    <s v="Honorino Landa · 80"/>
    <s v=""/>
    <s v=""/>
    <s v=""/>
    <s v=""/>
    <s v=""/>
    <s v=""/>
  </r>
  <r>
    <s v="Czechoslovakia"/>
    <s v="Yugoslavia"/>
    <n v="3"/>
    <m/>
    <m/>
    <n v="1"/>
    <m/>
    <m/>
    <s v="Rudolf Vytlacil"/>
    <s v="Ladislav Novák"/>
    <s v="Ljubomir Lovric"/>
    <s v="Milan Galić"/>
    <n v="5890"/>
    <s v="Estadio Sausalito, Vina Del Mar"/>
    <s v="Gottfried Dienst (Referee) · Carl Steiner (AR1) · Cesare Jonni (AR2)"/>
    <x v="2"/>
    <x v="316"/>
    <s v="3–1"/>
    <s v="Gottfried Dienst"/>
    <s v=""/>
    <x v="13"/>
    <x v="15"/>
    <s v="Josef Kadraba · 48|Adolf Scherer · 80"/>
    <s v="Dražan Jerković · 69"/>
    <s v="['48&amp;rsquor;|1:0|Josef Kadraba', '80&amp;rsquor;|2:1|Adolf Scherer']"/>
    <s v="['69&amp;rsquor;|1:1|Dražan Jerković']"/>
    <s v=""/>
    <s v=""/>
    <s v="Adolf Scherer (P) · 84"/>
    <s v=""/>
    <s v=""/>
    <s v=""/>
    <s v=""/>
    <s v=""/>
    <s v=""/>
    <s v=""/>
    <s v=""/>
    <s v=""/>
    <s v=""/>
    <s v=""/>
    <s v=""/>
    <s v=""/>
    <s v=""/>
    <s v=""/>
  </r>
  <r>
    <s v="Chile"/>
    <s v="Soviet Union"/>
    <n v="2"/>
    <m/>
    <m/>
    <n v="1"/>
    <m/>
    <m/>
    <s v="Fernando Riera"/>
    <s v="Sergio Navarro"/>
    <s v="Gavril Kachalin"/>
    <s v="Igor Netto"/>
    <n v="17268"/>
    <s v="Carlos Dittborn, Arica"/>
    <s v="Leo Horn (Referee) · Joao Etzel Filho (AR1) · Karol Galba (AR2)"/>
    <x v="3"/>
    <x v="317"/>
    <s v="2–1"/>
    <s v="Leo Horn"/>
    <s v=""/>
    <x v="13"/>
    <x v="15"/>
    <s v="Leonel Sánchez · 11|Eladio Rojas · 29"/>
    <s v="Igor Chislenko · 26"/>
    <s v="['11&amp;rsquor;|1:0|Leonel Sánchez', '29&amp;rsquor;|2:1|Eladio Rojas']"/>
    <s v="['26&amp;rsquor;|1:1|Igor Chislenko']"/>
    <s v=""/>
    <s v=""/>
    <s v=""/>
    <s v=""/>
    <s v=""/>
    <s v=""/>
    <s v=""/>
    <s v=""/>
    <s v=""/>
    <s v=""/>
    <s v=""/>
    <s v=""/>
    <s v=""/>
    <s v=""/>
    <s v=""/>
    <s v=""/>
    <s v=""/>
    <s v=""/>
  </r>
  <r>
    <s v="Brazil"/>
    <s v="England"/>
    <n v="3"/>
    <m/>
    <m/>
    <n v="1"/>
    <m/>
    <m/>
    <s v="Aymore Moreira"/>
    <s v="Mauro Ramos"/>
    <s v="Walter Winterbottom"/>
    <s v="Johnny Haynes"/>
    <n v="17736"/>
    <s v="Estadio Sausalito, Vina Del Mar"/>
    <s v="Pierre Schwinte (Referee) · Gottfried Dienst (AR1) · Sergio Bustamante (AR2)"/>
    <x v="3"/>
    <x v="317"/>
    <s v="3–1"/>
    <s v="Pierre Schwinte"/>
    <s v=""/>
    <x v="13"/>
    <x v="15"/>
    <s v="Garrincha · 31|Vavá · 53|Garrincha · 59"/>
    <s v="Gerry Hitchens · 38"/>
    <s v="['31&amp;rsquor;|1:0|Garrincha', '53&amp;rsquor;|2:1|Vavá', '59&amp;rsquor;|3:1|Garrincha']"/>
    <s v="['38&amp;rsquor;|1:1|Gerry Hitchens']"/>
    <s v=""/>
    <s v=""/>
    <s v=""/>
    <s v=""/>
    <s v=""/>
    <s v=""/>
    <s v=""/>
    <s v=""/>
    <s v=""/>
    <s v=""/>
    <s v=""/>
    <s v=""/>
    <s v=""/>
    <s v=""/>
    <s v=""/>
    <s v=""/>
    <s v=""/>
    <s v=""/>
  </r>
  <r>
    <s v="Czechoslovakia"/>
    <s v="Hungary"/>
    <n v="1"/>
    <m/>
    <m/>
    <n v="0"/>
    <m/>
    <m/>
    <s v="Rudolf Vytlacil"/>
    <s v="Ladislav Novák"/>
    <s v="Lajos Baroti"/>
    <s v="Gyula Grosics"/>
    <n v="11690"/>
    <s v="Estadio El Teniente-Codelco, Rancagua"/>
    <s v="Nikolaj Latychev (Referee) · Fernando Buergo (AR1) · Dimitar Rumentchev (AR2)"/>
    <x v="3"/>
    <x v="317"/>
    <s v="1–0"/>
    <s v="Nikolaj Latychev"/>
    <s v=""/>
    <x v="13"/>
    <x v="15"/>
    <s v="Adolf Scherer · 13"/>
    <s v=""/>
    <s v="['13&amp;rsquor;|1:0|Adolf Scherer']"/>
    <s v=""/>
    <s v=""/>
    <s v=""/>
    <s v=""/>
    <s v=""/>
    <s v=""/>
    <s v=""/>
    <s v=""/>
    <s v=""/>
    <s v=""/>
    <s v=""/>
    <s v=""/>
    <s v=""/>
    <s v=""/>
    <s v=""/>
    <s v=""/>
    <s v=""/>
    <s v=""/>
    <s v=""/>
  </r>
  <r>
    <s v="Yugoslavia"/>
    <s v="West Germany"/>
    <n v="1"/>
    <m/>
    <m/>
    <n v="0"/>
    <m/>
    <m/>
    <s v="Ljubomir Lovric"/>
    <s v="Milan Galić"/>
    <s v="Sepp Herberger"/>
    <s v="Hans Schäfer"/>
    <n v="63324"/>
    <s v="Nacional, Santiago De Chile"/>
    <s v="Arturo Yamasaki Maldonado (Referee) · Luis Antonio Ventre (AR1) · Jose Antonio Silva (AR2)"/>
    <x v="3"/>
    <x v="317"/>
    <s v="1–0"/>
    <s v="Arturo Yamasaki Maldonado"/>
    <s v=""/>
    <x v="13"/>
    <x v="15"/>
    <s v="Petar Radaković · 85"/>
    <s v=""/>
    <s v="['85&amp;rsquor;|1:0|Petar Radaković']"/>
    <s v=""/>
    <s v=""/>
    <s v=""/>
    <s v=""/>
    <s v=""/>
    <s v=""/>
    <s v=""/>
    <s v=""/>
    <s v=""/>
    <s v=""/>
    <s v=""/>
    <s v=""/>
    <s v=""/>
    <s v=""/>
    <s v=""/>
    <s v=""/>
    <s v=""/>
    <s v=""/>
    <s v=""/>
  </r>
  <r>
    <s v="England"/>
    <s v="Bulgaria"/>
    <n v="0"/>
    <m/>
    <m/>
    <n v="0"/>
    <m/>
    <m/>
    <s v="Walter Winterbottom"/>
    <s v="Johnny Haynes"/>
    <s v="Georgi Pachedzhiev"/>
    <s v="Nikola Kovachev"/>
    <n v="5700"/>
    <s v="Estadio El Teniente-Codelco, Rancagua"/>
    <s v="Arthur Blavier (Referee) · Adolfe Molina Reginato (AR1) · Bulnes R. (AR2)"/>
    <x v="5"/>
    <x v="318"/>
    <s v="0–0"/>
    <s v="Arthur Blavier"/>
    <s v=""/>
    <x v="13"/>
    <x v="15"/>
    <s v=""/>
    <s v=""/>
    <s v=""/>
    <s v=""/>
    <s v=""/>
    <s v=""/>
    <s v=""/>
    <s v=""/>
    <s v=""/>
    <s v=""/>
    <s v=""/>
    <s v=""/>
    <s v=""/>
    <s v=""/>
    <s v=""/>
    <s v=""/>
    <s v=""/>
    <s v=""/>
    <s v=""/>
    <s v=""/>
    <s v=""/>
    <s v=""/>
  </r>
  <r>
    <s v="Mexico"/>
    <s v="Czechoslovakia"/>
    <n v="3"/>
    <m/>
    <m/>
    <n v="1"/>
    <m/>
    <m/>
    <s v="Ignacio Trellez"/>
    <s v="Antonio Carbajal"/>
    <s v="Rudolf Vytlacil"/>
    <s v="Ladislav Novák"/>
    <n v="10648"/>
    <s v="Estadio Sausalito, Vina Del Mar"/>
    <s v="Gottfried Dienst (Referee) · Branko Tesanic (AR1) · Jose Antonio Sundheim (AR2)"/>
    <x v="5"/>
    <x v="318"/>
    <s v="3–1"/>
    <s v="Gottfried Dienst"/>
    <s v=""/>
    <x v="13"/>
    <x v="15"/>
    <s v="Isidoro Díaz · 12|Alfredo del Águila · 29"/>
    <s v="Václav Mašek · 1"/>
    <s v="['12&amp;rsquor;|1:1|Isidoro Díaz', '29&amp;rsquor;|2:1|Alfredo del Águila']"/>
    <s v="['1&amp;rsquor;|0:1|Václav Mašek']"/>
    <s v=""/>
    <s v=""/>
    <s v="Héctor Hernández (P) · 90"/>
    <s v=""/>
    <s v=""/>
    <s v=""/>
    <s v=""/>
    <s v=""/>
    <s v=""/>
    <s v=""/>
    <s v=""/>
    <s v=""/>
    <s v=""/>
    <s v=""/>
    <s v=""/>
    <s v=""/>
    <s v=""/>
    <s v=""/>
  </r>
  <r>
    <s v="Italy"/>
    <s v="Switzerland"/>
    <n v="3"/>
    <m/>
    <m/>
    <n v="0"/>
    <m/>
    <m/>
    <s v="Paolo Mazza"/>
    <s v="Lorenzo Buffon"/>
    <s v="Karl Rappan"/>
    <s v="Charles Antenen"/>
    <n v="59828"/>
    <s v="Nacional, Santiago De Chile"/>
    <s v="Nikolaj Latychev (Referee) · Bob Davidson (AR1) · Dimitar Rumentchev (AR2)"/>
    <x v="5"/>
    <x v="318"/>
    <s v="3–0"/>
    <s v="Nikolaj Latychev"/>
    <s v=""/>
    <x v="13"/>
    <x v="15"/>
    <s v="Bruno Mora · 2|Giacomo Bulgarelli · 65|Giacomo Bulgarelli · 67"/>
    <s v=""/>
    <s v="['2&amp;rsquor;|1:0|Bruno Mora', '65&amp;rsquor;|2:0|Giacomo Bulgarelli', '67&amp;rsquor;|3:0|Giacomo Bulgarelli']"/>
    <s v=""/>
    <s v=""/>
    <s v=""/>
    <s v=""/>
    <s v=""/>
    <s v=""/>
    <s v=""/>
    <s v=""/>
    <s v=""/>
    <s v=""/>
    <s v=""/>
    <s v=""/>
    <s v=""/>
    <s v=""/>
    <s v=""/>
    <s v=""/>
    <s v=""/>
    <s v=""/>
    <s v=""/>
  </r>
  <r>
    <s v="Yugoslavia"/>
    <s v="Colombia"/>
    <n v="5"/>
    <m/>
    <m/>
    <n v="0"/>
    <m/>
    <m/>
    <s v="Ljubomir Lovric"/>
    <s v="Milan Galić"/>
    <s v="Adolfo Pedernera"/>
    <s v="Efraín Sánchez"/>
    <n v="7167"/>
    <s v="Carlos Dittborn, Arica"/>
    <s v="Carlos Robles (Referee) · Cesare Jonni (AR1) · Karol Galba (AR2)"/>
    <x v="5"/>
    <x v="318"/>
    <s v="5–0"/>
    <s v="Carlos Robles"/>
    <s v=""/>
    <x v="13"/>
    <x v="15"/>
    <s v="Milan Galić · 20|Dražan Jerković · 25|Milan Galić · 61|Vojislav Melić · 82|Dražan Jerković · 87"/>
    <s v=""/>
    <s v="['20&amp;rsquor;|1:0|Milan Galić', '25&amp;rsquor;|2:0|Dražan Jerković', '61&amp;rsquor;|3:0|Milan Galić', '82&amp;rsquor;|4:0|Vojislav Melić', '87&amp;rsquor;|5:0|Dražan Jerković']"/>
    <s v=""/>
    <s v=""/>
    <s v=""/>
    <s v=""/>
    <s v=""/>
    <s v=""/>
    <s v=""/>
    <s v=""/>
    <s v=""/>
    <s v=""/>
    <s v=""/>
    <s v=""/>
    <s v=""/>
    <s v=""/>
    <s v=""/>
    <s v=""/>
    <s v=""/>
    <s v=""/>
    <s v=""/>
  </r>
  <r>
    <s v="West Germany"/>
    <s v="Chile"/>
    <n v="2"/>
    <m/>
    <m/>
    <n v="0"/>
    <m/>
    <m/>
    <s v="Sepp Herberger"/>
    <s v="Hans Schäfer"/>
    <s v="Fernando Riera"/>
    <s v="Sergio Navarro"/>
    <n v="67224"/>
    <s v="Nacional, Santiago De Chile"/>
    <s v="Bob Davidson (Referee) · Ken Aston (AR1) · Leo Horn (AR2)"/>
    <x v="5"/>
    <x v="319"/>
    <s v="2–0"/>
    <s v="Bob Davidson"/>
    <s v=""/>
    <x v="13"/>
    <x v="15"/>
    <s v="Uwe Seeler · 82"/>
    <s v=""/>
    <s v="['82&amp;rsquor;|2:0|Uwe Seeler']"/>
    <s v=""/>
    <s v=""/>
    <s v=""/>
    <s v="Horst Szymaniak (P) · 21"/>
    <s v=""/>
    <s v=""/>
    <s v=""/>
    <s v=""/>
    <s v=""/>
    <s v=""/>
    <s v=""/>
    <s v=""/>
    <s v=""/>
    <s v=""/>
    <s v=""/>
    <s v=""/>
    <s v=""/>
    <s v=""/>
    <s v=""/>
  </r>
  <r>
    <s v="Soviet Union"/>
    <s v="Uruguay"/>
    <n v="2"/>
    <m/>
    <m/>
    <n v="1"/>
    <m/>
    <m/>
    <s v="Gavril Kachalin"/>
    <s v="Igor Netto"/>
    <s v="Juan Carlos Corazzo"/>
    <s v="Horacio Troche"/>
    <n v="9973"/>
    <s v="Carlos Dittborn, Arica"/>
    <s v="Cesare Jonni (Referee) · Andor Dorogi (AR1) · Albert Dusch (AR2)"/>
    <x v="5"/>
    <x v="319"/>
    <s v="2–1"/>
    <s v="Cesare Jonni"/>
    <s v=""/>
    <x v="13"/>
    <x v="15"/>
    <s v="Aleksei Mamykin · 38|Valentin Kozmich Ivanov · 89"/>
    <s v="José Sasía · 54"/>
    <s v="['38&amp;rsquor;|1:0|Aleksei Mamykin', '89&amp;rsquor;|2:1|Valentin Kozmich Ivanov']"/>
    <s v="['54&amp;rsquor;|1:1|José Sasía']"/>
    <s v=""/>
    <s v=""/>
    <s v=""/>
    <s v=""/>
    <s v=""/>
    <s v=""/>
    <s v=""/>
    <s v=""/>
    <s v=""/>
    <s v=""/>
    <s v=""/>
    <s v=""/>
    <s v=""/>
    <s v=""/>
    <s v=""/>
    <s v=""/>
    <s v=""/>
    <s v=""/>
  </r>
  <r>
    <s v="Hungary"/>
    <s v="Argentina"/>
    <n v="0"/>
    <m/>
    <m/>
    <n v="0"/>
    <m/>
    <m/>
    <s v="Lajos Baroti"/>
    <s v="Gyula Grosics"/>
    <s v="Juan Carlos Lorenzo"/>
    <s v="Martín Pando"/>
    <n v="7945"/>
    <s v="Estadio El Teniente-Codelco, Rancagua"/>
    <s v="Arturo Yamasaki Maldonado (Referee) · Bulnes R. (AR1) · Juan Gardeazabal (AR2)"/>
    <x v="5"/>
    <x v="319"/>
    <s v="0–0"/>
    <s v="Arturo Yamasaki Maldonado"/>
    <s v=""/>
    <x v="13"/>
    <x v="15"/>
    <s v=""/>
    <s v=""/>
    <s v=""/>
    <s v=""/>
    <s v=""/>
    <s v=""/>
    <s v=""/>
    <s v=""/>
    <s v=""/>
    <s v=""/>
    <s v=""/>
    <s v=""/>
    <s v=""/>
    <s v=""/>
    <s v=""/>
    <s v=""/>
    <s v=""/>
    <s v=""/>
    <s v=""/>
    <s v=""/>
    <s v=""/>
    <s v=""/>
  </r>
  <r>
    <s v="Brazil"/>
    <s v="Spain"/>
    <n v="2"/>
    <m/>
    <m/>
    <n v="1"/>
    <m/>
    <m/>
    <s v="Aymore Moreira"/>
    <s v="Mauro Ramos"/>
    <s v="Helenio Herrera"/>
    <s v="Enrique Collar"/>
    <n v="18715"/>
    <s v="Estadio Sausalito, Vina Del Mar"/>
    <s v="Sergio Bustamante (Referee) · Esteban Marino (AR1) · Jose Antonio Sundheim (AR2)"/>
    <x v="5"/>
    <x v="319"/>
    <s v="2–1"/>
    <s v="Sergio Bustamante"/>
    <s v=""/>
    <x v="13"/>
    <x v="15"/>
    <s v="Amarildo Tavares da Silveira · 72|Amarildo Tavares da Silveira · 86"/>
    <s v="Adelardo Rodríguez · 35"/>
    <s v="['72&amp;rsquor;|1:1|Amarildo Tavares da Silveira', '86&amp;rsquor;|2:1|Amarildo Tavares da Silveira']"/>
    <s v="['35&amp;rsquor;|0:1|Adelardo Rodríguez']"/>
    <s v=""/>
    <s v=""/>
    <s v=""/>
    <s v=""/>
    <s v=""/>
    <s v=""/>
    <s v=""/>
    <s v=""/>
    <s v=""/>
    <s v=""/>
    <s v=""/>
    <s v=""/>
    <s v=""/>
    <s v=""/>
    <s v=""/>
    <s v=""/>
    <s v=""/>
    <s v=""/>
  </r>
  <r>
    <s v="Spain"/>
    <s v="Mexico"/>
    <n v="1"/>
    <m/>
    <m/>
    <n v="0"/>
    <m/>
    <m/>
    <s v="Helenio Herrera"/>
    <s v="Francisco Gento"/>
    <s v="Ignacio Trellez"/>
    <s v="Antonio Carbajal"/>
    <n v="11875"/>
    <s v="Estadio Sausalito, Vina Del Mar"/>
    <s v="Branko Tesanic (Referee) · Claudio Vicuna (AR1) · Walter Jose Van Rosberg (AR2)"/>
    <x v="5"/>
    <x v="320"/>
    <s v="1–0"/>
    <s v="Branko Tesanic"/>
    <s v=""/>
    <x v="13"/>
    <x v="15"/>
    <s v="Joaquín Peiró · 90"/>
    <s v=""/>
    <s v="['90&amp;rsquor;|1:0|Joaquín Peiró']"/>
    <s v=""/>
    <s v=""/>
    <s v=""/>
    <s v=""/>
    <s v=""/>
    <s v=""/>
    <s v=""/>
    <s v=""/>
    <s v=""/>
    <s v=""/>
    <s v=""/>
    <s v=""/>
    <s v=""/>
    <s v=""/>
    <s v=""/>
    <s v=""/>
    <s v=""/>
    <s v=""/>
    <s v=""/>
  </r>
  <r>
    <s v="Soviet Union"/>
    <s v="Colombia"/>
    <n v="4"/>
    <m/>
    <m/>
    <n v="4"/>
    <m/>
    <m/>
    <s v="Gavril Kachalin"/>
    <s v="Igor Netto"/>
    <s v="Adolfo Pedernera"/>
    <s v="Efraín Sánchez"/>
    <n v="8040"/>
    <s v="Carlos Dittborn, Arica"/>
    <s v="Joao Etzel Filho (Referee) · Andor Dorogi (AR1) · Carlos Robles (AR2)"/>
    <x v="5"/>
    <x v="320"/>
    <s v="4–4"/>
    <s v="Joao Etzel Filho"/>
    <s v=""/>
    <x v="13"/>
    <x v="15"/>
    <s v="Valentin Kozmich Ivanov · 8|Igor Chislenko · 10|Valentin Kozmich Ivanov · 11|Viktor Ponedelnik · 56"/>
    <s v="Germán Aceros · 21|Marcos Coll · 68|Antonio Rada · 72|Marino Klinger · 76"/>
    <s v="['8&amp;rsquor;|1:0|Valentin Kozmich Ivanov', '10&amp;rsquor;|2:0|Igor Chislenko', '11&amp;rsquor;|3:0|Valentin Kozmich Ivanov', '56&amp;rsquor;|4:1|Viktor Ponedelnik']"/>
    <s v="['21&amp;rsquor;|3:1|Germán Aceros', '68&amp;rsquor;|4:2|Marcos Coll', '72&amp;rsquor;|4:3|Antonio Rada', '76&amp;rsquor;|4:4|Marino Klinger']"/>
    <s v=""/>
    <s v=""/>
    <s v=""/>
    <s v=""/>
    <s v=""/>
    <s v=""/>
    <s v=""/>
    <s v=""/>
    <s v=""/>
    <s v=""/>
    <s v=""/>
    <s v=""/>
    <s v=""/>
    <s v=""/>
    <s v=""/>
    <s v=""/>
    <s v=""/>
    <s v=""/>
  </r>
  <r>
    <s v="Hungary"/>
    <s v="Bulgaria"/>
    <n v="6"/>
    <m/>
    <m/>
    <n v="1"/>
    <m/>
    <m/>
    <s v="Lajos Baroti"/>
    <s v="László Sárosi"/>
    <s v="Georgi Pachedzhiev"/>
    <s v="Kiril Rakarov"/>
    <n v="7442"/>
    <s v="Estadio El Teniente-Codelco, Rancagua"/>
    <s v="Juan Gardeazabal (Referee) · Bob Davidson (AR1) · Luis Silva (AR2)"/>
    <x v="5"/>
    <x v="320"/>
    <s v="6–1"/>
    <s v="Juan Gardeazabal"/>
    <s v=""/>
    <x v="13"/>
    <x v="15"/>
    <s v="Flórián Albert · 1|Flórián Albert · 6|Lajos Tichy · 8|Ernő Solymosi · 12|Flórián Albert · 53|Lajos Tichy · 70"/>
    <s v="Georgi Sokolov · 64"/>
    <s v="['1&amp;rsquor;|1:0|Flórián Albert', '6&amp;rsquor;|2:0|Flórián Albert', '8&amp;rsquor;|3:0|Lajos Tichy', '12&amp;rsquor;|4:0|Ernő Solymosi', '53&amp;rsquor;|5:0|Flórián Albert', '70&amp;rsquor;|6:1|Lajos Tichy']"/>
    <s v="['64&amp;rsquor;|5:1|Georgi Sokolov']"/>
    <s v=""/>
    <s v=""/>
    <s v=""/>
    <s v=""/>
    <s v=""/>
    <s v=""/>
    <s v=""/>
    <s v=""/>
    <s v=""/>
    <s v=""/>
    <s v=""/>
    <s v=""/>
    <s v=""/>
    <s v=""/>
    <s v=""/>
    <s v=""/>
    <s v=""/>
    <s v=""/>
  </r>
  <r>
    <s v="West Germany"/>
    <s v="Switzerland"/>
    <n v="2"/>
    <m/>
    <m/>
    <n v="1"/>
    <m/>
    <m/>
    <s v="Sepp Herberger"/>
    <s v="Hans Schäfer"/>
    <s v="Karl Rappan"/>
    <s v="Charles Antenen"/>
    <n v="64922"/>
    <s v="Nacional, Santiago De Chile"/>
    <s v="Leo Horn (Referee) · Nikolaj Latychev (AR1) · Luis Antonio Ventre (AR2)"/>
    <x v="5"/>
    <x v="320"/>
    <s v="2–1"/>
    <s v="Leo Horn"/>
    <s v=""/>
    <x v="13"/>
    <x v="15"/>
    <s v="Albert Brülls · 45|Uwe Seeler · 59"/>
    <s v="Heinz Schneiter · 73"/>
    <s v="['45&amp;rsquor;|1:0|Albert Brülls', '59&amp;rsquor;|2:0|Uwe Seeler']"/>
    <s v="['73&amp;rsquor;|2:1|Heinz Schneiter']"/>
    <s v=""/>
    <s v=""/>
    <s v=""/>
    <s v=""/>
    <s v=""/>
    <s v=""/>
    <s v=""/>
    <s v=""/>
    <s v=""/>
    <s v=""/>
    <s v=""/>
    <s v=""/>
    <s v=""/>
    <s v=""/>
    <s v=""/>
    <s v=""/>
    <s v=""/>
    <s v=""/>
  </r>
  <r>
    <s v="Chile"/>
    <s v="Italy"/>
    <n v="2"/>
    <m/>
    <m/>
    <n v="0"/>
    <m/>
    <m/>
    <s v="Fernando Riera"/>
    <s v="Sergio Navarro"/>
    <s v="Paolo Mazza"/>
    <s v="Bruno Mora"/>
    <n v="66057"/>
    <s v="Nacional, Santiago De Chile"/>
    <s v="Ken Aston (Referee) · Leo Goldstein (AR1) · Fernando Buergo (AR2)"/>
    <x v="5"/>
    <x v="321"/>
    <s v="2–0"/>
    <s v="Ken Aston"/>
    <s v=""/>
    <x v="13"/>
    <x v="15"/>
    <s v="Jaime Ramírez · 73|Jorge Toro · 87"/>
    <s v=""/>
    <s v="['73&amp;rsquor;|1:0|Jaime Ramírez', '87&amp;rsquor;|2:0|Jorge Toro']"/>
    <s v=""/>
    <s v=""/>
    <s v=""/>
    <s v=""/>
    <s v=""/>
    <s v=""/>
    <s v=""/>
    <s v=""/>
    <s v=""/>
    <s v=""/>
    <s v=""/>
    <s v=""/>
    <s v="Giorgio Ferrini · 8|Mario David · 41"/>
    <s v=""/>
    <s v=""/>
    <s v=""/>
    <s v=""/>
    <s v=""/>
    <s v=""/>
  </r>
  <r>
    <s v="Brazil"/>
    <s v="Czechoslovakia"/>
    <n v="0"/>
    <m/>
    <m/>
    <n v="0"/>
    <m/>
    <m/>
    <s v="Aymore Moreira"/>
    <s v="Mauro Ramos"/>
    <s v="Rudolf Vytlacil"/>
    <s v="Ladislav Novák"/>
    <n v="14903"/>
    <s v="Estadio Sausalito, Vina Del Mar"/>
    <s v="Pierre Schwinte (Referee) · Artur Massaro (AR1) · Gottfried Dienst (AR2)"/>
    <x v="5"/>
    <x v="321"/>
    <s v="0–0"/>
    <s v="Pierre Schwinte"/>
    <s v=""/>
    <x v="13"/>
    <x v="15"/>
    <s v=""/>
    <s v=""/>
    <s v=""/>
    <s v=""/>
    <s v=""/>
    <s v=""/>
    <s v=""/>
    <s v=""/>
    <s v=""/>
    <s v=""/>
    <s v=""/>
    <s v=""/>
    <s v=""/>
    <s v=""/>
    <s v=""/>
    <s v=""/>
    <s v=""/>
    <s v=""/>
    <s v=""/>
    <s v=""/>
    <s v=""/>
    <s v=""/>
  </r>
  <r>
    <s v="England"/>
    <s v="Argentina"/>
    <n v="3"/>
    <m/>
    <m/>
    <n v="1"/>
    <m/>
    <m/>
    <s v="Walter Winterbottom"/>
    <s v="Johnny Haynes"/>
    <s v="Juan Carlos Lorenzo"/>
    <s v="Rubén Marino Navarro"/>
    <n v="9794"/>
    <s v="Estadio El Teniente-Codelco, Rancagua"/>
    <s v="Nikolaj Latychev (Referee) · Adolfe Molina Reginato (AR1) · Raymond Morgan (AR2)"/>
    <x v="5"/>
    <x v="321"/>
    <s v="3–1"/>
    <s v="Nikolaj Latychev"/>
    <s v=""/>
    <x v="13"/>
    <x v="15"/>
    <s v="Bobby Charlton · 42|Jimmy Greaves · 67"/>
    <s v="José Sanfilippo · 81"/>
    <s v="['42&amp;rsquor;|2:0|Bobby Charlton', '67&amp;rsquor;|3:0|Jimmy Greaves']"/>
    <s v="['81&amp;rsquor;|3:1|José Sanfilippo']"/>
    <s v=""/>
    <s v=""/>
    <s v="Ron Flowers (P) · 17"/>
    <s v=""/>
    <s v=""/>
    <s v=""/>
    <s v=""/>
    <s v=""/>
    <s v=""/>
    <s v=""/>
    <s v=""/>
    <s v=""/>
    <s v=""/>
    <s v=""/>
    <s v=""/>
    <s v=""/>
    <s v=""/>
    <s v=""/>
  </r>
  <r>
    <s v="Yugoslavia"/>
    <s v="Uruguay"/>
    <n v="3"/>
    <m/>
    <m/>
    <n v="1"/>
    <m/>
    <m/>
    <s v="Ljubomir Lovric"/>
    <s v="Milan Galić"/>
    <s v="Juan Carlos Corazzo"/>
    <s v="Horacio Troche"/>
    <n v="8829"/>
    <s v="Carlos Dittborn, Arica"/>
    <s v="Karol Galba (Referee) · Albert Dusch (AR1) · Cesare Jonni (AR2)"/>
    <x v="5"/>
    <x v="321"/>
    <s v="3–1"/>
    <s v="Karol Galba"/>
    <s v=""/>
    <x v="13"/>
    <x v="15"/>
    <s v="Milan Galić · 29|Dražan Jerković · 49"/>
    <s v="Ángel Cabrera · 19"/>
    <s v="['29&amp;rsquor;|2:1|Milan Galić', '49&amp;rsquor;|3:1|Dražan Jerković']"/>
    <s v="['19&amp;rsquor;|0:1|Ángel Cabrera']"/>
    <s v=""/>
    <s v=""/>
    <s v="Josip Skoblar (P) · 25"/>
    <s v=""/>
    <s v=""/>
    <s v=""/>
    <s v=""/>
    <s v=""/>
    <s v=""/>
    <s v=""/>
    <s v="Vladica Popović · 71"/>
    <s v="Ángel Cabrera · 71"/>
    <s v=""/>
    <s v=""/>
    <s v=""/>
    <s v=""/>
    <s v=""/>
    <s v=""/>
  </r>
  <r>
    <s v="West Germany"/>
    <s v="Italy"/>
    <n v="0"/>
    <m/>
    <m/>
    <n v="0"/>
    <m/>
    <m/>
    <s v="Sepp Herberger"/>
    <s v="Hans Schäfer"/>
    <s v="Paolo Mazza"/>
    <s v="Lorenzo Buffon"/>
    <n v="65440"/>
    <s v="Nacional, Santiago De Chile"/>
    <s v="Bob Davidson (Referee) · Raymond Morgan (AR1) · Luis Antonio Ventre (AR2)"/>
    <x v="5"/>
    <x v="322"/>
    <s v="0–0"/>
    <s v="Bob Davidson"/>
    <s v=""/>
    <x v="13"/>
    <x v="15"/>
    <s v=""/>
    <s v=""/>
    <s v=""/>
    <s v=""/>
    <s v=""/>
    <s v=""/>
    <s v=""/>
    <s v=""/>
    <s v=""/>
    <s v=""/>
    <s v=""/>
    <s v=""/>
    <s v=""/>
    <s v=""/>
    <s v=""/>
    <s v=""/>
    <s v=""/>
    <s v=""/>
    <s v=""/>
    <s v=""/>
    <s v=""/>
    <s v=""/>
  </r>
  <r>
    <s v="Hungary"/>
    <s v="England"/>
    <n v="2"/>
    <m/>
    <m/>
    <n v="1"/>
    <m/>
    <m/>
    <s v="Lajos Baroti"/>
    <s v="Gyula Grosics"/>
    <s v="Walter Winterbottom"/>
    <s v="Johnny Haynes"/>
    <n v="7938"/>
    <s v="Estadio El Teniente-Codelco, Rancagua"/>
    <s v="Leo Horn (Referee) · Arthur Blavier (AR1) · Leo Goldstein (AR2)"/>
    <x v="5"/>
    <x v="322"/>
    <s v="2–1"/>
    <s v="Leo Horn"/>
    <s v=""/>
    <x v="13"/>
    <x v="15"/>
    <s v="Lajos Tichy · 17|Flórián Albert · 71"/>
    <s v=""/>
    <s v="['17&amp;rsquor;|1:0|Lajos Tichy', '71&amp;rsquor;|2:1|Flórián Albert']"/>
    <s v=""/>
    <s v=""/>
    <s v=""/>
    <s v=""/>
    <s v="Ron Flowers (P) · 60"/>
    <s v=""/>
    <s v=""/>
    <s v=""/>
    <s v=""/>
    <s v=""/>
    <s v=""/>
    <s v=""/>
    <s v=""/>
    <s v=""/>
    <s v=""/>
    <s v=""/>
    <s v=""/>
    <s v=""/>
    <s v=""/>
  </r>
  <r>
    <s v="Czechoslovakia"/>
    <s v="Spain"/>
    <n v="1"/>
    <m/>
    <m/>
    <n v="0"/>
    <m/>
    <m/>
    <s v="Rudolf Vytlacil"/>
    <s v="Ladislav Novák"/>
    <s v="Helenio Herrera"/>
    <s v="Joan Segarra"/>
    <n v="12700"/>
    <s v="Estadio Sausalito, Vina Del Mar"/>
    <s v="Carl Steiner (Referee) · Esteban Marino (AR1) · Walter Jose Van Rosberg (AR2)"/>
    <x v="5"/>
    <x v="322"/>
    <s v="1–0"/>
    <s v="Carl Steiner"/>
    <s v=""/>
    <x v="13"/>
    <x v="15"/>
    <s v="Jozef Štibrányi · 80"/>
    <s v=""/>
    <s v="['80&amp;rsquor;|1:0|Jozef Štibrányi']"/>
    <s v=""/>
    <s v=""/>
    <s v=""/>
    <s v=""/>
    <s v=""/>
    <s v=""/>
    <s v=""/>
    <s v=""/>
    <s v=""/>
    <s v=""/>
    <s v=""/>
    <s v=""/>
    <s v=""/>
    <s v=""/>
    <s v=""/>
    <s v=""/>
    <s v=""/>
    <s v=""/>
    <s v=""/>
  </r>
  <r>
    <s v="Soviet Union"/>
    <s v="Yugoslavia"/>
    <n v="2"/>
    <m/>
    <m/>
    <n v="0"/>
    <m/>
    <m/>
    <s v="Gavril Kachalin"/>
    <s v="Igor Netto"/>
    <s v="Ljubomir Lovric"/>
    <s v="Milan Galić"/>
    <n v="9622"/>
    <s v="Carlos Dittborn, Arica"/>
    <s v="Albert Dusch (Referee) · Joao Etzel Filho (AR1) · Carlos Robles (AR2)"/>
    <x v="5"/>
    <x v="322"/>
    <s v="2–0"/>
    <s v="Albert Dusch"/>
    <s v=""/>
    <x v="13"/>
    <x v="15"/>
    <s v="Valentin Kozmich Ivanov · 51|Viktor Ponedelnik · 83"/>
    <s v=""/>
    <s v="['51&amp;rsquor;|1:0|Valentin Kozmich Ivanov', '83&amp;rsquor;|2:0|Viktor Ponedelnik']"/>
    <s v=""/>
    <s v=""/>
    <s v=""/>
    <s v=""/>
    <s v=""/>
    <s v=""/>
    <s v=""/>
    <s v=""/>
    <s v=""/>
    <s v=""/>
    <s v=""/>
    <s v=""/>
    <s v=""/>
    <s v=""/>
    <s v=""/>
    <s v=""/>
    <s v=""/>
    <s v=""/>
    <s v=""/>
  </r>
  <r>
    <s v="Chile"/>
    <s v="Switzerland"/>
    <n v="3"/>
    <m/>
    <m/>
    <n v="1"/>
    <m/>
    <m/>
    <s v="Fernando Riera"/>
    <s v="Sergio Navarro"/>
    <s v="Karl Rappan"/>
    <s v="Charles Antenen"/>
    <n v="65006"/>
    <s v="Nacional, Santiago De Chile"/>
    <s v="Ken Aston (Referee) · Arthur Blavier (AR1) · Arturo Yamasaki Maldonado (AR2)"/>
    <x v="5"/>
    <x v="323"/>
    <s v="3–1"/>
    <s v="Ken Aston"/>
    <s v=""/>
    <x v="13"/>
    <x v="15"/>
    <s v="Leonel Sánchez · 44|Jaime Ramírez · 51|Leonel Sánchez · 55"/>
    <s v="Rolf Wüthrich · 6"/>
    <s v="['44&amp;rsquor;|1:1|Leonel Sánchez', '51&amp;rsquor;|2:1|Jaime Ramírez', '55&amp;rsquor;|3:1|Leonel Sánchez']"/>
    <s v="['6&amp;rsquor;|0:1|Rolf Wüthrich']"/>
    <s v=""/>
    <s v=""/>
    <s v=""/>
    <s v=""/>
    <s v=""/>
    <s v=""/>
    <s v=""/>
    <s v=""/>
    <s v=""/>
    <s v=""/>
    <s v=""/>
    <s v=""/>
    <s v=""/>
    <s v=""/>
    <s v=""/>
    <s v=""/>
    <s v=""/>
    <s v=""/>
  </r>
  <r>
    <s v="Uruguay"/>
    <s v="Colombia"/>
    <n v="2"/>
    <m/>
    <m/>
    <n v="1"/>
    <m/>
    <m/>
    <s v="Juan Carlos Corazzo"/>
    <s v="Horacio Troche"/>
    <s v="Adolfo Pedernera"/>
    <s v="Francisco Zuluaga"/>
    <n v="7908"/>
    <s v="Carlos Dittborn, Arica"/>
    <s v="Andor Dorogi (Referee) · Joao Etzel Filho (AR1) · Karol Galba (AR2)"/>
    <x v="5"/>
    <x v="323"/>
    <s v="2–1"/>
    <s v="Andor Dorogi"/>
    <s v=""/>
    <x v="13"/>
    <x v="15"/>
    <s v="Luis Cubilla · 56|José Sasía · 75"/>
    <s v=""/>
    <s v="['56&amp;rsquor;|1:1|Luis Cubilla', '75&amp;rsquor;|2:1|José Sasía']"/>
    <s v=""/>
    <s v=""/>
    <s v=""/>
    <s v=""/>
    <s v="Francisco Zuluaga (P) · 19"/>
    <s v=""/>
    <s v=""/>
    <s v=""/>
    <s v=""/>
    <s v=""/>
    <s v=""/>
    <s v=""/>
    <s v=""/>
    <s v=""/>
    <s v=""/>
    <s v=""/>
    <s v=""/>
    <s v=""/>
    <s v=""/>
  </r>
  <r>
    <s v="Brazil"/>
    <s v="Mexico"/>
    <n v="2"/>
    <m/>
    <m/>
    <n v="0"/>
    <m/>
    <m/>
    <s v="Aymore Moreira"/>
    <s v="Mauro Ramos"/>
    <s v="Ignacio Trellez"/>
    <s v="Antonio Carbajal"/>
    <n v="10484"/>
    <s v="Estadio Sausalito, Vina Del Mar"/>
    <s v="Gottfried Dienst (Referee) · Carl Steiner (AR1) · Pierre Schwinte (AR2)"/>
    <x v="5"/>
    <x v="323"/>
    <s v="2–0"/>
    <s v="Gottfried Dienst"/>
    <s v=""/>
    <x v="13"/>
    <x v="15"/>
    <s v="Mário Zagallo · 56|Pelé · 73"/>
    <s v=""/>
    <s v="['56&amp;rsquor;|1:0|Mário Zagallo', '73&amp;rsquor;|2:0|Pelé']"/>
    <s v=""/>
    <s v=""/>
    <s v=""/>
    <s v=""/>
    <s v=""/>
    <s v=""/>
    <s v=""/>
    <s v=""/>
    <s v=""/>
    <s v=""/>
    <s v=""/>
    <s v=""/>
    <s v=""/>
    <s v=""/>
    <s v=""/>
    <s v=""/>
    <s v=""/>
    <s v=""/>
    <s v=""/>
  </r>
  <r>
    <s v="Argentina"/>
    <s v="Bulgaria"/>
    <n v="1"/>
    <m/>
    <m/>
    <n v="0"/>
    <m/>
    <m/>
    <s v="Juan Carlos Lorenzo"/>
    <s v="Rubén Marino Navarro"/>
    <s v="Georgi Pachedzhiev"/>
    <s v="Kiril Rakarov"/>
    <n v="7134"/>
    <s v="Estadio El Teniente-Codelco, Rancagua"/>
    <s v="Juan Gardeazabal (Referee) · Fernando Buergo (AR1) · Raymond Morgan (AR2)"/>
    <x v="5"/>
    <x v="323"/>
    <s v="1–0"/>
    <s v="Juan Gardeazabal"/>
    <s v=""/>
    <x v="13"/>
    <x v="15"/>
    <s v="Héctor Facundo · 4"/>
    <s v=""/>
    <s v="['4&amp;rsquor;|1:0|Héctor Facundo']"/>
    <s v=""/>
    <s v=""/>
    <s v=""/>
    <s v=""/>
    <s v=""/>
    <s v=""/>
    <s v=""/>
    <s v=""/>
    <s v=""/>
    <s v=""/>
    <s v=""/>
    <s v=""/>
    <s v=""/>
    <s v=""/>
    <s v=""/>
    <s v="['1&amp;rsquor;|0:0|Rubén Marino Navarro']"/>
    <s v=""/>
    <s v=""/>
    <s v=""/>
  </r>
  <r>
    <s v="Brazil"/>
    <s v="Sweden"/>
    <n v="5"/>
    <m/>
    <m/>
    <n v="2"/>
    <m/>
    <m/>
    <s v="Vicente Feola"/>
    <s v="Hilderaldo Bellini"/>
    <s v="George Raynor"/>
    <s v="Nils Liedholm"/>
    <n v="49737"/>
    <s v="Rasunda Stadium, Solna"/>
    <s v="Maurice Guigue (Referee) · Albert Dusch (AR1) · Juan Gardeazabal (AR2)"/>
    <x v="0"/>
    <x v="324"/>
    <s v="5–2"/>
    <s v="Maurice Guigue"/>
    <s v=""/>
    <x v="14"/>
    <x v="16"/>
    <s v="Vavá · 9|Vavá · 32|Pelé · 55|Mário Zagallo · 68|Pelé · 90"/>
    <s v="Nils Liedholm · 4|Agne Simonsson · 80"/>
    <s v="['9&amp;rsquor;|1:1|Vavá', '32&amp;rsquor;|2:1|Vavá', '55&amp;rsquor;|3:1|Pelé', '68&amp;rsquor;|4:1|Mário Zagallo', '90&amp;rsquor;|5:2|Pelé']"/>
    <s v="['4&amp;rsquor;|0:1|Nils Liedholm', '80&amp;rsquor;|4:2|Agne Simonsson']"/>
    <s v=""/>
    <s v=""/>
    <s v=""/>
    <s v=""/>
    <s v=""/>
    <s v=""/>
    <s v=""/>
    <s v=""/>
    <s v=""/>
    <s v=""/>
    <s v=""/>
    <s v=""/>
    <s v=""/>
    <s v=""/>
    <s v=""/>
    <s v=""/>
    <s v=""/>
    <s v=""/>
  </r>
  <r>
    <s v="France"/>
    <s v="West Germany"/>
    <n v="6"/>
    <m/>
    <m/>
    <n v="3"/>
    <m/>
    <m/>
    <s v="Albert Batteaux"/>
    <s v="Armand Penverne"/>
    <s v="Sepp Herberger"/>
    <s v="Hans Schäfer"/>
    <n v="32483"/>
    <s v="Nya Ullevi, Gothenburg"/>
    <s v="Juan Brozzi (Referee) · Arthur Ellis (AR1) · Bengt Lundell (AR2)"/>
    <x v="1"/>
    <x v="325"/>
    <s v="6–3"/>
    <s v="Juan Brozzi"/>
    <s v=""/>
    <x v="14"/>
    <x v="16"/>
    <s v="Just Fontaine · 16|Just Fontaine · 36|Yvon Douis · 50|Just Fontaine · 78|Just Fontaine · 89"/>
    <s v="Hans Cieslarczyk · 18|Helmut Rahn · 52|Hans Schäfer · 84"/>
    <s v="['16&amp;rsquor;|1:0|Just Fontaine', '36&amp;rsquor;|3:1|Just Fontaine', '50&amp;rsquor;|4:1|Yvon Douis', '78&amp;rsquor;|5:2|Just Fontaine', '89&amp;rsquor;|6:3|Just Fontaine']"/>
    <s v="['18&amp;rsquor;|1:1|Hans Cieslarczyk', '52&amp;rsquor;|4:2|Helmut Rahn', '84&amp;rsquor;|5:3|Hans Schäfer']"/>
    <s v=""/>
    <s v=""/>
    <s v="Raymond Kopa (P) · 27"/>
    <s v=""/>
    <s v=""/>
    <s v=""/>
    <s v=""/>
    <s v=""/>
    <s v=""/>
    <s v=""/>
    <s v=""/>
    <s v=""/>
    <s v=""/>
    <s v=""/>
    <s v=""/>
    <s v=""/>
    <s v=""/>
    <s v=""/>
  </r>
  <r>
    <s v="Sweden"/>
    <s v="West Germany"/>
    <n v="3"/>
    <m/>
    <m/>
    <n v="1"/>
    <m/>
    <m/>
    <s v="George Raynor"/>
    <s v="Nils Liedholm"/>
    <s v="Sepp Herberger"/>
    <s v="Hans Schäfer"/>
    <n v="49471"/>
    <s v="Nya Ullevi, Gothenburg"/>
    <s v="Istvan Zsolt (Referee) · Fritz Seipelt (AR1) · Arthur Ellis (AR2)"/>
    <x v="2"/>
    <x v="326"/>
    <s v="3–1"/>
    <s v="Istvan Zsolt"/>
    <s v=""/>
    <x v="14"/>
    <x v="16"/>
    <s v="Lennart Skoglund · 32|Gunnar Gren · 81|Kurt Hamrin · 88"/>
    <s v="Hans Schäfer · 24"/>
    <s v="['32&amp;rsquor;|1:1|Lennart Skoglund', '81&amp;rsquor;|2:1|Gunnar Gren', '88&amp;rsquor;|3:1|Kurt Hamrin']"/>
    <s v="['24&amp;rsquor;|0:1|Hans Schäfer']"/>
    <s v=""/>
    <s v=""/>
    <s v=""/>
    <s v=""/>
    <s v=""/>
    <s v=""/>
    <s v=""/>
    <s v=""/>
    <s v=""/>
    <s v=""/>
    <s v=""/>
    <s v="Erich Juskowiak · 59"/>
    <s v=""/>
    <s v=""/>
    <s v=""/>
    <s v=""/>
    <s v=""/>
    <s v=""/>
  </r>
  <r>
    <s v="Brazil"/>
    <s v="France"/>
    <n v="5"/>
    <m/>
    <m/>
    <n v="2"/>
    <m/>
    <m/>
    <s v="Vicente Feola"/>
    <s v="Hilderaldo Bellini"/>
    <s v="Albert Batteaux"/>
    <s v="Robert Jonquet"/>
    <n v="27100"/>
    <s v="Rasunda Stadium, Solna"/>
    <s v="Benjamin Griffiths (Referee) · Paul Wyssling (AR1) · Reginald Leafe (AR2)"/>
    <x v="2"/>
    <x v="326"/>
    <s v="5–2"/>
    <s v="Benjamin Griffiths"/>
    <s v=""/>
    <x v="14"/>
    <x v="16"/>
    <s v="Vavá · 2|Didi · 39|Pelé · 52|Pelé · 64|Pelé · 75"/>
    <s v="Just Fontaine · 9|Roger Piantoni · 83"/>
    <s v="['2&amp;rsquor;|1:0|Vavá', '39&amp;rsquor;|2:1|Didi', '52&amp;rsquor;|3:1|Pelé', '64&amp;rsquor;|4:1|Pelé', '75&amp;rsquor;|5:1|Pelé']"/>
    <s v="['9&amp;rsquor;|1:1|Just Fontaine', '83&amp;rsquor;|5:2|Roger Piantoni']"/>
    <s v=""/>
    <s v=""/>
    <s v=""/>
    <s v=""/>
    <s v=""/>
    <s v=""/>
    <s v=""/>
    <s v=""/>
    <s v=""/>
    <s v=""/>
    <s v=""/>
    <s v=""/>
    <s v=""/>
    <s v=""/>
    <s v=""/>
    <s v=""/>
    <s v=""/>
    <s v=""/>
  </r>
  <r>
    <s v="France"/>
    <s v="Northern Ireland"/>
    <n v="4"/>
    <m/>
    <m/>
    <n v="0"/>
    <m/>
    <m/>
    <s v="Albert Batteaux"/>
    <s v="Robert Jonquet"/>
    <s v="Peter Doherty"/>
    <s v="Danny Blanchflower"/>
    <n v="11800"/>
    <s v="Idrottsparken, Norrkï¿½Ping"/>
    <s v="Juan Gardeazabal (Referee) · Nikolaj Latychev (AR1) · Bengt Andren (AR2)"/>
    <x v="3"/>
    <x v="327"/>
    <s v="4–0"/>
    <s v="Juan Gardeazabal"/>
    <s v=""/>
    <x v="14"/>
    <x v="16"/>
    <s v="Maryan Wisnieski · 44|Just Fontaine · 55|Just Fontaine · 63|Roger Piantoni · 68"/>
    <s v=""/>
    <s v="['44&amp;rsquor;|1:0|Maryan Wisnieski', '55&amp;rsquor;|2:0|Just Fontaine', '63&amp;rsquor;|3:0|Just Fontaine', '68&amp;rsquor;|4:0|Roger Piantoni']"/>
    <s v=""/>
    <s v=""/>
    <s v=""/>
    <s v=""/>
    <s v=""/>
    <s v=""/>
    <s v=""/>
    <s v=""/>
    <s v=""/>
    <s v=""/>
    <s v=""/>
    <s v=""/>
    <s v=""/>
    <s v=""/>
    <s v=""/>
    <s v=""/>
    <s v=""/>
    <s v=""/>
    <s v=""/>
  </r>
  <r>
    <s v="West Germany"/>
    <s v="Yugoslavia"/>
    <n v="1"/>
    <m/>
    <m/>
    <n v="0"/>
    <m/>
    <m/>
    <s v="Sepp Herberger"/>
    <s v="Hans Schäfer"/>
    <s v="Aleksandar Tirnanic"/>
    <s v="Branko Zebec"/>
    <n v="20055"/>
    <s v="Malmo Stadion, Malmï¿½"/>
    <s v="Paul Wyssling (Referee) · Joaquim Fernandes Campos (AR1) · Leo Helge (AR2)"/>
    <x v="3"/>
    <x v="327"/>
    <s v="1–0"/>
    <s v="Paul Wyssling"/>
    <s v=""/>
    <x v="14"/>
    <x v="16"/>
    <s v="Helmut Rahn · 12"/>
    <s v=""/>
    <s v="['12&amp;rsquor;|1:0|Helmut Rahn']"/>
    <s v=""/>
    <s v=""/>
    <s v=""/>
    <s v=""/>
    <s v=""/>
    <s v=""/>
    <s v=""/>
    <s v=""/>
    <s v=""/>
    <s v=""/>
    <s v=""/>
    <s v=""/>
    <s v=""/>
    <s v=""/>
    <s v=""/>
    <s v=""/>
    <s v=""/>
    <s v=""/>
    <s v=""/>
  </r>
  <r>
    <s v="Brazil"/>
    <s v="Wales"/>
    <n v="1"/>
    <m/>
    <m/>
    <n v="0"/>
    <m/>
    <m/>
    <s v="Vicente Feola"/>
    <s v="Hilderaldo Bellini"/>
    <s v="James Murphy"/>
    <s v="Dave Bowen"/>
    <n v="25923"/>
    <s v="Nya Ullevi, Gothenburg"/>
    <s v="Fritz Seipelt (Referee) · Maurice Guigue (AR1) · Albert Dusch (AR2)"/>
    <x v="3"/>
    <x v="327"/>
    <s v="1–0"/>
    <s v="Fritz Seipelt"/>
    <s v=""/>
    <x v="14"/>
    <x v="16"/>
    <s v="Pelé · 66"/>
    <s v=""/>
    <s v="['66&amp;rsquor;|1:0|Pelé']"/>
    <s v=""/>
    <s v=""/>
    <s v=""/>
    <s v=""/>
    <s v=""/>
    <s v=""/>
    <s v=""/>
    <s v=""/>
    <s v=""/>
    <s v=""/>
    <s v=""/>
    <s v=""/>
    <s v=""/>
    <s v=""/>
    <s v=""/>
    <s v=""/>
    <s v=""/>
    <s v=""/>
    <s v=""/>
  </r>
  <r>
    <s v="Sweden"/>
    <s v="Soviet Union"/>
    <n v="2"/>
    <m/>
    <m/>
    <n v="0"/>
    <m/>
    <m/>
    <s v="George Raynor"/>
    <s v="Nils Liedholm"/>
    <s v="Gavril Kachalin"/>
    <s v="Nikita Simonyan"/>
    <n v="31900"/>
    <s v="Rasunda Stadium, Solna"/>
    <s v="Reginald Leafe (Referee) · Juan Brozzi (AR1) · Georg Dragvoll (AR2)"/>
    <x v="3"/>
    <x v="327"/>
    <s v="2–0"/>
    <s v="Reginald Leafe"/>
    <s v=""/>
    <x v="14"/>
    <x v="16"/>
    <s v="Kurt Hamrin · 49|Agne Simonsson · 88"/>
    <s v=""/>
    <s v="['49&amp;rsquor;|1:0|Kurt Hamrin', '88&amp;rsquor;|2:0|Agne Simonsson']"/>
    <s v=""/>
    <s v=""/>
    <s v=""/>
    <s v=""/>
    <s v=""/>
    <s v=""/>
    <s v=""/>
    <s v=""/>
    <s v=""/>
    <s v=""/>
    <s v=""/>
    <s v=""/>
    <s v=""/>
    <s v=""/>
    <s v=""/>
    <s v=""/>
    <s v=""/>
    <s v=""/>
    <s v=""/>
  </r>
  <r>
    <s v="Northern Ireland"/>
    <s v="Czechoslovakia"/>
    <n v="2"/>
    <m/>
    <m/>
    <n v="1"/>
    <m/>
    <m/>
    <s v="Peter Doherty"/>
    <s v="Danny Blanchflower"/>
    <s v="Karel Kolsky"/>
    <s v="Ladislav Novák"/>
    <n v="6196"/>
    <s v="Malmo Stadion, Malmï¿½"/>
    <s v="Maurice Guigue (Referee) · Joaquim Fernandes Campos (AR1) · Sten Ahlner (AR2)"/>
    <x v="10"/>
    <x v="328"/>
    <s v="2–1"/>
    <s v="Maurice Guigue"/>
    <s v="Required Extra Time"/>
    <x v="14"/>
    <x v="16"/>
    <s v="Peter McParland · 44|Peter McParland · 99"/>
    <s v="Zdeněk Zikán · 19"/>
    <s v="['44&amp;rsquor;|1:1|Peter McParland', '99&amp;rsquor;|2:1|Peter McParland']"/>
    <s v="['19&amp;rsquor;|0:1|Zdeněk Zikán']"/>
    <s v=""/>
    <s v=""/>
    <s v=""/>
    <s v=""/>
    <s v=""/>
    <s v=""/>
    <s v=""/>
    <s v=""/>
    <s v=""/>
    <s v=""/>
    <s v=""/>
    <s v="Titus Buberník · 102"/>
    <s v=""/>
    <s v=""/>
    <s v=""/>
    <s v=""/>
    <s v=""/>
    <s v=""/>
  </r>
  <r>
    <s v="Wales"/>
    <s v="Hungary"/>
    <n v="2"/>
    <m/>
    <m/>
    <n v="1"/>
    <m/>
    <m/>
    <s v="James Murphy"/>
    <s v="Dave Bowen"/>
    <s v="Lajos Baroti"/>
    <s v="József Bozsik"/>
    <n v="2823"/>
    <s v="Rasunda Stadium, Solna"/>
    <s v="Nikolaj Latychev (Referee) · Jose Maria Codesal (AR1) · Arne Eriksson (AR2)"/>
    <x v="10"/>
    <x v="328"/>
    <s v="2–1"/>
    <s v="Nikolaj Latychev"/>
    <s v=""/>
    <x v="14"/>
    <x v="16"/>
    <s v="Ivor Allchurch · 55|Terry Medwin · 76"/>
    <s v="Lajos Tichy · 33"/>
    <s v="['55&amp;rsquor;|1:1|Ivor Allchurch', '76&amp;rsquor;|2:1|Terry Medwin']"/>
    <s v="['33&amp;rsquor;|0:1|Lajos Tichy']"/>
    <s v=""/>
    <s v=""/>
    <s v=""/>
    <s v=""/>
    <s v=""/>
    <s v=""/>
    <s v=""/>
    <s v=""/>
    <s v=""/>
    <s v=""/>
    <s v=""/>
    <s v="Ferenc Sipos · 79"/>
    <s v=""/>
    <s v=""/>
    <s v=""/>
    <s v=""/>
    <s v=""/>
    <s v=""/>
  </r>
  <r>
    <s v="Soviet Union"/>
    <s v="England"/>
    <n v="1"/>
    <m/>
    <m/>
    <n v="0"/>
    <m/>
    <m/>
    <s v="Gavril Kachalin"/>
    <s v="Nikita Simonyan"/>
    <s v="Walter Winterbottom"/>
    <s v="Billy Wright"/>
    <n v="23182"/>
    <s v="Nya Ullevi, Gothenburg"/>
    <s v="Albert Dusch (Referee) · Jan Bronkhorst (AR1) · Fritz Seipelt (AR2)"/>
    <x v="10"/>
    <x v="328"/>
    <s v="1–0"/>
    <s v="Albert Dusch"/>
    <s v=""/>
    <x v="14"/>
    <x v="16"/>
    <s v="Anatoli Ilyin · 68"/>
    <s v=""/>
    <s v="['68&amp;rsquor;|1:0|Anatoli Ilyin']"/>
    <s v=""/>
    <s v=""/>
    <s v=""/>
    <s v=""/>
    <s v=""/>
    <s v=""/>
    <s v=""/>
    <s v=""/>
    <s v=""/>
    <s v=""/>
    <s v=""/>
    <s v=""/>
    <s v=""/>
    <s v=""/>
    <s v=""/>
    <s v=""/>
    <s v=""/>
    <s v=""/>
    <s v=""/>
  </r>
  <r>
    <s v="Sweden"/>
    <s v="Wales"/>
    <n v="0"/>
    <m/>
    <m/>
    <n v="0"/>
    <m/>
    <m/>
    <s v="George Raynor"/>
    <s v="Bengt Gustavsson"/>
    <s v="James Murphy"/>
    <s v="Dave Bowen"/>
    <n v="30287"/>
    <s v="Rasunda Stadium, Solna"/>
    <s v="Lucien Van Nuffel (Referee) · Leo Lemesic (AR1) · Nikolaj Latychev (AR2)"/>
    <x v="5"/>
    <x v="329"/>
    <s v="0–0"/>
    <s v="Lucien Van Nuffel"/>
    <s v=""/>
    <x v="14"/>
    <x v="16"/>
    <s v=""/>
    <s v=""/>
    <s v=""/>
    <s v=""/>
    <s v=""/>
    <s v=""/>
    <s v=""/>
    <s v=""/>
    <s v=""/>
    <s v=""/>
    <s v=""/>
    <s v=""/>
    <s v=""/>
    <s v=""/>
    <s v=""/>
    <s v=""/>
    <s v=""/>
    <s v=""/>
    <s v=""/>
    <s v=""/>
    <s v=""/>
    <s v=""/>
  </r>
  <r>
    <s v="Paraguay"/>
    <s v="Yugoslavia"/>
    <n v="3"/>
    <m/>
    <m/>
    <n v="3"/>
    <m/>
    <m/>
    <s v="Aurelio Gonzalez"/>
    <s v="Juan Bautista Agüero"/>
    <s v="Aleksandar Tirnanic"/>
    <s v="Branko Zebec"/>
    <n v="13103"/>
    <s v="Tunavallen, Eskilstuna"/>
    <s v="Martin Macko (Referee) · Benjamin Griffiths (AR1) · Juan Gardeazabal (AR2)"/>
    <x v="5"/>
    <x v="329"/>
    <s v="3–3"/>
    <s v="Martin Macko"/>
    <s v=""/>
    <x v="14"/>
    <x v="16"/>
    <s v="José Parodi · 20|Juan Bautista Agüero · 49|Jorge Lino Romero · 80"/>
    <s v="Radivoje Ognjanović · 12|Todor Veselinović · 29|Zdravko Rajkov · 73"/>
    <s v="['20&amp;rsquor;|1:1|José Parodi', '49&amp;rsquor;|2:2|Juan Bautista Agüero', '80&amp;rsquor;|3:3|Jorge Lino Romero']"/>
    <s v="['12&amp;rsquor;|0:1|Radivoje Ognjanović', '29&amp;rsquor;|1:2|Todor Veselinović', '73&amp;rsquor;|2:3|Zdravko Rajkov']"/>
    <s v=""/>
    <s v=""/>
    <s v=""/>
    <s v=""/>
    <s v=""/>
    <s v=""/>
    <s v=""/>
    <s v=""/>
    <s v=""/>
    <s v=""/>
    <s v=""/>
    <s v=""/>
    <s v=""/>
    <s v=""/>
    <s v=""/>
    <s v=""/>
    <s v=""/>
    <s v=""/>
  </r>
  <r>
    <s v="West Germany"/>
    <s v="Northern Ireland"/>
    <n v="2"/>
    <m/>
    <m/>
    <n v="2"/>
    <m/>
    <m/>
    <s v="Sepp Herberger"/>
    <s v="Hans Schäfer"/>
    <s v="Peter Doherty"/>
    <s v="Danny Blanchflower"/>
    <n v="21990"/>
    <s v="Malmo Stadion, Malmï¿½"/>
    <s v="Joaquim Fernandes Campos (Referee) · Sten Ahlner (AR1) · Leo Helge (AR2)"/>
    <x v="5"/>
    <x v="329"/>
    <s v="2–2"/>
    <s v="Joaquim Fernandes Campos"/>
    <s v=""/>
    <x v="14"/>
    <x v="16"/>
    <s v="Helmut Rahn · 20|Uwe Seeler · 79"/>
    <s v="Peter McParland · 19|Peter McParland · 60"/>
    <s v="['20&amp;rsquor;|1:1|Helmut Rahn', '79&amp;rsquor;|2:2|Uwe Seeler']"/>
    <s v="['19&amp;rsquor;|0:1|Peter McParland', '60&amp;rsquor;|1:2|Peter McParland']"/>
    <s v=""/>
    <s v=""/>
    <s v=""/>
    <s v=""/>
    <s v=""/>
    <s v=""/>
    <s v=""/>
    <s v=""/>
    <s v=""/>
    <s v=""/>
    <s v=""/>
    <s v=""/>
    <s v=""/>
    <s v=""/>
    <s v=""/>
    <s v=""/>
    <s v=""/>
    <s v=""/>
  </r>
  <r>
    <s v="Czechoslovakia"/>
    <s v="Argentina"/>
    <n v="6"/>
    <m/>
    <m/>
    <n v="1"/>
    <m/>
    <m/>
    <s v="Karel Kolsky"/>
    <s v="Ladislav Novák"/>
    <s v="Guillermo Stabile"/>
    <s v="Pedro Dellacha"/>
    <n v="16418"/>
    <s v="Olympia Stadium, Helsingborg"/>
    <s v="Arthur Ellis (Referee) · Reginald Leafe (AR1) · Fritz Seipelt (AR2)"/>
    <x v="5"/>
    <x v="329"/>
    <s v="6–1"/>
    <s v="Arthur Ellis"/>
    <s v=""/>
    <x v="14"/>
    <x v="16"/>
    <s v="Milan Dvořák · 8|Zdeněk Zikán · 17|Zdeněk Zikán · 40|Jiří Feureisl · 69|Václav Hovorka · 82|Václav Hovorka · 89"/>
    <s v=""/>
    <s v="['8&amp;rsquor;|1:0|Milan Dvořák', '17&amp;rsquor;|2:0|Zdeněk Zikán', '40&amp;rsquor;|3:0|Zdeněk Zikán', '69&amp;rsquor;|4:1|Jiří Feureisl', '82&amp;rsquor;|5:1|Václav Hovorka', '89&amp;rsquor;|6:1|Václav Hovorka']"/>
    <s v=""/>
    <s v=""/>
    <s v=""/>
    <s v=""/>
    <s v="Oreste Corbatta (P) · 65"/>
    <s v=""/>
    <s v=""/>
    <s v=""/>
    <s v=""/>
    <s v=""/>
    <s v=""/>
    <s v=""/>
    <s v=""/>
    <s v=""/>
    <s v=""/>
    <s v=""/>
    <s v=""/>
    <s v=""/>
    <s v=""/>
  </r>
  <r>
    <s v="England"/>
    <s v="Austria"/>
    <n v="2"/>
    <m/>
    <m/>
    <n v="2"/>
    <m/>
    <m/>
    <s v="Walter Winterbottom"/>
    <s v="Billy Wright"/>
    <s v="Josef Argauer"/>
    <s v="Gerhard Hanappi"/>
    <n v="15872"/>
    <s v="Ryavallen, Boras"/>
    <s v="Jan Bronkhorst (Referee) · Albert Dusch (AR1) · Istvan Zsolt (AR2)"/>
    <x v="5"/>
    <x v="329"/>
    <s v="2–2"/>
    <s v="Jan Bronkhorst"/>
    <s v=""/>
    <x v="14"/>
    <x v="16"/>
    <s v="Johnny Haynes · 56|Derek Kevan · 73"/>
    <s v="Karl Koller · 16|Alfred Körner · 70"/>
    <s v="['56&amp;rsquor;|1:1|Johnny Haynes', '73&amp;rsquor;|2:2|Derek Kevan']"/>
    <s v="['16&amp;rsquor;|0:1|Karl Koller', '70&amp;rsquor;|1:2|Alfred Körner']"/>
    <s v=""/>
    <s v=""/>
    <s v=""/>
    <s v=""/>
    <s v=""/>
    <s v=""/>
    <s v=""/>
    <s v=""/>
    <s v=""/>
    <s v=""/>
    <s v=""/>
    <s v=""/>
    <s v=""/>
    <s v=""/>
    <s v=""/>
    <s v=""/>
    <s v=""/>
    <s v=""/>
  </r>
  <r>
    <s v="Brazil"/>
    <s v="Soviet Union"/>
    <n v="2"/>
    <m/>
    <m/>
    <n v="0"/>
    <m/>
    <m/>
    <s v="Vicente Feola"/>
    <s v="Hilderaldo Bellini"/>
    <s v="Gavril Kachalin"/>
    <s v="Igor Netto"/>
    <n v="50928"/>
    <s v="Nya Ullevi, Gothenburg"/>
    <s v="Maurice Guigue (Referee) · Birger Nilsen (AR1) · Carl Frederik Jorgensen (AR2)"/>
    <x v="5"/>
    <x v="329"/>
    <s v="2–0"/>
    <s v="Maurice Guigue"/>
    <s v=""/>
    <x v="14"/>
    <x v="16"/>
    <s v="Vavá · 3|Vavá · 77"/>
    <s v=""/>
    <s v="['3&amp;rsquor;|1:0|Vavá', '77&amp;rsquor;|2:0|Vavá']"/>
    <s v=""/>
    <s v=""/>
    <s v=""/>
    <s v=""/>
    <s v=""/>
    <s v=""/>
    <s v=""/>
    <s v=""/>
    <s v=""/>
    <s v=""/>
    <s v=""/>
    <s v=""/>
    <s v=""/>
    <s v=""/>
    <s v=""/>
    <s v=""/>
    <s v=""/>
    <s v=""/>
    <s v=""/>
  </r>
  <r>
    <s v="Hungary"/>
    <s v="Mexico"/>
    <n v="4"/>
    <m/>
    <m/>
    <n v="0"/>
    <m/>
    <m/>
    <s v="Lajos Baroti"/>
    <s v="Nándor Hidegkuti"/>
    <s v="Antonio Lopez"/>
    <s v="Antonio Carbajal"/>
    <n v="13300"/>
    <s v="Jarnvallen, Sandviken"/>
    <s v="Arne Eriksson (Referee) · Jose Maria Codesal (AR1) · Jack Mowat (AR2)"/>
    <x v="5"/>
    <x v="329"/>
    <s v="4–0"/>
    <s v="Arne Eriksson"/>
    <s v=""/>
    <x v="14"/>
    <x v="16"/>
    <s v="Lajos Tichy · 19|Lajos Tichy · 46|Károly Sándor · 54|József Bencsics · 69"/>
    <s v=""/>
    <s v="['19&amp;rsquor;|1:0|Lajos Tichy', '46&amp;rsquor;|2:0|Lajos Tichy', '54&amp;rsquor;|3:0|Károly Sándor', '69&amp;rsquor;|4:0|József Bencsics']"/>
    <s v=""/>
    <s v=""/>
    <s v=""/>
    <s v=""/>
    <s v=""/>
    <s v=""/>
    <s v=""/>
    <s v=""/>
    <s v=""/>
    <s v=""/>
    <s v=""/>
    <s v=""/>
    <s v=""/>
    <s v=""/>
    <s v=""/>
    <s v=""/>
    <s v=""/>
    <s v=""/>
    <s v=""/>
  </r>
  <r>
    <s v="France"/>
    <s v="Scotland"/>
    <n v="2"/>
    <m/>
    <m/>
    <n v="1"/>
    <m/>
    <m/>
    <s v="Albert Batteaux"/>
    <s v="Robert Jonquet"/>
    <s v="Dawson Walker"/>
    <s v="Bobby Evans"/>
    <n v="13554"/>
    <s v="Eyravallen, Orebro"/>
    <s v="Juan Brozzi (Referee) · Vincenzo Orlandini (AR1) · Paul Wyssling (AR2)"/>
    <x v="5"/>
    <x v="329"/>
    <s v="2–1"/>
    <s v="Juan Brozzi"/>
    <s v=""/>
    <x v="14"/>
    <x v="16"/>
    <s v="Raymond Kopa · 22|Just Fontaine · 44"/>
    <s v="Sammy Baird · 66"/>
    <s v="['22&amp;rsquor;|1:0|Raymond Kopa', '44&amp;rsquor;|2:0|Just Fontaine']"/>
    <s v="['66&amp;rsquor;|2:1|Sammy Baird']"/>
    <s v=""/>
    <s v=""/>
    <s v=""/>
    <s v=""/>
    <s v=""/>
    <s v=""/>
    <s v=""/>
    <s v=""/>
    <s v=""/>
    <s v=""/>
    <s v=""/>
    <s v=""/>
    <s v=""/>
    <s v=""/>
    <s v=""/>
    <s v=""/>
    <s v=""/>
    <s v=""/>
  </r>
  <r>
    <s v="Sweden"/>
    <s v="Hungary"/>
    <n v="2"/>
    <m/>
    <m/>
    <n v="1"/>
    <m/>
    <m/>
    <s v="George Raynor"/>
    <s v="Nils Liedholm"/>
    <s v="Lajos Baroti"/>
    <s v="József Bozsik"/>
    <n v="38850"/>
    <s v="Rasunda Stadium, Solna"/>
    <s v="Jack Mowat (Referee) · Lucien Van Nuffel (AR1) · Georg Dragvoll (AR2)"/>
    <x v="5"/>
    <x v="330"/>
    <s v="2–1"/>
    <s v="Jack Mowat"/>
    <s v=""/>
    <x v="14"/>
    <x v="16"/>
    <s v="Kurt Hamrin · 34|Kurt Hamrin · 55"/>
    <s v="Lajos Tichy · 77"/>
    <s v="['34&amp;rsquor;|1:0|Kurt Hamrin', '55&amp;rsquor;|2:0|Kurt Hamrin']"/>
    <s v="['77&amp;rsquor;|2:1|Lajos Tichy']"/>
    <s v=""/>
    <s v=""/>
    <s v=""/>
    <s v=""/>
    <s v=""/>
    <s v=""/>
    <s v=""/>
    <s v=""/>
    <s v=""/>
    <s v=""/>
    <s v=""/>
    <s v=""/>
    <s v=""/>
    <s v=""/>
    <s v=""/>
    <s v=""/>
    <s v=""/>
    <s v=""/>
  </r>
  <r>
    <s v="Soviet Union"/>
    <s v="Austria"/>
    <n v="2"/>
    <m/>
    <m/>
    <n v="0"/>
    <m/>
    <m/>
    <s v="Gavril Kachalin"/>
    <s v="Nikita Simonyan"/>
    <s v="Josef Argauer"/>
    <s v="Gerhard Hanappi"/>
    <n v="21239"/>
    <s v="Ryavallen, Boras"/>
    <s v="Carl Frederik Jorgensen (Referee) · Birger Nilsen (AR1) · Gosta Ackeborn (AR2)"/>
    <x v="5"/>
    <x v="331"/>
    <s v="2–0"/>
    <s v="Carl Frederik Jorgensen"/>
    <s v=""/>
    <x v="14"/>
    <x v="16"/>
    <s v="Anatoli Ilyin · 15|Valentin Kozmich Ivanov · 63"/>
    <s v=""/>
    <s v="['15&amp;rsquor;|1:0|Anatoli Ilyin', '63&amp;rsquor;|2:0|Valentin Kozmich Ivanov']"/>
    <s v=""/>
    <s v=""/>
    <s v=""/>
    <s v=""/>
    <s v=""/>
    <s v=""/>
    <s v=""/>
    <s v=""/>
    <s v=""/>
    <s v=""/>
    <s v=""/>
    <s v=""/>
    <s v=""/>
    <s v=""/>
    <s v=""/>
    <s v=""/>
    <s v=""/>
    <s v=""/>
    <s v=""/>
  </r>
  <r>
    <s v="West Germany"/>
    <s v="Czechoslovakia"/>
    <n v="2"/>
    <m/>
    <m/>
    <n v="2"/>
    <m/>
    <m/>
    <s v="Sepp Herberger"/>
    <s v="Hans Schäfer"/>
    <s v="Karel Kolsky"/>
    <s v="Ladislav Novák"/>
    <n v="25000"/>
    <s v="Olympia Stadium, Helsingborg"/>
    <s v="Arthur Ellis (Referee) · Reginald Leafe (AR1) · Fritz Seipelt (AR2)"/>
    <x v="5"/>
    <x v="331"/>
    <s v="2–2"/>
    <s v="Arthur Ellis"/>
    <s v=""/>
    <x v="14"/>
    <x v="16"/>
    <s v="Hans Schäfer · 59|Helmut Rahn · 70"/>
    <s v="Zdeněk Zikán · 43"/>
    <s v="['59&amp;rsquor;|1:2|Hans Schäfer', '70&amp;rsquor;|2:2|Helmut Rahn']"/>
    <s v="['43&amp;rsquor;|0:2|Zdeněk Zikán']"/>
    <s v=""/>
    <s v=""/>
    <s v=""/>
    <s v="Milan Dvořák (P) · 24"/>
    <s v=""/>
    <s v=""/>
    <s v=""/>
    <s v=""/>
    <s v=""/>
    <s v=""/>
    <s v=""/>
    <s v=""/>
    <s v=""/>
    <s v=""/>
    <s v=""/>
    <s v=""/>
    <s v=""/>
    <s v=""/>
  </r>
  <r>
    <s v="Argentina"/>
    <s v="Northern Ireland"/>
    <n v="3"/>
    <m/>
    <m/>
    <n v="1"/>
    <m/>
    <m/>
    <s v="Guillermo Stabile"/>
    <s v="Pedro Dellacha"/>
    <s v="Peter Doherty"/>
    <s v="Danny Blanchflower"/>
    <n v="14174"/>
    <s v="Orjans Vall, Halmstad"/>
    <s v="Sten Ahlner (Referee) · Joaquim Fernandes Campos (AR1) · Leo Helge (AR2)"/>
    <x v="5"/>
    <x v="331"/>
    <s v="3–1"/>
    <s v="Sten Ahlner"/>
    <s v=""/>
    <x v="14"/>
    <x v="16"/>
    <s v="Norberto Menéndez · 55|Ludovico Avio · 59"/>
    <s v="Peter McParland · 3"/>
    <s v="['55&amp;rsquor;|2:1|Norberto Menéndez', '59&amp;rsquor;|3:1|Ludovico Avio']"/>
    <s v="['3&amp;rsquor;|0:1|Peter McParland']"/>
    <s v=""/>
    <s v=""/>
    <s v="Oreste Corbatta (P) · 38"/>
    <s v=""/>
    <s v=""/>
    <s v=""/>
    <s v=""/>
    <s v=""/>
    <s v=""/>
    <s v=""/>
    <s v=""/>
    <s v=""/>
    <s v=""/>
    <s v=""/>
    <s v=""/>
    <s v=""/>
    <s v=""/>
    <s v=""/>
  </r>
  <r>
    <s v="Yugoslavia"/>
    <s v="France"/>
    <n v="3"/>
    <m/>
    <m/>
    <n v="2"/>
    <m/>
    <m/>
    <s v="Aleksandar Tirnanic"/>
    <s v="Branko Zebec"/>
    <s v="Albert Batteaux"/>
    <s v="Roger Marche"/>
    <n v="12217"/>
    <s v="Arosvallen, Vasteras"/>
    <s v="Benjamin Griffiths (Referee) · Paul Wyssling (AR1) · Georg Dragvoll (AR2)"/>
    <x v="5"/>
    <x v="331"/>
    <s v="3–2"/>
    <s v="Benjamin Griffiths"/>
    <s v=""/>
    <x v="14"/>
    <x v="16"/>
    <s v="Aleksandar Petaković · 16|Todor Veselinović · 63|Todor Veselinović · 88"/>
    <s v="Just Fontaine · 4|Just Fontaine · 85"/>
    <s v="['16&amp;rsquor;|1:1|Aleksandar Petaković', '63&amp;rsquor;|2:1|Todor Veselinović', '88&amp;rsquor;|3:2|Todor Veselinović']"/>
    <s v="['4&amp;rsquor;|0:1|Just Fontaine', '85&amp;rsquor;|2:2|Just Fontaine']"/>
    <s v=""/>
    <s v=""/>
    <s v=""/>
    <s v=""/>
    <s v=""/>
    <s v=""/>
    <s v=""/>
    <s v=""/>
    <s v=""/>
    <s v=""/>
    <s v=""/>
    <s v=""/>
    <s v=""/>
    <s v=""/>
    <s v=""/>
    <s v=""/>
    <s v=""/>
    <s v=""/>
  </r>
  <r>
    <s v="Paraguay"/>
    <s v="Scotland"/>
    <n v="3"/>
    <m/>
    <m/>
    <n v="2"/>
    <m/>
    <m/>
    <s v="Aurelio Gonzalez"/>
    <s v="Juan Bautista Agüero"/>
    <s v="Dawson Walker"/>
    <s v="Tommy Younger"/>
    <n v="11665"/>
    <s v="Idrottsparken, Norrkï¿½Ping"/>
    <s v="Vincenzo Orlandini (Referee) · Juan Gardeazabal (AR1) · Bengt Andren (AR2)"/>
    <x v="5"/>
    <x v="331"/>
    <s v="3–2"/>
    <s v="Vincenzo Orlandini"/>
    <s v=""/>
    <x v="14"/>
    <x v="16"/>
    <s v="Juan Bautista Agüero · 4|Cayetano Ré · 45|José Parodi · 73"/>
    <s v="Jackie Mudie · 24|Bobby Collins · 76"/>
    <s v="['4&amp;rsquor;|1:0|Juan Bautista Agüero', '45&amp;rsquor;|2:1|Cayetano Ré', '73&amp;rsquor;|3:1|José Parodi']"/>
    <s v="['24&amp;rsquor;|1:1|Jackie Mudie', '76&amp;rsquor;|3:2|Bobby Collins']"/>
    <s v=""/>
    <s v=""/>
    <s v=""/>
    <s v=""/>
    <s v=""/>
    <s v=""/>
    <s v=""/>
    <s v=""/>
    <s v=""/>
    <s v=""/>
    <s v=""/>
    <s v=""/>
    <s v=""/>
    <s v=""/>
    <s v=""/>
    <s v=""/>
    <s v=""/>
    <s v=""/>
  </r>
  <r>
    <s v="Brazil"/>
    <s v="England"/>
    <n v="0"/>
    <m/>
    <m/>
    <n v="0"/>
    <m/>
    <m/>
    <s v="Vicente Feola"/>
    <s v="Hilderaldo Bellini"/>
    <s v="Walter Winterbottom"/>
    <s v="Billy Wright"/>
    <n v="40895"/>
    <s v="Nya Ullevi, Gothenburg"/>
    <s v="Albert Dusch (Referee) · Bertil Loeoew (AR1) · Istvan Zsolt (AR2)"/>
    <x v="5"/>
    <x v="331"/>
    <s v="0–0"/>
    <s v="Albert Dusch"/>
    <s v=""/>
    <x v="14"/>
    <x v="16"/>
    <s v=""/>
    <s v=""/>
    <s v=""/>
    <s v=""/>
    <s v=""/>
    <s v=""/>
    <s v=""/>
    <s v=""/>
    <s v=""/>
    <s v=""/>
    <s v=""/>
    <s v=""/>
    <s v=""/>
    <s v=""/>
    <s v=""/>
    <s v=""/>
    <s v=""/>
    <s v=""/>
    <s v=""/>
    <s v=""/>
    <s v=""/>
    <s v=""/>
  </r>
  <r>
    <s v="Mexico"/>
    <s v="Wales"/>
    <n v="1"/>
    <m/>
    <m/>
    <n v="1"/>
    <m/>
    <m/>
    <s v="Antonio Lopez"/>
    <s v="Antonio Carbajal"/>
    <s v="James Murphy"/>
    <s v="Dave Bowen"/>
    <n v="15150"/>
    <s v="Rasunda Stadium, Solna"/>
    <s v="Leo Lemesic (Referee) · Nikolaj Latychev (AR1) · Jose Maria Codesal (AR2)"/>
    <x v="5"/>
    <x v="331"/>
    <s v="1–1"/>
    <s v="Leo Lemesic"/>
    <s v=""/>
    <x v="14"/>
    <x v="16"/>
    <s v="Jaime Belmonte · 89"/>
    <s v="Ivor Allchurch · 32"/>
    <s v="['89&amp;rsquor;|1:1|Jaime Belmonte']"/>
    <s v="['32&amp;rsquor;|0:1|Ivor Allchurch']"/>
    <s v=""/>
    <s v=""/>
    <s v=""/>
    <s v=""/>
    <s v=""/>
    <s v=""/>
    <s v=""/>
    <s v=""/>
    <s v=""/>
    <s v=""/>
    <s v=""/>
    <s v=""/>
    <s v=""/>
    <s v=""/>
    <s v=""/>
    <s v=""/>
    <s v=""/>
    <s v=""/>
  </r>
  <r>
    <s v="Sweden"/>
    <s v="Mexico"/>
    <n v="3"/>
    <m/>
    <m/>
    <n v="0"/>
    <m/>
    <m/>
    <s v="George Raynor"/>
    <s v="Nils Liedholm"/>
    <s v="Antonio Lopez"/>
    <s v="Antonio Carbajal"/>
    <n v="34107"/>
    <s v="Rasunda Stadium, Solna"/>
    <s v="Nikolaj Latychev (Referee) · Jack Mowat (AR1) · Arne Eriksson (AR2)"/>
    <x v="5"/>
    <x v="332"/>
    <s v="3–0"/>
    <s v="Nikolaj Latychev"/>
    <s v=""/>
    <x v="14"/>
    <x v="16"/>
    <s v="Agne Simonsson · 17|Agne Simonsson · 64"/>
    <s v=""/>
    <s v="['17&amp;rsquor;|1:0|Agne Simonsson', '64&amp;rsquor;|3:0|Agne Simonsson']"/>
    <s v=""/>
    <s v=""/>
    <s v=""/>
    <s v="Nils Liedholm (P) · 57"/>
    <s v=""/>
    <s v=""/>
    <s v=""/>
    <s v=""/>
    <s v=""/>
    <s v=""/>
    <s v=""/>
    <s v=""/>
    <s v=""/>
    <s v=""/>
    <s v=""/>
    <s v=""/>
    <s v=""/>
    <s v=""/>
    <s v=""/>
  </r>
  <r>
    <s v="Northern Ireland"/>
    <s v="Czechoslovakia"/>
    <n v="1"/>
    <m/>
    <m/>
    <n v="0"/>
    <m/>
    <m/>
    <s v="Peter Doherty"/>
    <s v="Danny Blanchflower"/>
    <s v="Karel Kolsky"/>
    <s v="Ladislav Novák"/>
    <n v="10647"/>
    <s v="Orjans Vall, Halmstad"/>
    <s v="Fritz Seipelt (Referee) · Arthur Ellis (AR1) · Joaquim Fernandes Campos (AR2)"/>
    <x v="5"/>
    <x v="332"/>
    <s v="1–0"/>
    <s v="Fritz Seipelt"/>
    <s v=""/>
    <x v="14"/>
    <x v="16"/>
    <s v="Wilbur Cush · 20"/>
    <s v=""/>
    <s v="['20&amp;rsquor;|1:0|Wilbur Cush']"/>
    <s v=""/>
    <s v=""/>
    <s v=""/>
    <s v=""/>
    <s v=""/>
    <s v=""/>
    <s v=""/>
    <s v=""/>
    <s v=""/>
    <s v=""/>
    <s v=""/>
    <s v=""/>
    <s v=""/>
    <s v=""/>
    <s v=""/>
    <s v=""/>
    <s v=""/>
    <s v=""/>
    <s v=""/>
  </r>
  <r>
    <s v="Hungary"/>
    <s v="Wales"/>
    <n v="1"/>
    <m/>
    <m/>
    <n v="1"/>
    <m/>
    <m/>
    <s v="Lajos Baroti"/>
    <s v="Nándor Hidegkuti"/>
    <s v="James Murphy"/>
    <s v="Dave Bowen"/>
    <n v="15343"/>
    <s v="Jarnvallen, Sandviken"/>
    <s v="Jose Maria Codesal (Referee) · Leo Lemesic (AR1) · Lucien Van Nuffel (AR2)"/>
    <x v="5"/>
    <x v="332"/>
    <s v="1–1"/>
    <s v="Jose Maria Codesal"/>
    <s v=""/>
    <x v="14"/>
    <x v="16"/>
    <s v="József Bozsik · 5"/>
    <s v="John Charles · 27"/>
    <s v="['5&amp;rsquor;|1:0|József Bozsik']"/>
    <s v="['27&amp;rsquor;|1:1|John Charles']"/>
    <s v=""/>
    <s v=""/>
    <s v=""/>
    <s v=""/>
    <s v=""/>
    <s v=""/>
    <s v=""/>
    <s v=""/>
    <s v=""/>
    <s v=""/>
    <s v=""/>
    <s v=""/>
    <s v=""/>
    <s v=""/>
    <s v=""/>
    <s v=""/>
    <s v=""/>
    <s v=""/>
  </r>
  <r>
    <s v="Yugoslavia"/>
    <s v="Scotland"/>
    <n v="1"/>
    <m/>
    <m/>
    <n v="1"/>
    <m/>
    <m/>
    <s v="Aleksandar Tirnanic"/>
    <s v="Branko Zebec"/>
    <s v="Dawson Walker"/>
    <s v="Tommy Younger"/>
    <n v="9591"/>
    <s v="Arosvallen, Vasteras"/>
    <s v="Paul Wyssling (Referee) · Vincenzo Orlandini (AR1) · Martin Macko (AR2)"/>
    <x v="5"/>
    <x v="332"/>
    <s v="1–1"/>
    <s v="Paul Wyssling"/>
    <s v=""/>
    <x v="14"/>
    <x v="16"/>
    <s v="Aleksandar Petaković · 6"/>
    <s v="Jimmy Murray · 49"/>
    <s v="['6&amp;rsquor;|1:0|Aleksandar Petaković']"/>
    <s v="['49&amp;rsquor;|1:1|Jimmy Murray']"/>
    <s v=""/>
    <s v=""/>
    <s v=""/>
    <s v=""/>
    <s v=""/>
    <s v=""/>
    <s v=""/>
    <s v=""/>
    <s v=""/>
    <s v=""/>
    <s v=""/>
    <s v=""/>
    <s v=""/>
    <s v=""/>
    <s v=""/>
    <s v=""/>
    <s v=""/>
    <s v=""/>
  </r>
  <r>
    <s v="Brazil"/>
    <s v="Austria"/>
    <n v="3"/>
    <m/>
    <m/>
    <n v="0"/>
    <m/>
    <m/>
    <s v="Vicente Feola"/>
    <s v="Hilderaldo Bellini"/>
    <s v="Josef Argauer"/>
    <s v="Gerhard Hanappi"/>
    <n v="17788"/>
    <s v="Rimnersvallen, Udevalla"/>
    <s v="Maurice Guigue (Referee) · Albert Dusch (AR1) · Jan Bronkhorst (AR2)"/>
    <x v="5"/>
    <x v="332"/>
    <s v="3–0"/>
    <s v="Maurice Guigue"/>
    <s v=""/>
    <x v="14"/>
    <x v="16"/>
    <s v="José Altafini · 38|Nílton Santos · 49|José Altafini · 89"/>
    <s v=""/>
    <s v="['38&amp;rsquor;|1:0|José Altafini', '49&amp;rsquor;|2:0|Nílton Santos', '89&amp;rsquor;|3:0|José Altafini']"/>
    <s v=""/>
    <s v=""/>
    <s v=""/>
    <s v=""/>
    <s v=""/>
    <s v=""/>
    <s v=""/>
    <s v=""/>
    <s v=""/>
    <s v=""/>
    <s v=""/>
    <s v=""/>
    <s v=""/>
    <s v=""/>
    <s v=""/>
    <s v=""/>
    <s v=""/>
    <s v=""/>
    <s v=""/>
  </r>
  <r>
    <s v="Soviet Union"/>
    <s v="England"/>
    <n v="2"/>
    <m/>
    <m/>
    <n v="2"/>
    <m/>
    <m/>
    <s v="Gavril Kachalin"/>
    <s v="Nikita Simonyan"/>
    <s v="Walter Winterbottom"/>
    <s v="Billy Wright"/>
    <n v="49348"/>
    <s v="Nya Ullevi, Gothenburg"/>
    <s v="Istvan Zsolt (Referee) · Birger Nilsen (AR1) · Carl Frederik Jorgensen (AR2)"/>
    <x v="5"/>
    <x v="332"/>
    <s v="2–2"/>
    <s v="Istvan Zsolt"/>
    <s v=""/>
    <x v="14"/>
    <x v="16"/>
    <s v="Nikita Simonyan · 13|Aleksandr Ivanov · 55"/>
    <s v="Derek Kevan · 66"/>
    <s v="['13&amp;rsquor;|1:0|Nikita Simonyan', '55&amp;rsquor;|2:0|Aleksandr Ivanov']"/>
    <s v="['66&amp;rsquor;|2:1|Derek Kevan']"/>
    <s v=""/>
    <s v=""/>
    <s v=""/>
    <s v="Tom Finney (P) · 85"/>
    <s v=""/>
    <s v=""/>
    <s v=""/>
    <s v=""/>
    <s v=""/>
    <s v=""/>
    <s v=""/>
    <s v=""/>
    <s v=""/>
    <s v=""/>
    <s v=""/>
    <s v=""/>
    <s v=""/>
    <s v=""/>
  </r>
  <r>
    <s v="France"/>
    <s v="Paraguay"/>
    <n v="7"/>
    <m/>
    <m/>
    <n v="3"/>
    <m/>
    <m/>
    <s v="Albert Batteaux"/>
    <s v="Robert Jonquet"/>
    <s v="Aurelio Gonzalez"/>
    <s v="Juan Bautista Agüero"/>
    <n v="16518"/>
    <s v="Idrottsparken, Norrkï¿½Ping"/>
    <s v="Juan Gardeazabal (Referee) · Benjamin Griffiths (AR1) · Juan Brozzi (AR2)"/>
    <x v="5"/>
    <x v="332"/>
    <s v="7–3"/>
    <s v="Juan Gardeazabal"/>
    <s v=""/>
    <x v="14"/>
    <x v="16"/>
    <s v="Just Fontaine · 24|Just Fontaine · 30|Roger Piantoni · 52|Maryan Wisnieski · 61|Just Fontaine · 67|Raymond Kopa · 70|Jean Vincent · 83"/>
    <s v="Florencio Amarilla · 20|Jorge Lino Romero · 50"/>
    <s v="['24&amp;rsquor;|1:1|Just Fontaine', '30&amp;rsquor;|2:1|Just Fontaine', '52&amp;rsquor;|3:3|Roger Piantoni', '61&amp;rsquor;|4:3|Maryan Wisnieski', '67&amp;rsquor;|5:3|Just Fontaine', '70&amp;rsquor;|6:3|Raymond Kopa', '83&amp;rsquor;|7:3|Jean Vincent']"/>
    <s v="['20&amp;rsquor;|0:1|Florencio Amarilla', '50&amp;rsquor;|2:3|Jorge Lino Romero']"/>
    <s v=""/>
    <s v=""/>
    <s v=""/>
    <s v="Florencio Amarilla (P) · 44"/>
    <s v=""/>
    <s v=""/>
    <s v=""/>
    <s v=""/>
    <s v=""/>
    <s v=""/>
    <s v=""/>
    <s v=""/>
    <s v=""/>
    <s v=""/>
    <s v=""/>
    <s v=""/>
    <s v=""/>
    <s v=""/>
  </r>
  <r>
    <s v="Argentina"/>
    <s v="West Germany"/>
    <n v="1"/>
    <m/>
    <m/>
    <n v="3"/>
    <m/>
    <m/>
    <s v="Guillermo Stabile"/>
    <s v="Pedro Dellacha"/>
    <s v="Sepp Herberger"/>
    <s v="Hans Schäfer"/>
    <n v="31156"/>
    <s v="Malmo Stadion, Malmï¿½"/>
    <s v="Reginald Leafe (Referee) · Leo Helge (AR1) · Sten Ahlner (AR2)"/>
    <x v="5"/>
    <x v="332"/>
    <s v="1–3"/>
    <s v="Reginald Leafe"/>
    <s v=""/>
    <x v="14"/>
    <x v="16"/>
    <s v="Oreste Corbatta · 2"/>
    <s v="Helmut Rahn · 32|Uwe Seeler · 40|Helmut Rahn · 79"/>
    <s v="['2&amp;rsquor;|1:0|Oreste Corbatta']"/>
    <s v="['32&amp;rsquor;|1:1|Helmut Rahn', '40&amp;rsquor;|1:2|Uwe Seeler', '79&amp;rsquor;|1:3|Helmut Rahn']"/>
    <s v=""/>
    <s v=""/>
    <s v=""/>
    <s v=""/>
    <s v=""/>
    <s v=""/>
    <s v=""/>
    <s v=""/>
    <s v=""/>
    <s v=""/>
    <s v=""/>
    <s v=""/>
    <s v=""/>
    <s v=""/>
    <s v=""/>
    <s v=""/>
    <s v=""/>
    <s v=""/>
  </r>
  <r>
    <s v="Germany"/>
    <s v="Hungary"/>
    <n v="3"/>
    <m/>
    <m/>
    <n v="2"/>
    <m/>
    <m/>
    <s v="Sepp Herberger"/>
    <s v="Fritz Walter"/>
    <s v="Gusztav Sebes"/>
    <s v="Ferenc Puskás"/>
    <n v="62500"/>
    <s v="Wankdorf Stadium, Berne"/>
    <s v="William Ling (Referee) · Vincenzo Orlandini (AR1) · Benjamin Griffiths (AR2)"/>
    <x v="0"/>
    <x v="333"/>
    <s v="3–2"/>
    <s v="William Ling"/>
    <s v=""/>
    <x v="15"/>
    <x v="17"/>
    <s v="Max Morlock · 10|Helmut Rahn · 18|Helmut Rahn · 84"/>
    <s v="Ferenc Puskás · 6|Zoltán Czibor · 8"/>
    <s v="['10&amp;rsquor;|1:2|Max Morlock', '18&amp;rsquor;|2:2|Helmut Rahn', '84&amp;rsquor;|3:2|Helmut Rahn']"/>
    <s v="['6&amp;rsquor;|0:1|Ferenc Puskás', '8&amp;rsquor;|0:2|Zoltán Czibor']"/>
    <s v=""/>
    <s v=""/>
    <s v=""/>
    <s v=""/>
    <s v=""/>
    <s v=""/>
    <s v=""/>
    <s v=""/>
    <s v=""/>
    <s v=""/>
    <s v=""/>
    <s v=""/>
    <s v=""/>
    <s v=""/>
    <s v=""/>
    <s v=""/>
    <s v=""/>
    <s v=""/>
  </r>
  <r>
    <s v="Austria"/>
    <s v="Uruguay"/>
    <n v="3"/>
    <m/>
    <m/>
    <n v="1"/>
    <m/>
    <m/>
    <s v="Walter Nausch"/>
    <s v="Ernst Ocwirk"/>
    <s v="Juan Lopez"/>
    <s v="William Martínez"/>
    <n v="32000"/>
    <s v="Hardturm, Zurich"/>
    <s v="Paul Wyssling (Referee) · Istvan Zsolt (AR1) · Arthur Ellis (AR2)"/>
    <x v="1"/>
    <x v="334"/>
    <s v="3–1"/>
    <s v="Paul Wyssling"/>
    <s v=""/>
    <x v="15"/>
    <x v="17"/>
    <s v="Ernst Ocwirk · 79"/>
    <s v="Juan Hohberg · 22"/>
    <s v="['79&amp;rsquor;|3:1|Ernst Ocwirk']"/>
    <s v="['22&amp;rsquor;|1:1|Juan Hohberg']"/>
    <s v="Luis Cruz (OG) · 59"/>
    <s v=""/>
    <s v="Ernst Stojaspal (P) · 16"/>
    <s v=""/>
    <s v=""/>
    <s v=""/>
    <s v=""/>
    <s v=""/>
    <s v=""/>
    <s v=""/>
    <s v=""/>
    <s v=""/>
    <s v=""/>
    <s v=""/>
    <s v=""/>
    <s v=""/>
    <s v=""/>
    <s v=""/>
  </r>
  <r>
    <s v="Hungary"/>
    <s v="Uruguay"/>
    <n v="4"/>
    <m/>
    <m/>
    <n v="2"/>
    <m/>
    <m/>
    <s v="Gusztav Sebes"/>
    <s v="József Bozsik"/>
    <s v="Juan Lopez"/>
    <s v="William Martínez"/>
    <n v="45000"/>
    <s v="La Pontaise, Lausanne"/>
    <s v="Benjamin Griffiths (Referee) · Charlie Faultless (AR1) · Raymond Vincenti (AR2)"/>
    <x v="2"/>
    <x v="335"/>
    <s v="4–2"/>
    <s v="Benjamin Griffiths"/>
    <s v="Required Extra Time"/>
    <x v="15"/>
    <x v="17"/>
    <s v="Zoltán Czibor · 12|Nándor Hidegkuti · 47|Sándor Kocsis · 109|Sándor Kocsis · 116"/>
    <s v="Juan Hohberg · 75|Juan Hohberg · 86"/>
    <s v="['12&amp;rsquor;|1:0|Zoltán Czibor', '47&amp;rsquor;|2:0|Nándor Hidegkuti', '109&amp;rsquor;|3:2|Sándor Kocsis', '116&amp;rsquor;|4:2|Sándor Kocsis']"/>
    <s v="['75&amp;rsquor;|2:1|Juan Hohberg', '86&amp;rsquor;|2:2|Juan Hohberg']"/>
    <s v=""/>
    <s v=""/>
    <s v=""/>
    <s v=""/>
    <s v=""/>
    <s v=""/>
    <s v=""/>
    <s v=""/>
    <s v=""/>
    <s v=""/>
    <s v=""/>
    <s v=""/>
    <s v=""/>
    <s v=""/>
    <s v=""/>
    <s v=""/>
    <s v=""/>
    <s v=""/>
  </r>
  <r>
    <s v="Germany"/>
    <s v="Austria"/>
    <n v="6"/>
    <m/>
    <m/>
    <n v="1"/>
    <m/>
    <m/>
    <s v="Sepp Herberger"/>
    <s v="Fritz Walter"/>
    <s v="Walter Nausch"/>
    <s v="Ernst Ocwirk"/>
    <n v="58000"/>
    <s v="St. Jakob, Basel"/>
    <s v="Vincenzo Orlandini (Referee) · Arthur Ellis (AR1) · Fritz Buchmueller (AR2)"/>
    <x v="2"/>
    <x v="335"/>
    <s v="6–1"/>
    <s v="Vincenzo Orlandini"/>
    <s v=""/>
    <x v="15"/>
    <x v="17"/>
    <s v="Hans Schäfer · 31|Max Morlock · 47|Ottmar Walter · 61|Ottmar Walter · 89"/>
    <s v="Erich Probst · 51"/>
    <s v="['31&amp;rsquor;|1:0|Hans Schäfer', '47&amp;rsquor;|2:0|Max Morlock', '61&amp;rsquor;|4:1|Ottmar Walter', '89&amp;rsquor;|6:1|Ottmar Walter']"/>
    <s v="['51&amp;rsquor;|2:1|Erich Probst']"/>
    <s v=""/>
    <s v=""/>
    <s v="Fritz Walter (P) · 54|Fritz Walter (P) · 64"/>
    <s v=""/>
    <s v=""/>
    <s v=""/>
    <s v=""/>
    <s v=""/>
    <s v=""/>
    <s v=""/>
    <s v=""/>
    <s v=""/>
    <s v=""/>
    <s v=""/>
    <s v=""/>
    <s v=""/>
    <s v=""/>
    <s v=""/>
  </r>
  <r>
    <s v="Germany"/>
    <s v="Yugoslavia"/>
    <n v="2"/>
    <m/>
    <m/>
    <n v="0"/>
    <m/>
    <m/>
    <s v="Sepp Herberger"/>
    <s v="Fritz Walter"/>
    <s v="Aleksandar Tirnanic"/>
    <s v="Rajko Mitić"/>
    <n v="17000"/>
    <s v="Charmilles, Geneva"/>
    <s v="Istvan Zsolt (Referee) · Laurent Franken (AR1) · Fritz Buchmueller (AR2)"/>
    <x v="3"/>
    <x v="336"/>
    <s v="2–0"/>
    <s v="Istvan Zsolt"/>
    <s v=""/>
    <x v="15"/>
    <x v="17"/>
    <s v="Helmut Rahn · 85"/>
    <s v=""/>
    <s v="['85&amp;rsquor;|2:0|Helmut Rahn']"/>
    <s v=""/>
    <s v="Ivica Horvat (OG) · 9"/>
    <s v=""/>
    <s v=""/>
    <s v=""/>
    <s v=""/>
    <s v=""/>
    <s v=""/>
    <s v=""/>
    <s v=""/>
    <s v=""/>
    <s v=""/>
    <s v=""/>
    <s v=""/>
    <s v=""/>
    <s v=""/>
    <s v=""/>
    <s v=""/>
    <s v=""/>
  </r>
  <r>
    <s v="Hungary"/>
    <s v="Brazil"/>
    <n v="4"/>
    <m/>
    <m/>
    <n v="2"/>
    <m/>
    <m/>
    <s v="Gusztav Sebes"/>
    <s v="József Bozsik"/>
    <s v="Zeze Moreira"/>
    <s v="Bauer"/>
    <n v="40000"/>
    <s v="Wankdorf Stadium, Berne"/>
    <s v="Arthur Ellis (Referee) · William Ling (AR1) · Paul Wyssling (AR2)"/>
    <x v="3"/>
    <x v="336"/>
    <s v="4–2"/>
    <s v="Arthur Ellis"/>
    <s v=""/>
    <x v="15"/>
    <x v="17"/>
    <s v="Nándor Hidegkuti · 4|Sándor Kocsis · 7|Sándor Kocsis · 88"/>
    <s v="Júlio Botelho · 65"/>
    <s v="['4&amp;rsquor;|1:0|Nándor Hidegkuti', '7&amp;rsquor;|2:0|Sándor Kocsis', '88&amp;rsquor;|4:2|Sándor Kocsis']"/>
    <s v="['65&amp;rsquor;|3:2|Júlio Botelho']"/>
    <s v=""/>
    <s v=""/>
    <s v="Mihály Lantos (P) · 60"/>
    <s v="Djalma Santos (P) · 18"/>
    <s v=""/>
    <s v=""/>
    <s v=""/>
    <s v=""/>
    <s v=""/>
    <s v=""/>
    <s v="József Bozsik · 71"/>
    <s v="Nílton Santos · 71|Humberto Tozzi · 79"/>
    <s v=""/>
    <s v=""/>
    <s v=""/>
    <s v=""/>
    <s v=""/>
    <s v=""/>
  </r>
  <r>
    <s v="Uruguay"/>
    <s v="England"/>
    <n v="4"/>
    <m/>
    <m/>
    <n v="2"/>
    <m/>
    <m/>
    <s v="Juan Lopez"/>
    <s v="Obdulio Varela"/>
    <s v="Walter Winterbottom"/>
    <s v="Billy Wright"/>
    <n v="28000"/>
    <s v="St. Jakob, Basel"/>
    <s v="Carl Steiner (Referee) · Vasa Stefanovic (AR1) · Vincenzo Orlandini (AR2)"/>
    <x v="3"/>
    <x v="337"/>
    <s v="4–2"/>
    <s v="Carl Steiner"/>
    <s v=""/>
    <x v="15"/>
    <x v="17"/>
    <s v="Carlos Borges · 5|Obdulio Varela · 39|Juan Alberto Schiaffino · 46|Javier Ambrois · 78"/>
    <s v="Nat Lofthouse · 16|Tom Finney · 67"/>
    <s v="['5&amp;rsquor;|1:0|Carlos Borges', '39&amp;rsquor;|2:1|Obdulio Varela', '46&amp;rsquor;|3:1|Juan Alberto Schiaffino', '78&amp;rsquor;|4:2|Javier Ambrois']"/>
    <s v="['16&amp;rsquor;|1:1|Nat Lofthouse', '67&amp;rsquor;|3:2|Tom Finney']"/>
    <s v=""/>
    <s v=""/>
    <s v=""/>
    <s v=""/>
    <s v=""/>
    <s v=""/>
    <s v=""/>
    <s v=""/>
    <s v=""/>
    <s v=""/>
    <s v=""/>
    <s v=""/>
    <s v=""/>
    <s v=""/>
    <s v=""/>
    <s v=""/>
    <s v=""/>
    <s v=""/>
  </r>
  <r>
    <s v="Switzerland"/>
    <s v="Austria"/>
    <n v="5"/>
    <m/>
    <m/>
    <n v="7"/>
    <m/>
    <m/>
    <s v="Karl Rappan"/>
    <s v="Roger Bocquet"/>
    <s v="Walter Nausch"/>
    <s v="Ernst Ocwirk"/>
    <n v="35000"/>
    <s v="La Pontaise, Lausanne"/>
    <s v="Charlie Faultless (Referee) · Manuel Asensi (AR1) · Emil Schmetzer (AR2)"/>
    <x v="3"/>
    <x v="337"/>
    <s v="5–7"/>
    <s v="Charlie Faultless"/>
    <s v=""/>
    <x v="15"/>
    <x v="17"/>
    <s v="Robert Ballaman · 16|Josef Hügi · 17|Josef Hügi · 19|Robert Ballaman · 39|Josef Hügi · 60"/>
    <s v="Theodor Wagner · 25|Alfred Körner · 26|Theodor Wagner · 27|Ernst Ocwirk · 32|Alfred Körner · 34|Theodor Wagner · 53|Erich Probst · 76"/>
    <s v="['16&amp;rsquor;|1:0|Robert Ballaman', '17&amp;rsquor;|2:0|Josef Hügi', '19&amp;rsquor;|3:0|Josef Hügi', '39&amp;rsquor;|4:5|Robert Ballaman', '60&amp;rsquor;|5:6|Josef Hügi']"/>
    <s v="['25&amp;rsquor;|3:1|Theodor Wagner', '26&amp;rsquor;|3:2|Alfred Körner', '27&amp;rsquor;|3:3|Theodor Wagner', '32&amp;rsquor;|3:4|Ernst Ocwirk', '34&amp;rsquor;|3:5|Alfred Körner', '53&amp;rsquor;|4:6|Theodor Wagner', '76&amp;rsquor;|5:7|Erich Probst']"/>
    <s v=""/>
    <s v=""/>
    <s v=""/>
    <s v=""/>
    <s v=""/>
    <s v=""/>
    <s v=""/>
    <s v=""/>
    <s v=""/>
    <s v=""/>
    <s v=""/>
    <s v=""/>
    <s v=""/>
    <s v=""/>
    <s v=""/>
    <s v=""/>
    <s v=""/>
    <s v=""/>
  </r>
  <r>
    <s v="Germany"/>
    <s v="Türkiye"/>
    <n v="7"/>
    <m/>
    <m/>
    <n v="2"/>
    <m/>
    <m/>
    <s v="Sepp Herberger"/>
    <s v="Fritz Walter"/>
    <s v="Sandro Puppo"/>
    <s v="Lefter Küçükandonyadis"/>
    <n v="17000"/>
    <s v="Hardturm, Zurich"/>
    <s v="Raymond Vincenti (Referee) · Charlie Faultless (AR1) · Ernst Doerflinger (AR2)"/>
    <x v="10"/>
    <x v="338"/>
    <s v="7–2"/>
    <s v="Raymond Vincenti"/>
    <s v=""/>
    <x v="15"/>
    <x v="17"/>
    <s v="Ottmar Walter · 7|Hans Schäfer · 12|Max Morlock · 30|Max Morlock · 60|Fritz Walter · 62|Max Morlock · 77|Hans Schäfer · 79"/>
    <s v="Mustafa Ertan · 21|Lefter Küçükandonyadis · 82"/>
    <s v="['7&amp;rsquor;|1:0|Ottmar Walter', '12&amp;rsquor;|2:0|Hans Schäfer', '30&amp;rsquor;|3:1|Max Morlock', '60&amp;rsquor;|4:1|Max Morlock', '62&amp;rsquor;|5:1|Fritz Walter', '77&amp;rsquor;|6:1|Max Morlock', '79&amp;rsquor;|7:1|Hans Schäfer']"/>
    <s v="['21&amp;rsquor;|2:1|Mustafa Ertan', '82&amp;rsquor;|7:2|Lefter Küçükandonyadis']"/>
    <s v=""/>
    <s v=""/>
    <s v=""/>
    <s v=""/>
    <s v=""/>
    <s v=""/>
    <s v=""/>
    <s v=""/>
    <s v=""/>
    <s v=""/>
    <s v=""/>
    <s v=""/>
    <s v=""/>
    <s v=""/>
    <s v=""/>
    <s v=""/>
    <s v=""/>
    <s v=""/>
  </r>
  <r>
    <s v="Switzerland"/>
    <s v="Italy"/>
    <n v="4"/>
    <m/>
    <m/>
    <n v="1"/>
    <m/>
    <m/>
    <s v="Karl Rappan"/>
    <s v="Roger Bocquet"/>
    <s v="Lajos Czeizler"/>
    <s v="Egisto Pandolfini"/>
    <n v="30000"/>
    <s v="St. Jakob, Basel"/>
    <s v="Benjamin Griffiths (Referee) · Jose Da Costa Vieira (AR1) · William Ling (AR2)"/>
    <x v="10"/>
    <x v="338"/>
    <s v="4–1"/>
    <s v="Benjamin Griffiths"/>
    <s v=""/>
    <x v="15"/>
    <x v="17"/>
    <s v="Josef Hügi · 14|Robert Ballaman · 48|Josef Hügi · 85|Jacques Fatton · 90"/>
    <s v="Fulvio Nesti · 67"/>
    <s v="['14&amp;rsquor;|1:0|Josef Hügi', '48&amp;rsquor;|2:0|Robert Ballaman', '85&amp;rsquor;|3:1|Josef Hügi', '90&amp;rsquor;|4:1|Jacques Fatton']"/>
    <s v="['67&amp;rsquor;|2:1|Fulvio Nesti']"/>
    <s v=""/>
    <s v=""/>
    <s v=""/>
    <s v=""/>
    <s v=""/>
    <s v=""/>
    <s v=""/>
    <s v=""/>
    <s v=""/>
    <s v=""/>
    <s v=""/>
    <s v=""/>
    <s v=""/>
    <s v=""/>
    <s v=""/>
    <s v=""/>
    <s v=""/>
    <s v=""/>
  </r>
  <r>
    <s v="Hungary"/>
    <s v="Germany"/>
    <n v="8"/>
    <m/>
    <m/>
    <n v="3"/>
    <m/>
    <m/>
    <s v="Gusztav Sebes"/>
    <s v="Ferenc Puskás"/>
    <s v="Sepp Herberger"/>
    <s v="Fritz Walter"/>
    <n v="56000"/>
    <s v="St. Jakob, Basel"/>
    <s v="William Ling (Referee) · Werner Schicker (AR1) · Benjamin Griffiths (AR2)"/>
    <x v="5"/>
    <x v="339"/>
    <s v="8–3"/>
    <s v="William Ling"/>
    <s v=""/>
    <x v="15"/>
    <x v="17"/>
    <s v="Sándor Kocsis · 3|Ferenc Puskás · 17|Sándor Kocsis · 21|Nándor Hidegkuti · 52|Nándor Hidegkuti · 54|Sándor Kocsis · 69|József Tóth · 75|Sándor Kocsis · 78"/>
    <s v="Alfred Pfaff · 25|Helmut Rahn · 77|Richard Herrmann · 84"/>
    <s v="['3&amp;rsquor;|1:0|Sándor Kocsis', '17&amp;rsquor;|2:0|Ferenc Puskás', '21&amp;rsquor;|3:0|Sándor Kocsis', '52&amp;rsquor;|4:1|Nándor Hidegkuti', '54&amp;rsquor;|5:1|Nándor Hidegkuti', '69&amp;rsquor;|6:1|Sándor Kocsis', '75&amp;rsquor;|7:1|József Tóth', '78&amp;rsquor;|8:2|Sándor Kocsis']"/>
    <s v="['25&amp;rsquor;|3:1|Alfred Pfaff', '77&amp;rsquor;|7:2|Helmut Rahn', '84&amp;rsquor;|8:3|Richard Herrmann']"/>
    <s v=""/>
    <s v=""/>
    <s v=""/>
    <s v=""/>
    <s v=""/>
    <s v=""/>
    <s v=""/>
    <s v=""/>
    <s v=""/>
    <s v=""/>
    <s v=""/>
    <s v=""/>
    <s v=""/>
    <s v=""/>
    <s v=""/>
    <s v=""/>
    <s v=""/>
    <s v=""/>
  </r>
  <r>
    <s v="Türkiye"/>
    <s v="Korea Republic"/>
    <n v="7"/>
    <m/>
    <m/>
    <n v="0"/>
    <m/>
    <m/>
    <s v="Sandro Puppo"/>
    <s v="Turgay Şeren"/>
    <s v="Yong Shik Kim"/>
    <s v="Park Kyu-chung"/>
    <n v="4000"/>
    <s v="Charmilles, Geneva"/>
    <s v="Esteban Marino (Referee) · Vincenzo Orlandini (AR1) · Ernest Schonholzer (AR2)"/>
    <x v="5"/>
    <x v="339"/>
    <s v="7–0"/>
    <s v="Esteban Marino"/>
    <s v=""/>
    <x v="15"/>
    <x v="17"/>
    <s v="Suat Mamat · 10|Lefter Küçükandonyadis · 18|Suat Mamat · 30|Burhan Sargun · 37|Burhan Sargun · 64|Burhan Sargun · 70|Erol Keskin · 76"/>
    <s v=""/>
    <s v="['10&amp;rsquor;|1:0|Suat Mamat', '18&amp;rsquor;|2:0|Lefter Küçükandonyadis', '30&amp;rsquor;|3:0|Suat Mamat', '37&amp;rsquor;|4:0|Burhan Sargun', '64&amp;rsquor;|5:0|Burhan Sargun', '70&amp;rsquor;|6:0|Burhan Sargun', '76&amp;rsquor;|7:0|Erol Keskin']"/>
    <s v=""/>
    <s v=""/>
    <s v=""/>
    <s v=""/>
    <s v=""/>
    <s v=""/>
    <s v=""/>
    <s v=""/>
    <s v=""/>
    <s v=""/>
    <s v=""/>
    <s v=""/>
    <s v=""/>
    <s v=""/>
    <s v=""/>
    <s v=""/>
    <s v=""/>
    <s v=""/>
    <s v=""/>
  </r>
  <r>
    <s v="Italy"/>
    <s v="Belgium"/>
    <n v="4"/>
    <m/>
    <m/>
    <n v="1"/>
    <m/>
    <m/>
    <s v="Lajos Czeizler"/>
    <s v="Egisto Pandolfini"/>
    <s v="Doug Livingstone"/>
    <s v="Joseph Mermans"/>
    <n v="24000"/>
    <s v="Comunale di Cornaredo, Lugano"/>
    <s v="Carl Steiner (Referee) · Raymond Vincenti (AR1) · Emil Schmetzer (AR2)"/>
    <x v="5"/>
    <x v="339"/>
    <s v="4–1"/>
    <s v="Carl Steiner"/>
    <s v=""/>
    <x v="15"/>
    <x v="17"/>
    <s v="Carlo Galli · 48|Amleto Frignani · 58|Benito Lorenzi · 78"/>
    <s v="Léopold Anoul · 81"/>
    <s v="['48&amp;rsquor;|2:0|Carlo Galli', '58&amp;rsquor;|3:0|Amleto Frignani', '78&amp;rsquor;|4:0|Benito Lorenzi']"/>
    <s v="['81&amp;rsquor;|4:1|Léopold Anoul']"/>
    <s v=""/>
    <s v=""/>
    <s v="Egisto Pandolfini (P) · 41"/>
    <s v=""/>
    <s v=""/>
    <s v=""/>
    <s v=""/>
    <s v=""/>
    <s v=""/>
    <s v=""/>
    <s v=""/>
    <s v=""/>
    <s v=""/>
    <s v=""/>
    <s v=""/>
    <s v=""/>
    <s v=""/>
    <s v=""/>
  </r>
  <r>
    <s v="Switzerland"/>
    <s v="England"/>
    <n v="0"/>
    <m/>
    <m/>
    <n v="2"/>
    <m/>
    <m/>
    <s v="Karl Rappan"/>
    <s v="Roger Bocquet"/>
    <s v="Walter Winterbottom"/>
    <s v="Billy Wright"/>
    <n v="43500"/>
    <s v="Wankdorf Stadium, Berne"/>
    <s v="Istvan Zsolt (Referee) · Jose Da Costa Vieira (AR1) · Vasa Stefanovic (AR2)"/>
    <x v="5"/>
    <x v="339"/>
    <s v="0–2"/>
    <s v="Istvan Zsolt"/>
    <s v=""/>
    <x v="15"/>
    <x v="17"/>
    <s v=""/>
    <s v="Jimmy Mullen · 43|Dennis Wilshaw · 69"/>
    <s v=""/>
    <s v="['43&amp;rsquor;|0:1|Jimmy Mullen', '69&amp;rsquor;|0:2|Dennis Wilshaw']"/>
    <s v=""/>
    <s v=""/>
    <s v=""/>
    <s v=""/>
    <s v=""/>
    <s v=""/>
    <s v=""/>
    <s v=""/>
    <s v=""/>
    <s v=""/>
    <s v=""/>
    <s v=""/>
    <s v=""/>
    <s v=""/>
    <s v=""/>
    <s v=""/>
    <s v=""/>
    <s v=""/>
  </r>
  <r>
    <s v="Uruguay"/>
    <s v="Scotland"/>
    <n v="7"/>
    <m/>
    <m/>
    <n v="0"/>
    <m/>
    <m/>
    <s v="Juan Lopez"/>
    <s v="Obdulio Varela"/>
    <s v="Andy Battie"/>
    <s v="Willie Cunningham"/>
    <n v="34000"/>
    <s v="St. Jakob, Basel"/>
    <s v="Vincenzo Orlandini (Referee) · Paul Wyssling (AR1) · Denilo Guidi (AR2)"/>
    <x v="5"/>
    <x v="340"/>
    <s v="7–0"/>
    <s v="Vincenzo Orlandini"/>
    <s v=""/>
    <x v="15"/>
    <x v="17"/>
    <s v="Carlos Borges · 17|Óscar Míguez · 30|Carlos Borges · 47|Julio Abbadie · 54|Carlos Borges · 57|Óscar Míguez · 83|Julio Abbadie · 85"/>
    <s v=""/>
    <s v="['17&amp;rsquor;|1:0|Carlos Borges', '30&amp;rsquor;|2:0|Óscar Míguez', '47&amp;rsquor;|3:0|Carlos Borges', '54&amp;rsquor;|4:0|Julio Abbadie', '57&amp;rsquor;|5:0|Carlos Borges', '83&amp;rsquor;|6:0|Óscar Míguez', '85&amp;rsquor;|7:0|Julio Abbadie']"/>
    <s v=""/>
    <s v=""/>
    <s v=""/>
    <s v=""/>
    <s v=""/>
    <s v=""/>
    <s v=""/>
    <s v=""/>
    <s v=""/>
    <s v=""/>
    <s v=""/>
    <s v=""/>
    <s v=""/>
    <s v=""/>
    <s v=""/>
    <s v=""/>
    <s v=""/>
    <s v=""/>
    <s v=""/>
  </r>
  <r>
    <s v="Brazil"/>
    <s v="Yugoslavia"/>
    <n v="1"/>
    <m/>
    <m/>
    <n v="1"/>
    <m/>
    <m/>
    <s v="Zeze Moreira"/>
    <s v="Bauer"/>
    <s v="Aleksandar Tirnanic"/>
    <s v="Rajko Mitić"/>
    <n v="24637"/>
    <s v="La Pontaise, Lausanne"/>
    <s v="Charlie Faultless (Referee) · Arthur Ellis (AR1) · Albert Von Gunter (AR2)"/>
    <x v="5"/>
    <x v="340"/>
    <s v="1–1"/>
    <s v="Charlie Faultless"/>
    <s v="Required Extra Time"/>
    <x v="15"/>
    <x v="17"/>
    <s v="Didi · 69"/>
    <s v="Branko Zebec · 48"/>
    <s v="['69&amp;rsquor;|1:1|Didi']"/>
    <s v="['48&amp;rsquor;|0:1|Branko Zebec']"/>
    <s v=""/>
    <s v=""/>
    <s v=""/>
    <s v=""/>
    <s v=""/>
    <s v=""/>
    <s v=""/>
    <s v=""/>
    <s v=""/>
    <s v=""/>
    <s v=""/>
    <s v=""/>
    <s v=""/>
    <s v=""/>
    <s v=""/>
    <s v=""/>
    <s v=""/>
    <s v=""/>
  </r>
  <r>
    <s v="Austria"/>
    <s v="Czechoslovakia"/>
    <n v="5"/>
    <m/>
    <m/>
    <n v="0"/>
    <m/>
    <m/>
    <s v="Walter Nausch"/>
    <s v="Ernst Ocwirk"/>
    <s v="Josef Cejp"/>
    <s v="Ladislav Novák"/>
    <n v="26000"/>
    <s v="Hardturm, Zurich"/>
    <s v="Vasa Stefanovic (Referee) · Ernst Doerflinger (AR1) · Josef Gulde (AR2)"/>
    <x v="5"/>
    <x v="340"/>
    <s v="5–0"/>
    <s v="Vasa Stefanovic"/>
    <s v=""/>
    <x v="15"/>
    <x v="17"/>
    <s v="Ernst Stojaspal · 3|Erich Probst · 4|Erich Probst · 21|Erich Probst · 24|Ernst Stojaspal · 65"/>
    <s v=""/>
    <s v="['3&amp;rsquor;|1:0|Ernst Stojaspal', '4&amp;rsquor;|2:0|Erich Probst', '21&amp;rsquor;|3:0|Erich Probst', '24&amp;rsquor;|4:0|Erich Probst', '65&amp;rsquor;|5:0|Ernst Stojaspal']"/>
    <s v=""/>
    <s v=""/>
    <s v=""/>
    <s v=""/>
    <s v=""/>
    <s v=""/>
    <s v=""/>
    <s v=""/>
    <s v=""/>
    <s v=""/>
    <s v=""/>
    <s v=""/>
    <s v=""/>
    <s v=""/>
    <s v=""/>
    <s v=""/>
    <s v=""/>
    <s v=""/>
    <s v=""/>
  </r>
  <r>
    <s v="France"/>
    <s v="Mexico"/>
    <n v="3"/>
    <m/>
    <m/>
    <n v="2"/>
    <m/>
    <m/>
    <s v="Pierre Pibarot"/>
    <s v="Roger Marche"/>
    <s v="Antonio Lopez"/>
    <s v="José Naranjo"/>
    <n v="19000"/>
    <s v="Charmilles, Geneva"/>
    <s v="Manuel Asensi (Referee) · Laurent Franken (AR1) · Rene Baumberger (AR2)"/>
    <x v="5"/>
    <x v="340"/>
    <s v="3–2"/>
    <s v="Manuel Asensi"/>
    <s v=""/>
    <x v="15"/>
    <x v="17"/>
    <s v="Jean Vincent · 19"/>
    <s v="José Luis Lamadrid · 54|Tomás Balcázar · 85"/>
    <s v="['19&amp;rsquor;|1:0|Jean Vincent']"/>
    <s v="['54&amp;rsquor;|2:1|José Luis Lamadrid', '85&amp;rsquor;|2:2|Tomás Balcázar']"/>
    <s v="Raúl Cárdenas (OG) · 46"/>
    <s v=""/>
    <s v="Raymond Kopa (P) · 88"/>
    <s v=""/>
    <s v=""/>
    <s v=""/>
    <s v=""/>
    <s v=""/>
    <s v=""/>
    <s v=""/>
    <s v=""/>
    <s v=""/>
    <s v=""/>
    <s v=""/>
    <s v=""/>
    <s v=""/>
    <s v=""/>
    <s v=""/>
  </r>
  <r>
    <s v="Switzerland"/>
    <s v="Italy"/>
    <n v="2"/>
    <m/>
    <m/>
    <n v="1"/>
    <m/>
    <m/>
    <s v="Karl Rappan"/>
    <s v="Roger Bocquet"/>
    <s v="Lajos Czeizler"/>
    <s v="Giampiero Boniperti"/>
    <n v="43000"/>
    <s v="La Pontaise, Lausanne"/>
    <s v="Mario Viana (Referee) · Manuel Asensi (AR1) · Esteban Marino (AR2)"/>
    <x v="5"/>
    <x v="341"/>
    <s v="2–1"/>
    <s v="Mario Viana"/>
    <s v=""/>
    <x v="15"/>
    <x v="17"/>
    <s v="Robert Ballaman · 18|Josef Hügi · 78"/>
    <s v="Giampiero Boniperti · 44"/>
    <s v="['18&amp;rsquor;|1:0|Robert Ballaman', '78&amp;rsquor;|2:1|Josef Hügi']"/>
    <s v="['44&amp;rsquor;|1:1|Giampiero Boniperti']"/>
    <s v=""/>
    <s v=""/>
    <s v=""/>
    <s v=""/>
    <s v=""/>
    <s v=""/>
    <s v=""/>
    <s v=""/>
    <s v=""/>
    <s v=""/>
    <s v=""/>
    <s v=""/>
    <s v=""/>
    <s v=""/>
    <s v=""/>
    <s v=""/>
    <s v=""/>
    <s v=""/>
  </r>
  <r>
    <s v="Hungary"/>
    <s v="Korea Republic"/>
    <n v="9"/>
    <m/>
    <m/>
    <n v="0"/>
    <m/>
    <m/>
    <s v="Gusztav Sebes"/>
    <s v="Ferenc Puskás"/>
    <s v="Yong Shik Kim"/>
    <s v="Min Byung-dae"/>
    <n v="13000"/>
    <s v="Hardturm, Zurich"/>
    <s v="Raymond Vincenti (Referee) · Albert Von Gunter (AR1) · Carl Steiner (AR2)"/>
    <x v="5"/>
    <x v="341"/>
    <s v="9–0"/>
    <s v="Raymond Vincenti"/>
    <s v=""/>
    <x v="15"/>
    <x v="17"/>
    <s v="Ferenc Puskás · 12|Mihály Lantos · 18|Sándor Kocsis · 24|Sándor Kocsis · 36|Sándor Kocsis · 50|Zoltán Czibor · 59|Péter Palotás · 75|Péter Palotás · 83|Ferenc Puskás · 89"/>
    <s v=""/>
    <s v="['12&amp;rsquor;|1:0|Ferenc Puskás', '18&amp;rsquor;|2:0|Mihály Lantos', '24&amp;rsquor;|3:0|Sándor Kocsis', '36&amp;rsquor;|4:0|Sándor Kocsis', '50&amp;rsquor;|5:0|Sándor Kocsis', '59&amp;rsquor;|6:0|Zoltán Czibor', '75&amp;rsquor;|7:0|Péter Palotás', '83&amp;rsquor;|8:0|Péter Palotás', '89&amp;rsquor;|9:0|Ferenc Puskás']"/>
    <s v=""/>
    <s v=""/>
    <s v=""/>
    <s v=""/>
    <s v=""/>
    <s v=""/>
    <s v=""/>
    <s v=""/>
    <s v=""/>
    <s v=""/>
    <s v=""/>
    <s v=""/>
    <s v=""/>
    <s v=""/>
    <s v=""/>
    <s v=""/>
    <s v=""/>
    <s v=""/>
    <s v=""/>
  </r>
  <r>
    <s v="Germany"/>
    <s v="Türkiye"/>
    <n v="4"/>
    <m/>
    <m/>
    <n v="1"/>
    <m/>
    <m/>
    <s v="Sepp Herberger"/>
    <s v="Fritz Walter"/>
    <s v="Sandro Puppo"/>
    <s v="Turgay Şeren"/>
    <n v="28000"/>
    <s v="Wankdorf Stadium, Berne"/>
    <s v="Jose Da Costa Vieira (Referee) · Istvan Zsolt (AR1) · Armand Merlotti (AR2)"/>
    <x v="5"/>
    <x v="341"/>
    <s v="4–1"/>
    <s v="Jose Da Costa Vieira"/>
    <s v=""/>
    <x v="15"/>
    <x v="17"/>
    <s v="Hans Schäfer · 14|Bernhard Klodt · 52|Ottmar Walter · 60|Max Morlock · 84"/>
    <s v="Suat Mamat · 2"/>
    <s v="['14&amp;rsquor;|1:1|Hans Schäfer', '52&amp;rsquor;|2:1|Bernhard Klodt', '60&amp;rsquor;|3:1|Ottmar Walter', '84&amp;rsquor;|4:1|Max Morlock']"/>
    <s v="['2&amp;rsquor;|0:1|Suat Mamat']"/>
    <s v=""/>
    <s v=""/>
    <s v=""/>
    <s v=""/>
    <s v=""/>
    <s v=""/>
    <s v=""/>
    <s v=""/>
    <s v=""/>
    <s v=""/>
    <s v=""/>
    <s v=""/>
    <s v=""/>
    <s v=""/>
    <s v=""/>
    <s v=""/>
    <s v=""/>
    <s v=""/>
  </r>
  <r>
    <s v="England"/>
    <s v="Belgium"/>
    <n v="4"/>
    <m/>
    <m/>
    <n v="4"/>
    <m/>
    <m/>
    <s v="Walter Winterbottom"/>
    <s v="Billy Wright"/>
    <s v="Doug Livingstone"/>
    <s v="Joseph Mermans"/>
    <n v="14000"/>
    <s v="St. Jakob, Basel"/>
    <s v="Emil Schmetzer (Referee) · Fritz Buchmueller (AR1) · Willy Ruffli (AR2)"/>
    <x v="5"/>
    <x v="341"/>
    <s v="4–4"/>
    <s v="Emil Schmetzer"/>
    <s v="Required Extra Time"/>
    <x v="15"/>
    <x v="17"/>
    <s v="Ivor Broadis · 26|Nat Lofthouse · 36|Ivor Broadis · 63|Nat Lofthouse · 91"/>
    <s v="Léopold Anoul · 5|Henri Coppens · 67|Léopold Anoul · 71"/>
    <s v="['26&amp;rsquor;|1:1|Ivor Broadis', '36&amp;rsquor;|2:1|Nat Lofthouse', '63&amp;rsquor;|3:1|Ivor Broadis', '91&amp;rsquor;|4:3|Nat Lofthouse']"/>
    <s v="['5&amp;rsquor;|0:1|Léopold Anoul', '67&amp;rsquor;|3:2|Henri Coppens', '71&amp;rsquor;|3:3|Léopold Anoul']"/>
    <s v=""/>
    <s v="Jimmy Dickinson (OG) · 94"/>
    <s v=""/>
    <s v=""/>
    <s v=""/>
    <s v=""/>
    <s v=""/>
    <s v=""/>
    <s v=""/>
    <s v=""/>
    <s v=""/>
    <s v=""/>
    <s v=""/>
    <s v=""/>
    <s v=""/>
    <s v=""/>
    <s v=""/>
    <s v=""/>
  </r>
  <r>
    <s v="Uruguay"/>
    <s v="Czechoslovakia"/>
    <n v="2"/>
    <m/>
    <m/>
    <n v="0"/>
    <m/>
    <m/>
    <s v="Juan Lopez"/>
    <s v="Obdulio Varela"/>
    <s v="Oldrich Nejedly"/>
    <s v="Ladislav Novák"/>
    <n v="20500"/>
    <s v="Wankdorf Stadium, Berne"/>
    <s v="Arthur Ellis (Referee) · William Ling (AR1) · Werner Schicker (AR2)"/>
    <x v="5"/>
    <x v="342"/>
    <s v="2–0"/>
    <s v="Arthur Ellis"/>
    <s v=""/>
    <x v="15"/>
    <x v="17"/>
    <s v="Óscar Míguez · 71|Juan Alberto Schiaffino · 84"/>
    <s v=""/>
    <s v="['71&amp;rsquor;|1:0|Óscar Míguez', '84&amp;rsquor;|2:0|Juan Alberto Schiaffino']"/>
    <s v=""/>
    <s v=""/>
    <s v=""/>
    <s v=""/>
    <s v=""/>
    <s v=""/>
    <s v=""/>
    <s v=""/>
    <s v=""/>
    <s v=""/>
    <s v=""/>
    <s v=""/>
    <s v=""/>
    <s v=""/>
    <s v=""/>
    <s v=""/>
    <s v=""/>
    <s v=""/>
    <s v=""/>
  </r>
  <r>
    <s v="Yugoslavia"/>
    <s v="France"/>
    <n v="1"/>
    <m/>
    <m/>
    <n v="0"/>
    <m/>
    <m/>
    <s v="Aleksandar Tirnanic"/>
    <s v="Stjepan Bobek"/>
    <s v="Pierre Pibarot"/>
    <s v="Robert Jonquet"/>
    <n v="16000"/>
    <s v="La Pontaise, Lausanne"/>
    <s v="Benjamin Griffiths (Referee) · Rene Baumberger (AR1) · Manuel Asensi (AR2)"/>
    <x v="5"/>
    <x v="342"/>
    <s v="1–0"/>
    <s v="Benjamin Griffiths"/>
    <s v=""/>
    <x v="15"/>
    <x v="17"/>
    <s v="Miloš Milutinović · 15"/>
    <s v=""/>
    <s v="['15&amp;rsquor;|1:0|Miloš Milutinović']"/>
    <s v=""/>
    <s v=""/>
    <s v=""/>
    <s v=""/>
    <s v=""/>
    <s v=""/>
    <s v=""/>
    <s v=""/>
    <s v=""/>
    <s v=""/>
    <s v=""/>
    <s v=""/>
    <s v=""/>
    <s v=""/>
    <s v=""/>
    <s v=""/>
    <s v=""/>
    <s v=""/>
    <s v=""/>
  </r>
  <r>
    <s v="Brazil"/>
    <s v="Mexico"/>
    <n v="5"/>
    <m/>
    <m/>
    <n v="0"/>
    <m/>
    <m/>
    <s v="Zeze Moreira"/>
    <s v="Bauer"/>
    <s v="Antonio Lopez"/>
    <s v="José Naranjo"/>
    <n v="13470"/>
    <s v="Charmilles, Geneva"/>
    <s v="Paul Wyssling (Referee) · Ernest Schonholzer (AR1) · Jose Da Costa Vieira (AR2)"/>
    <x v="5"/>
    <x v="342"/>
    <s v="5–0"/>
    <s v="Paul Wyssling"/>
    <s v=""/>
    <x v="15"/>
    <x v="17"/>
    <s v="Baltazar · 23|Didi · 30|José Lázaro Robles · 34|José Lázaro Robles · 43|Júlio Botelho · 69"/>
    <s v=""/>
    <s v="['23&amp;rsquor;|1:0|Baltazar', '30&amp;rsquor;|2:0|Didi', '34&amp;rsquor;|3:0|José Lázaro Robles', '43&amp;rsquor;|4:0|José Lázaro Robles', '69&amp;rsquor;|5:0|Júlio Botelho']"/>
    <s v=""/>
    <s v=""/>
    <s v=""/>
    <s v=""/>
    <s v=""/>
    <s v=""/>
    <s v=""/>
    <s v=""/>
    <s v=""/>
    <s v=""/>
    <s v=""/>
    <s v=""/>
    <s v=""/>
    <s v=""/>
    <s v=""/>
    <s v=""/>
    <s v=""/>
    <s v=""/>
    <s v=""/>
  </r>
  <r>
    <s v="Austria"/>
    <s v="Scotland"/>
    <n v="1"/>
    <m/>
    <m/>
    <n v="0"/>
    <m/>
    <m/>
    <s v="Walter Nausch"/>
    <s v="Kurt Schmied"/>
    <s v="Andy Battie"/>
    <s v="Willie Cunningham"/>
    <n v="25000"/>
    <s v="Hardturm, Zurich"/>
    <s v="Laurent Franken (Referee) · Mario Viana (AR1) · Josef Gulde (AR2)"/>
    <x v="5"/>
    <x v="342"/>
    <s v="1–0"/>
    <s v="Laurent Franken"/>
    <s v=""/>
    <x v="15"/>
    <x v="17"/>
    <s v="Erich Probst · 33"/>
    <s v=""/>
    <s v="['33&amp;rsquor;|1:0|Erich Probst']"/>
    <s v=""/>
    <s v=""/>
    <s v=""/>
    <s v=""/>
    <s v=""/>
    <s v=""/>
    <s v=""/>
    <s v=""/>
    <s v=""/>
    <s v=""/>
    <s v=""/>
    <s v=""/>
    <s v=""/>
    <s v=""/>
    <s v=""/>
    <s v=""/>
    <s v=""/>
    <s v=""/>
    <s v=""/>
  </r>
  <r>
    <s v="Sweden"/>
    <s v="Spain"/>
    <n v="3"/>
    <m/>
    <m/>
    <n v="1"/>
    <m/>
    <m/>
    <s v="George Raynor"/>
    <s v="Erik Nilsson"/>
    <s v="Guillermo Eizaguirre"/>
    <s v="Telmo Zarra"/>
    <n v="11227"/>
    <s v="Pacaembu, Sao Paulo"/>
    <s v="Karel Van Der Meer (Referee) · Jean Lutz (AR1) · Prudencio Garcia (AR2)"/>
    <x v="11"/>
    <x v="343"/>
    <s v="3–1"/>
    <s v="Karel Van Der Meer"/>
    <s v=""/>
    <x v="2"/>
    <x v="18"/>
    <s v="Stig Sundqvist · 15|Bror Mellberg · 33|Karl-Erik Palmér · 80"/>
    <s v="Telmo Zarra · 82"/>
    <s v="['15&amp;rsquor;|1:0|Stig Sundqvist', '33&amp;rsquor;|2:0|Bror Mellberg', '80&amp;rsquor;|3:0|Karl-Erik Palmér']"/>
    <s v="['82&amp;rsquor;|3:1|Telmo Zarra']"/>
    <s v=""/>
    <s v=""/>
    <s v=""/>
    <s v=""/>
    <s v=""/>
    <s v=""/>
    <s v=""/>
    <s v=""/>
    <s v=""/>
    <s v=""/>
    <s v=""/>
    <s v=""/>
    <s v=""/>
    <s v=""/>
    <s v=""/>
    <s v=""/>
    <s v=""/>
    <s v=""/>
  </r>
  <r>
    <s v="Uruguay"/>
    <s v="Brazil"/>
    <n v="2"/>
    <m/>
    <m/>
    <n v="1"/>
    <m/>
    <m/>
    <s v="Juan Lopez"/>
    <s v="Obdulio Varela"/>
    <s v="Flavio Costa"/>
    <s v="Augusto da Costa"/>
    <n v="173850"/>
    <s v="Maracanï¿½ - Estï¿½dio Jornalista Mï¿½rio Filho, Rio De Janeiro"/>
    <s v="George Reader (Referee) · Arthur Ellis (AR1) · George Mitchell (AR2)"/>
    <x v="11"/>
    <x v="343"/>
    <s v="2–1"/>
    <s v="George Reader"/>
    <s v=""/>
    <x v="2"/>
    <x v="18"/>
    <s v="Juan Alberto Schiaffino · 66|Alcides Ghiggia · 79"/>
    <s v="Friaça · 47"/>
    <s v="['66&amp;rsquor;|1:1|Juan Alberto Schiaffino', '79&amp;rsquor;|2:1|Alcides Ghiggia']"/>
    <s v="['47&amp;rsquor;|0:1|Friaça']"/>
    <s v=""/>
    <s v=""/>
    <s v=""/>
    <s v=""/>
    <s v=""/>
    <s v=""/>
    <s v=""/>
    <s v=""/>
    <s v=""/>
    <s v=""/>
    <s v=""/>
    <s v=""/>
    <s v=""/>
    <s v=""/>
    <s v=""/>
    <s v=""/>
    <s v=""/>
    <s v=""/>
  </r>
  <r>
    <s v="Brazil"/>
    <s v="Spain"/>
    <n v="6"/>
    <m/>
    <m/>
    <n v="1"/>
    <m/>
    <m/>
    <s v="Flavio Costa"/>
    <s v="Augusto da Costa"/>
    <s v="Guillermo Eizaguirre"/>
    <s v="Agustín Gaínza"/>
    <n v="152772"/>
    <s v="Maracanï¿½ - Estï¿½dio Jornalista Mï¿½rio Filho, Rio De Janeiro"/>
    <s v="Reginald Leafe (Referee) · George Mitchell (AR1) · Jose Da Costa Vieira (AR2)"/>
    <x v="11"/>
    <x v="344"/>
    <s v="6–1"/>
    <s v="Reginald Leafe"/>
    <s v=""/>
    <x v="2"/>
    <x v="18"/>
    <s v="Jair da Rosa Pinto · 21|Francisco Aramburu · 31|Francisco Aramburu · 55|Ademir · 57|Zizinho · 67"/>
    <s v="Silvestre Igoa · 71"/>
    <s v="['21&amp;rsquor;|2:0|Jair da Rosa Pinto', '31&amp;rsquor;|3:0|Francisco Aramburu', '55&amp;rsquor;|4:0|Francisco Aramburu', '57&amp;rsquor;|5:0|Ademir', '67&amp;rsquor;|6:0|Zizinho']"/>
    <s v="['71&amp;rsquor;|6:1|Silvestre Igoa']"/>
    <s v="José Parra Martínez (OG) · 15"/>
    <s v=""/>
    <s v=""/>
    <s v=""/>
    <s v=""/>
    <s v=""/>
    <s v=""/>
    <s v=""/>
    <s v=""/>
    <s v=""/>
    <s v=""/>
    <s v=""/>
    <s v=""/>
    <s v=""/>
    <s v="['1&amp;rsquor;|0:0|Bigode']"/>
    <s v=""/>
    <s v=""/>
    <s v=""/>
  </r>
  <r>
    <s v="Uruguay"/>
    <s v="Sweden"/>
    <n v="3"/>
    <m/>
    <m/>
    <n v="2"/>
    <m/>
    <m/>
    <s v="Juan Lopez"/>
    <s v="Obdulio Varela"/>
    <s v="George Raynor"/>
    <s v="Erik Nilsson"/>
    <n v="7987"/>
    <s v="Pacaembu, Sao Paulo"/>
    <s v="Giovanni Galeati (Referee) · Alois Beranek (AR1) · Cayetano De Nicola (AR2)"/>
    <x v="11"/>
    <x v="344"/>
    <s v="3–2"/>
    <s v="Giovanni Galeati"/>
    <s v=""/>
    <x v="2"/>
    <x v="18"/>
    <s v="Alcides Ghiggia · 39|Óscar Míguez · 77|Óscar Míguez · 85"/>
    <s v="Karl-Erik Palmér · 5|Stig Sundqvist · 40"/>
    <s v="['39&amp;rsquor;|1:1|Alcides Ghiggia', '77&amp;rsquor;|2:2|Óscar Míguez', '85&amp;rsquor;|3:2|Óscar Míguez']"/>
    <s v="['5&amp;rsquor;|0:1|Karl-Erik Palmér', '40&amp;rsquor;|1:2|Stig Sundqvist']"/>
    <s v=""/>
    <s v=""/>
    <s v=""/>
    <s v=""/>
    <s v=""/>
    <s v=""/>
    <s v=""/>
    <s v=""/>
    <s v=""/>
    <s v=""/>
    <s v=""/>
    <s v=""/>
    <s v=""/>
    <s v=""/>
    <s v=""/>
    <s v=""/>
    <s v=""/>
    <s v=""/>
  </r>
  <r>
    <s v="Brazil"/>
    <s v="Sweden"/>
    <n v="7"/>
    <m/>
    <m/>
    <n v="1"/>
    <m/>
    <m/>
    <s v="Flavio Costa"/>
    <s v="Augusto da Costa"/>
    <s v="George Raynor"/>
    <s v="Erik Nilsson"/>
    <n v="138886"/>
    <s v="Maracanï¿½ - Estï¿½dio Jornalista Mï¿½rio Filho, Rio De Janeiro"/>
    <s v="Arthur Ellis (Referee) · Prudencio Garcia (AR1) · Charles De La Salle (AR2)"/>
    <x v="11"/>
    <x v="345"/>
    <s v="7–1"/>
    <s v="Arthur Ellis"/>
    <s v=""/>
    <x v="2"/>
    <x v="18"/>
    <s v="Ademir · 17|Ademir · 36|Francisco Aramburu · 39|Ademir · 52|Ademir · 58|Maneca · 85|Francisco Aramburu · 88"/>
    <s v=""/>
    <s v="['17&amp;rsquor;|1:0|Ademir', '36&amp;rsquor;|2:0|Ademir', '39&amp;rsquor;|3:0|Francisco Aramburu', '52&amp;rsquor;|4:0|Ademir', '58&amp;rsquor;|5:0|Ademir', '85&amp;rsquor;|6:1|Maneca', '88&amp;rsquor;|7:1|Francisco Aramburu']"/>
    <s v=""/>
    <s v=""/>
    <s v=""/>
    <s v=""/>
    <s v="Sune Andersson (P) · 67"/>
    <s v=""/>
    <s v=""/>
    <s v=""/>
    <s v=""/>
    <s v=""/>
    <s v=""/>
    <s v=""/>
    <s v=""/>
    <s v=""/>
    <s v=""/>
    <s v=""/>
    <s v=""/>
    <s v=""/>
    <s v=""/>
  </r>
  <r>
    <s v="Uruguay"/>
    <s v="Spain"/>
    <n v="2"/>
    <m/>
    <m/>
    <n v="2"/>
    <m/>
    <m/>
    <s v="Juan Lopez"/>
    <s v="Obdulio Varela"/>
    <s v="Guillermo Eizaguirre"/>
    <s v="Agustín Gaínza"/>
    <n v="44802"/>
    <s v="Pacaembu, Sao Paulo"/>
    <s v="Benjamin Griffiths (Referee) · Generoso Dattilo (AR1) · Alfredo Alvarez (AR2)"/>
    <x v="11"/>
    <x v="345"/>
    <s v="2–2"/>
    <s v="Benjamin Griffiths"/>
    <s v=""/>
    <x v="2"/>
    <x v="18"/>
    <s v="Alcides Ghiggia · 29|Obdulio Varela · 73"/>
    <s v="Estanislau Basora · 37|Estanislau Basora · 39"/>
    <s v="['29&amp;rsquor;|1:0|Alcides Ghiggia', '73&amp;rsquor;|2:2|Obdulio Varela']"/>
    <s v="['37&amp;rsquor;|1:1|Estanislau Basora', '39&amp;rsquor;|1:2|Estanislau Basora']"/>
    <s v=""/>
    <s v=""/>
    <s v=""/>
    <s v=""/>
    <s v=""/>
    <s v=""/>
    <s v=""/>
    <s v=""/>
    <s v=""/>
    <s v=""/>
    <s v=""/>
    <s v=""/>
    <s v=""/>
    <s v=""/>
    <s v=""/>
    <s v=""/>
    <s v=""/>
    <s v=""/>
  </r>
  <r>
    <s v="Chile"/>
    <s v="United States"/>
    <n v="5"/>
    <m/>
    <m/>
    <n v="2"/>
    <m/>
    <m/>
    <s v="Arturo Bucciardi"/>
    <s v="Sergio Livingstone"/>
    <s v="Bill Jeffrey"/>
    <s v="Walter Bahr"/>
    <n v="8501"/>
    <s v="Ilha do Retiro, Recife"/>
    <s v="Mario Gardelli (Referee) · Mario Ruben Heyen (AR1) · Alfredo Alvarez (AR2)"/>
    <x v="5"/>
    <x v="346"/>
    <s v="5–2"/>
    <s v="Mario Gardelli"/>
    <s v=""/>
    <x v="2"/>
    <x v="18"/>
    <s v="George Robledo · 16|Atilio Cremaschi · 32|Andrés Prieto · 54|Atilio Cremaschi · 60|Fernando Riera · 82"/>
    <s v="Frank Wallace · 47"/>
    <s v="['16&amp;rsquor;|1:0|George Robledo', '32&amp;rsquor;|2:0|Atilio Cremaschi', '54&amp;rsquor;|3:2|Andrés Prieto', '60&amp;rsquor;|4:2|Atilio Cremaschi', '82&amp;rsquor;|5:2|Fernando Riera']"/>
    <s v="['47&amp;rsquor;|2:1|Frank Wallace']"/>
    <s v=""/>
    <s v=""/>
    <s v=""/>
    <s v="Joe Maca (P) · 48"/>
    <s v=""/>
    <s v=""/>
    <s v=""/>
    <s v=""/>
    <s v=""/>
    <s v=""/>
    <s v=""/>
    <s v=""/>
    <s v=""/>
    <s v=""/>
    <s v=""/>
    <s v=""/>
    <s v=""/>
    <s v=""/>
  </r>
  <r>
    <s v="Italy"/>
    <s v="Paraguay"/>
    <n v="2"/>
    <m/>
    <m/>
    <n v="0"/>
    <m/>
    <m/>
    <s v="Ferruccio Novo"/>
    <s v="Riccardo Carapellese"/>
    <s v="Manuel Fleitas Solich"/>
    <s v="César López Fretes"/>
    <n v="25811"/>
    <s v="Pacaembu, Sao Paulo"/>
    <s v="Arthur Ellis (Referee) · Prudencio Garcia (AR1) · Charles De La Salle (AR2)"/>
    <x v="5"/>
    <x v="346"/>
    <s v="2–0"/>
    <s v="Arthur Ellis"/>
    <s v=""/>
    <x v="2"/>
    <x v="18"/>
    <s v="Riccardo Carapellese · 12|Egisto Pandolfini · 63"/>
    <s v=""/>
    <s v="['12&amp;rsquor;|1:0|Riccardo Carapellese', '63&amp;rsquor;|2:0|Egisto Pandolfini']"/>
    <s v=""/>
    <s v=""/>
    <s v=""/>
    <s v=""/>
    <s v=""/>
    <s v=""/>
    <s v=""/>
    <s v=""/>
    <s v=""/>
    <s v=""/>
    <s v=""/>
    <s v=""/>
    <s v=""/>
    <s v=""/>
    <s v=""/>
    <s v=""/>
    <s v=""/>
    <s v=""/>
    <s v=""/>
  </r>
  <r>
    <s v="Uruguay"/>
    <s v="Bolivia"/>
    <n v="8"/>
    <m/>
    <m/>
    <n v="0"/>
    <m/>
    <m/>
    <s v="Juan Lopez"/>
    <s v="Obdulio Varela"/>
    <s v="Mario Pretto"/>
    <s v="José Bustamante"/>
    <n v="5284"/>
    <s v="Independencia, Belo Horizonte"/>
    <s v="George Reader (Referee) · Mario Viana (AR1) · Leo Lemesic (AR2)"/>
    <x v="5"/>
    <x v="346"/>
    <s v="8–0"/>
    <s v="George Reader"/>
    <s v=""/>
    <x v="2"/>
    <x v="18"/>
    <s v="Óscar Míguez · 14|Ernesto Vidal · 18|Juan Alberto Schiaffino · 23|Óscar Míguez · 40|Óscar Míguez · 51|Juan Alberto Schiaffino · 54|Julio Pérez · 83|Alcides Ghiggia · 87"/>
    <s v=""/>
    <s v="['14&amp;rsquor;|1:0|Óscar Míguez', '18&amp;rsquor;|2:0|Ernesto Vidal', '23&amp;rsquor;|3:0|Juan Alberto Schiaffino', '40&amp;rsquor;|4:0|Óscar Míguez', '51&amp;rsquor;|5:0|Óscar Míguez', '54&amp;rsquor;|6:0|Juan Alberto Schiaffino', '83&amp;rsquor;|7:0|Julio Pérez', '87&amp;rsquor;|8:0|Alcides Ghiggia']"/>
    <s v=""/>
    <s v=""/>
    <s v=""/>
    <s v=""/>
    <s v=""/>
    <s v=""/>
    <s v=""/>
    <s v=""/>
    <s v=""/>
    <s v=""/>
    <s v=""/>
    <s v=""/>
    <s v=""/>
    <s v=""/>
    <s v=""/>
    <s v=""/>
    <s v=""/>
    <s v=""/>
    <s v=""/>
  </r>
  <r>
    <s v="Spain"/>
    <s v="England"/>
    <n v="1"/>
    <m/>
    <m/>
    <n v="0"/>
    <m/>
    <m/>
    <s v="Guillermo Eizaguirre"/>
    <s v="Agustín Gaínza"/>
    <s v="Walter Winterbottom"/>
    <s v="Billy Wright"/>
    <n v="74462"/>
    <s v="Maracanï¿½ - Estï¿½dio Jornalista Mï¿½rio Filho, Rio De Janeiro"/>
    <s v="Giovanni Galeati (Referee) · Jean Lutz (AR1) · Generoso Dattilo (AR2)"/>
    <x v="5"/>
    <x v="346"/>
    <s v="1–0"/>
    <s v="Giovanni Galeati"/>
    <s v=""/>
    <x v="2"/>
    <x v="18"/>
    <s v="Telmo Zarra · 48"/>
    <s v=""/>
    <s v="['48&amp;rsquor;|1:0|Telmo Zarra']"/>
    <s v=""/>
    <s v=""/>
    <s v=""/>
    <s v=""/>
    <s v=""/>
    <s v=""/>
    <s v=""/>
    <s v=""/>
    <s v=""/>
    <s v=""/>
    <s v=""/>
    <s v=""/>
    <s v=""/>
    <s v=""/>
    <s v=""/>
    <s v=""/>
    <s v=""/>
    <s v=""/>
    <s v=""/>
  </r>
  <r>
    <s v="Switzerland"/>
    <s v="Mexico"/>
    <n v="2"/>
    <m/>
    <m/>
    <n v="1"/>
    <m/>
    <m/>
    <s v="Franco Andreoli"/>
    <s v="Roger Bocquet"/>
    <s v="Octavio Vial"/>
    <s v="Horacio Casarín"/>
    <n v="3580"/>
    <s v="Eucaliptos, Porto Alegre"/>
    <s v="Ivan Eklind (Referee) · Gunnar Dahlner (AR1) · Sergio Bustamante (AR2)"/>
    <x v="5"/>
    <x v="346"/>
    <s v="2–1"/>
    <s v="Ivan Eklind"/>
    <s v=""/>
    <x v="2"/>
    <x v="18"/>
    <s v="René Bader · 10|Charles Antenen · 44"/>
    <s v="Horacio Casarín · 89"/>
    <s v="['10&amp;rsquor;|1:0|René Bader', '44&amp;rsquor;|2:0|Charles Antenen']"/>
    <s v="['89&amp;rsquor;|2:1|Horacio Casarín']"/>
    <s v=""/>
    <s v=""/>
    <s v=""/>
    <s v=""/>
    <s v=""/>
    <s v=""/>
    <s v=""/>
    <s v=""/>
    <s v=""/>
    <s v=""/>
    <s v=""/>
    <s v=""/>
    <s v=""/>
    <s v=""/>
    <s v=""/>
    <s v=""/>
    <s v=""/>
    <s v=""/>
  </r>
  <r>
    <s v="Brazil"/>
    <s v="Yugoslavia"/>
    <n v="2"/>
    <m/>
    <m/>
    <n v="0"/>
    <m/>
    <m/>
    <s v="Flavio Costa"/>
    <s v="Augusto da Costa"/>
    <s v="Milorad Arsenijevic"/>
    <s v="Zlatko Čajkovski"/>
    <n v="142429"/>
    <s v="Maracanï¿½ - Estï¿½dio Jornalista Mï¿½rio Filho, Rio De Janeiro"/>
    <s v="Benjamin Griffiths (Referee) · Alois Beranek (AR1) · Jose Da Costa Vieira (AR2)"/>
    <x v="5"/>
    <x v="347"/>
    <s v="2–0"/>
    <s v="Benjamin Griffiths"/>
    <s v=""/>
    <x v="2"/>
    <x v="18"/>
    <s v="Ademir · 4|Zizinho · 69"/>
    <s v=""/>
    <s v="['4&amp;rsquor;|1:0|Ademir', '69&amp;rsquor;|2:0|Zizinho']"/>
    <s v=""/>
    <s v=""/>
    <s v=""/>
    <s v=""/>
    <s v=""/>
    <s v=""/>
    <s v=""/>
    <s v=""/>
    <s v=""/>
    <s v=""/>
    <s v=""/>
    <s v=""/>
    <s v=""/>
    <s v=""/>
    <s v=""/>
    <s v=""/>
    <s v=""/>
    <s v=""/>
    <s v=""/>
  </r>
  <r>
    <s v="Spain"/>
    <s v="Chile"/>
    <n v="2"/>
    <m/>
    <m/>
    <n v="0"/>
    <m/>
    <m/>
    <s v="Guillermo Eizaguirre"/>
    <s v="Agustín Gaínza"/>
    <s v="Arturo Bucciardi"/>
    <s v="Sergio Livingstone"/>
    <n v="19790"/>
    <s v="Maracanï¿½ - Estï¿½dio Jornalista Mï¿½rio Filho, Rio De Janeiro"/>
    <s v="Alberto Malcher (Referee) · Esteban Marino (AR1) · Alfredo Alvarez (AR2)"/>
    <x v="5"/>
    <x v="348"/>
    <s v="2–0"/>
    <s v="Alberto Malcher"/>
    <s v=""/>
    <x v="2"/>
    <x v="18"/>
    <s v="Estanislau Basora · 17|Telmo Zarra · 30"/>
    <s v=""/>
    <s v="['17&amp;rsquor;|1:0|Estanislau Basora', '30&amp;rsquor;|2:0|Telmo Zarra']"/>
    <s v=""/>
    <s v=""/>
    <s v=""/>
    <s v=""/>
    <s v=""/>
    <s v=""/>
    <s v=""/>
    <s v=""/>
    <s v=""/>
    <s v=""/>
    <s v=""/>
    <s v=""/>
    <s v=""/>
    <s v=""/>
    <s v=""/>
    <s v=""/>
    <s v=""/>
    <s v=""/>
    <s v=""/>
  </r>
  <r>
    <s v="United States"/>
    <s v="England"/>
    <n v="1"/>
    <m/>
    <m/>
    <n v="0"/>
    <m/>
    <m/>
    <s v="Bill Jeffrey"/>
    <s v="Ed McIlvenny"/>
    <s v="Walter Winterbottom"/>
    <s v="Billy Wright"/>
    <n v="10151"/>
    <s v="Independencia, Belo Horizonte"/>
    <s v="Generoso Dattilo (Referee) · Charles De La Salle (AR1) · Giovanni Galeati (AR2)"/>
    <x v="5"/>
    <x v="348"/>
    <s v="1–0"/>
    <s v="Generoso Dattilo"/>
    <s v=""/>
    <x v="2"/>
    <x v="18"/>
    <s v="Joe Gaetjens · 38"/>
    <s v=""/>
    <s v="['38&amp;rsquor;|1:0|Joe Gaetjens']"/>
    <s v=""/>
    <s v=""/>
    <s v=""/>
    <s v=""/>
    <s v=""/>
    <s v=""/>
    <s v=""/>
    <s v=""/>
    <s v=""/>
    <s v=""/>
    <s v=""/>
    <s v=""/>
    <s v=""/>
    <s v=""/>
    <s v=""/>
    <s v=""/>
    <s v=""/>
    <s v=""/>
    <s v=""/>
  </r>
  <r>
    <s v="Sweden"/>
    <s v="Paraguay"/>
    <n v="2"/>
    <m/>
    <m/>
    <n v="2"/>
    <m/>
    <m/>
    <s v="George Raynor"/>
    <s v="Erik Nilsson"/>
    <s v="Manuel Fleitas Solich"/>
    <s v="César López Fretes"/>
    <n v="7903"/>
    <s v="Durival de Brito, Curitiba"/>
    <s v="Robert Mitchell (Referee) · Leo Lemesic (AR1) · Prudencio Garcia (AR2)"/>
    <x v="5"/>
    <x v="348"/>
    <s v="2–2"/>
    <s v="Robert Mitchell"/>
    <s v=""/>
    <x v="2"/>
    <x v="18"/>
    <s v="Stig Sundqvist · 17|Karl-Erik Palmér · 26"/>
    <s v="César López Fretes · 35|Atilio López · 74"/>
    <s v="['17&amp;rsquor;|1:0|Stig Sundqvist', '26&amp;rsquor;|2:0|Karl-Erik Palmér']"/>
    <s v="['35&amp;rsquor;|2:1|César López Fretes', '74&amp;rsquor;|2:2|Atilio López']"/>
    <s v=""/>
    <s v=""/>
    <s v=""/>
    <s v=""/>
    <s v=""/>
    <s v=""/>
    <s v=""/>
    <s v=""/>
    <s v=""/>
    <s v=""/>
    <s v=""/>
    <s v=""/>
    <s v=""/>
    <s v=""/>
    <s v=""/>
    <s v=""/>
    <s v=""/>
    <s v=""/>
  </r>
  <r>
    <s v="Brazil"/>
    <s v="Switzerland"/>
    <n v="2"/>
    <m/>
    <m/>
    <n v="2"/>
    <m/>
    <m/>
    <s v="Flavio Costa"/>
    <s v="Augusto da Costa"/>
    <s v="Franco Andreoli"/>
    <s v="Alfred Bickel"/>
    <n v="42032"/>
    <s v="Pacaembu, Sao Paulo"/>
    <s v="Ramon Azon Roma (Referee) · Sergio Bustamante (AR1) · Cayetano De Nicola (AR2)"/>
    <x v="5"/>
    <x v="349"/>
    <s v="2–2"/>
    <s v="Ramon Azon Roma"/>
    <s v=""/>
    <x v="2"/>
    <x v="18"/>
    <s v="Alfredo II · 3|Baltazar · 32"/>
    <s v="Jacques Fatton · 17|Jacques Fatton · 88"/>
    <s v="['3&amp;rsquor;|1:0|Alfredo II', '32&amp;rsquor;|2:1|Baltazar']"/>
    <s v="['17&amp;rsquor;|1:1|Jacques Fatton', '88&amp;rsquor;|2:2|Jacques Fatton']"/>
    <s v=""/>
    <s v=""/>
    <s v=""/>
    <s v=""/>
    <s v=""/>
    <s v=""/>
    <s v=""/>
    <s v=""/>
    <s v=""/>
    <s v=""/>
    <s v=""/>
    <s v=""/>
    <s v=""/>
    <s v=""/>
    <s v=""/>
    <s v=""/>
    <s v=""/>
    <s v=""/>
  </r>
  <r>
    <s v="Yugoslavia"/>
    <s v="Mexico"/>
    <n v="4"/>
    <m/>
    <m/>
    <n v="1"/>
    <m/>
    <m/>
    <s v="Milorad Arsenijevic"/>
    <s v="Ivica Horvat"/>
    <s v="Octavio Vial"/>
    <s v="Horacio Casarín"/>
    <n v="11078"/>
    <s v="Eucaliptos, Porto Alegre"/>
    <s v="Reginald Leafe (Referee) · Gunnar Dahlner (AR1) · Karel Van Der Meer (AR2)"/>
    <x v="5"/>
    <x v="349"/>
    <s v="4–1"/>
    <s v="Reginald Leafe"/>
    <s v=""/>
    <x v="2"/>
    <x v="18"/>
    <s v="Stjepan Bobek · 20|Željko Čajkovski · 23|Željko Čajkovski · 51|Kosta Tomašević · 81"/>
    <s v=""/>
    <s v="['20&amp;rsquor;|1:0|Stjepan Bobek', '23&amp;rsquor;|2:0|Željko Čajkovski', '51&amp;rsquor;|3:0|Željko Čajkovski', '81&amp;rsquor;|4:0|Kosta Tomašević']"/>
    <s v=""/>
    <s v=""/>
    <s v=""/>
    <s v=""/>
    <s v="Héctor Ortiz (P) · 89"/>
    <s v=""/>
    <s v=""/>
    <s v=""/>
    <s v=""/>
    <s v=""/>
    <s v=""/>
    <s v=""/>
    <s v=""/>
    <s v=""/>
    <s v=""/>
    <s v=""/>
    <s v=""/>
    <s v=""/>
    <s v=""/>
  </r>
  <r>
    <s v="Sweden"/>
    <s v="Italy"/>
    <n v="3"/>
    <m/>
    <m/>
    <n v="2"/>
    <m/>
    <m/>
    <s v="George Raynor"/>
    <s v="Erik Nilsson"/>
    <s v="Ferruccio Novo"/>
    <s v="Riccardo Carapellese"/>
    <n v="36502"/>
    <s v="Pacaembu, Sao Paulo"/>
    <s v="Jean Lutz (Referee) · Alois Beranek (AR1) · Carlos Tejada (AR2)"/>
    <x v="5"/>
    <x v="350"/>
    <s v="3–2"/>
    <s v="Jean Lutz"/>
    <s v=""/>
    <x v="2"/>
    <x v="18"/>
    <s v="Hasse Jeppson · 25|Sune Andersson · 34|Hasse Jeppson · 69"/>
    <s v="Riccardo Carapellese · 7|Ermes Muccinelli · 78"/>
    <s v="['25&amp;rsquor;|1:1|Hasse Jeppson', '34&amp;rsquor;|2:1|Sune Andersson', '69&amp;rsquor;|3:1|Hasse Jeppson']"/>
    <s v="['7&amp;rsquor;|0:1|Riccardo Carapellese', '78&amp;rsquor;|3:2|Ermes Muccinelli']"/>
    <s v=""/>
    <s v=""/>
    <s v=""/>
    <s v=""/>
    <s v=""/>
    <s v=""/>
    <s v=""/>
    <s v=""/>
    <s v=""/>
    <s v=""/>
    <s v=""/>
    <s v=""/>
    <s v=""/>
    <s v=""/>
    <s v=""/>
    <s v=""/>
    <s v=""/>
    <s v=""/>
  </r>
  <r>
    <s v="England"/>
    <s v="Chile"/>
    <n v="2"/>
    <m/>
    <m/>
    <n v="0"/>
    <m/>
    <m/>
    <s v="Walter Winterbottom"/>
    <s v="Billy Wright"/>
    <s v="Arturo Bucciardi"/>
    <s v="Sergio Livingstone"/>
    <n v="29703"/>
    <s v="Maracanï¿½ - Estï¿½dio Jornalista Mï¿½rio Filho, Rio De Janeiro"/>
    <s v="Karel Van Der Meer (Referee) · Mario Gardelli (AR1) · Gunnar Dahlner (AR2)"/>
    <x v="5"/>
    <x v="350"/>
    <s v="2–0"/>
    <s v="Karel Van Der Meer"/>
    <s v=""/>
    <x v="2"/>
    <x v="18"/>
    <s v="Stan Mortensen · 39|Wilf Mannion · 51"/>
    <s v=""/>
    <s v="['39&amp;rsquor;|1:0|Stan Mortensen', '51&amp;rsquor;|2:0|Wilf Mannion']"/>
    <s v=""/>
    <s v=""/>
    <s v=""/>
    <s v=""/>
    <s v=""/>
    <s v=""/>
    <s v=""/>
    <s v=""/>
    <s v=""/>
    <s v=""/>
    <s v=""/>
    <s v=""/>
    <s v=""/>
    <s v=""/>
    <s v=""/>
    <s v=""/>
    <s v=""/>
    <s v=""/>
    <s v=""/>
  </r>
  <r>
    <s v="Spain"/>
    <s v="United States"/>
    <n v="3"/>
    <m/>
    <m/>
    <n v="1"/>
    <m/>
    <m/>
    <s v="Guillermo Eizaguirre"/>
    <s v="Ignacio Eizaguirre"/>
    <s v="Bill Jeffrey"/>
    <s v="Harry Keough"/>
    <n v="9511"/>
    <s v="Durival de Brito, Curitiba"/>
    <s v="Mario Viana (Referee) · Jose Da Costa Vieira (AR1) · Charles De La Salle (AR2)"/>
    <x v="5"/>
    <x v="350"/>
    <s v="3–1"/>
    <s v="Mario Viana"/>
    <s v=""/>
    <x v="2"/>
    <x v="18"/>
    <s v="Silvestre Igoa · 81|Estanislau Basora · 83|Telmo Zarra · 89"/>
    <s v="Gino Pariani · 17"/>
    <s v="['81&amp;rsquor;|1:1|Silvestre Igoa', '83&amp;rsquor;|2:1|Estanislau Basora', '89&amp;rsquor;|3:1|Telmo Zarra']"/>
    <s v="['17&amp;rsquor;|0:1|Gino Pariani']"/>
    <s v=""/>
    <s v=""/>
    <s v=""/>
    <s v=""/>
    <s v=""/>
    <s v=""/>
    <s v=""/>
    <s v=""/>
    <s v=""/>
    <s v=""/>
    <s v=""/>
    <s v=""/>
    <s v=""/>
    <s v=""/>
    <s v=""/>
    <s v=""/>
    <s v=""/>
    <s v=""/>
  </r>
  <r>
    <s v="Yugoslavia"/>
    <s v="Switzerland"/>
    <n v="3"/>
    <m/>
    <m/>
    <n v="0"/>
    <m/>
    <m/>
    <s v="Milorad Arsenijevic"/>
    <s v="Rajko Mitić"/>
    <s v="Franco Andreoli"/>
    <s v="Alfred Bickel"/>
    <n v="7336"/>
    <s v="Independencia, Belo Horizonte"/>
    <s v="Giovanni Galeati (Referee) · Ivan Eklind (AR1) · Generoso Dattilo (AR2)"/>
    <x v="5"/>
    <x v="350"/>
    <s v="3–0"/>
    <s v="Giovanni Galeati"/>
    <s v=""/>
    <x v="2"/>
    <x v="18"/>
    <s v="Rajko Mitić · 59|Kosta Tomašević · 70|Tihomir Ognjanov · 84"/>
    <s v=""/>
    <s v="['59&amp;rsquor;|1:0|Rajko Mitić', '70&amp;rsquor;|2:0|Kosta Tomašević', '84&amp;rsquor;|3:0|Tihomir Ognjanov']"/>
    <s v=""/>
    <s v=""/>
    <s v=""/>
    <s v=""/>
    <s v=""/>
    <s v=""/>
    <s v=""/>
    <s v=""/>
    <s v=""/>
    <s v=""/>
    <s v=""/>
    <s v=""/>
    <s v=""/>
    <s v=""/>
    <s v=""/>
    <s v=""/>
    <s v=""/>
    <s v=""/>
    <s v=""/>
  </r>
  <r>
    <s v="Brazil"/>
    <s v="Mexico"/>
    <n v="4"/>
    <m/>
    <m/>
    <n v="0"/>
    <m/>
    <m/>
    <s v="Flavio Costa"/>
    <s v="Augusto da Costa"/>
    <s v="Octavio Vial"/>
    <s v="Alfonso Montemayor"/>
    <n v="81649"/>
    <s v="Maracanï¿½ - Estï¿½dio Jornalista Mï¿½rio Filho, Rio De Janeiro"/>
    <s v="George Reader (Referee) · Benjamin Griffiths (AR1) · George Mitchell (AR2)"/>
    <x v="5"/>
    <x v="351"/>
    <s v="4–0"/>
    <s v="George Reader"/>
    <s v=""/>
    <x v="2"/>
    <x v="18"/>
    <s v="Ademir · 30|Jair da Rosa Pinto · 65|Baltazar · 71|Ademir · 79"/>
    <s v=""/>
    <s v="['30&amp;rsquor;|1:0|Ademir', '65&amp;rsquor;|2:0|Jair da Rosa Pinto', '71&amp;rsquor;|3:0|Baltazar', '79&amp;rsquor;|4:0|Ademir']"/>
    <s v=""/>
    <s v=""/>
    <s v=""/>
    <s v=""/>
    <s v=""/>
    <s v=""/>
    <s v=""/>
    <s v=""/>
    <s v=""/>
    <s v=""/>
    <s v=""/>
    <s v=""/>
    <s v=""/>
    <s v=""/>
    <s v=""/>
    <s v=""/>
    <s v=""/>
    <s v=""/>
    <s v=""/>
  </r>
  <r>
    <s v="Brazil"/>
    <s v="Sweden"/>
    <n v="4"/>
    <m/>
    <m/>
    <n v="2"/>
    <m/>
    <m/>
    <s v="Ademar Pimenta"/>
    <s v="Leônidas"/>
    <s v="Joszef Nagy"/>
    <s v="Kurt Svanström"/>
    <n v="12000"/>
    <s v="Stade du Parc Lescure, Bordeaux"/>
    <s v="Jean Langenus (Referee) · Olive D. (AR1) · Ferdinand Valprede (AR2)"/>
    <x v="1"/>
    <x v="352"/>
    <s v="4–2"/>
    <s v="Jean Langenus"/>
    <s v=""/>
    <x v="6"/>
    <x v="19"/>
    <s v="Romeu Pellicciari · 44|Leônidas · 63|Leônidas · 74|José Perácio · 80"/>
    <s v="Sven Jonasson · 28|Arne Nyberg · 38"/>
    <s v="['44&amp;rsquor;|1:2|Romeu Pellicciari', '63&amp;rsquor;|2:2|Leônidas', '74&amp;rsquor;|3:2|Leônidas', '80&amp;rsquor;|4:2|José Perácio']"/>
    <s v="['28&amp;rsquor;|0:1|Sven Jonasson', '38&amp;rsquor;|0:2|Arne Nyberg']"/>
    <s v=""/>
    <s v=""/>
    <s v=""/>
    <s v=""/>
    <s v=""/>
    <s v=""/>
    <s v=""/>
    <s v=""/>
    <s v=""/>
    <s v=""/>
    <s v=""/>
    <s v=""/>
    <s v=""/>
    <s v=""/>
    <s v=""/>
    <s v=""/>
    <s v=""/>
    <s v=""/>
  </r>
  <r>
    <s v="Italy"/>
    <s v="Hungary"/>
    <n v="4"/>
    <m/>
    <m/>
    <n v="2"/>
    <m/>
    <m/>
    <s v="Vittorio Pozzo"/>
    <s v="Giuseppe Meazza"/>
    <s v="Karoly Dietz"/>
    <s v="György Sárosi"/>
    <n v="45000"/>
    <s v="Stade Olympique, Colombes"/>
    <s v="Georges Capdeville (Referee) · Hans Wuethrich (AR1) · Gustav Krist (AR2)"/>
    <x v="0"/>
    <x v="352"/>
    <s v="4–2"/>
    <s v="Georges Capdeville"/>
    <s v=""/>
    <x v="6"/>
    <x v="19"/>
    <s v="Gino Colaussi · 6|Silvio Piola · 16|Gino Colaussi · 35|Silvio Piola · 82"/>
    <s v="Pál Titkos · 8|György Sárosi · 70"/>
    <s v="['6&amp;rsquor;|1:0|Gino Colaussi', '16&amp;rsquor;|2:1|Silvio Piola', '35&amp;rsquor;|3:1|Gino Colaussi', '82&amp;rsquor;|4:2|Silvio Piola']"/>
    <s v="['8&amp;rsquor;|1:1|Pál Titkos', '70&amp;rsquor;|3:2|György Sárosi']"/>
    <s v=""/>
    <s v=""/>
    <s v=""/>
    <s v=""/>
    <s v=""/>
    <s v=""/>
    <s v=""/>
    <s v=""/>
    <s v=""/>
    <s v=""/>
    <s v=""/>
    <s v=""/>
    <s v=""/>
    <s v=""/>
    <s v=""/>
    <s v=""/>
    <s v=""/>
    <s v=""/>
  </r>
  <r>
    <s v="Hungary"/>
    <s v="Sweden"/>
    <n v="5"/>
    <m/>
    <m/>
    <n v="1"/>
    <m/>
    <m/>
    <s v="Karoly Dietz"/>
    <s v="György Sárosi"/>
    <s v="Joszef Nagy"/>
    <s v="Tore Keller"/>
    <n v="20000"/>
    <s v="Parc des Princes, Paris"/>
    <s v="Lucien Leclercq (Referee) · Johannes Van Moorsel (AR1) · Giuseppe Scarpi (AR2)"/>
    <x v="2"/>
    <x v="353"/>
    <s v="5–1"/>
    <s v="Lucien Leclercq"/>
    <s v=""/>
    <x v="6"/>
    <x v="19"/>
    <s v="Pál Titkos · 37|Gyula Zsengellér · 39|György Sárosi · 65|Gyula Zsengellér · 85"/>
    <s v="Arne Nyberg · 1"/>
    <s v="['37&amp;rsquor;|2:1|Pál Titkos', '39&amp;rsquor;|3:1|Gyula Zsengellér', '65&amp;rsquor;|4:1|György Sárosi', '85&amp;rsquor;|5:1|Gyula Zsengellér']"/>
    <s v="['1&amp;rsquor;|0:1|Arne Nyberg']"/>
    <s v="Sven Jacobsson (OG) · 19"/>
    <s v=""/>
    <s v=""/>
    <s v=""/>
    <s v=""/>
    <s v=""/>
    <s v=""/>
    <s v=""/>
    <s v=""/>
    <s v=""/>
    <s v=""/>
    <s v=""/>
    <s v=""/>
    <s v=""/>
    <s v=""/>
    <s v=""/>
    <s v=""/>
    <s v=""/>
  </r>
  <r>
    <s v="Italy"/>
    <s v="Brazil"/>
    <n v="2"/>
    <m/>
    <m/>
    <n v="1"/>
    <m/>
    <m/>
    <s v="Vittorio Pozzo"/>
    <s v="Giuseppe Meazza"/>
    <s v="Ademar Pimenta"/>
    <s v="Martim Mércio da Silveira"/>
    <n v="33000"/>
    <s v="Stade Vï¿½lodrome, Marseilles"/>
    <s v="Hans Wuethrich (Referee) · Alois Beranek (AR1) · Paul Marenco (AR2)"/>
    <x v="2"/>
    <x v="353"/>
    <s v="2–1"/>
    <s v="Hans Wuethrich"/>
    <s v=""/>
    <x v="6"/>
    <x v="19"/>
    <s v="Gino Colaussi · 51"/>
    <s v="Romeu Pellicciari · 87"/>
    <s v="['51&amp;rsquor;|1:0|Gino Colaussi']"/>
    <s v="['87&amp;rsquor;|2:1|Romeu Pellicciari']"/>
    <s v=""/>
    <s v=""/>
    <s v="Giuseppe Meazza (P) · 60"/>
    <s v=""/>
    <s v=""/>
    <s v=""/>
    <s v=""/>
    <s v=""/>
    <s v=""/>
    <s v=""/>
    <s v=""/>
    <s v=""/>
    <s v=""/>
    <s v=""/>
    <s v=""/>
    <s v=""/>
    <s v=""/>
    <s v=""/>
  </r>
  <r>
    <s v="Brazil"/>
    <s v="Czechoslovakia"/>
    <n v="2"/>
    <m/>
    <m/>
    <n v="1"/>
    <m/>
    <m/>
    <s v="Ademar Pimenta"/>
    <s v="Leônidas"/>
    <s v="Vaclav Meissner"/>
    <s v="Jaroslav Burgr"/>
    <n v="18141"/>
    <s v="Stade du Parc Lescure, Bordeaux"/>
    <s v="Georges Capdeville (Referee) · Paul Marenco (AR1) · Ernest Kissenberger (AR2)"/>
    <x v="3"/>
    <x v="354"/>
    <s v="2–1"/>
    <s v="Georges Capdeville"/>
    <s v=""/>
    <x v="6"/>
    <x v="19"/>
    <s v="Leônidas · 57|Roberto · 63"/>
    <s v="Vlastimil Kopecký · 25"/>
    <s v="['57&amp;rsquor;|1:1|Leônidas', '63&amp;rsquor;|2:1|Roberto']"/>
    <s v="['25&amp;rsquor;|0:1|Vlastimil Kopecký']"/>
    <s v=""/>
    <s v=""/>
    <s v=""/>
    <s v=""/>
    <s v=""/>
    <s v=""/>
    <s v=""/>
    <s v=""/>
    <s v=""/>
    <s v=""/>
    <s v=""/>
    <s v=""/>
    <s v=""/>
    <s v=""/>
    <s v=""/>
    <s v=""/>
    <s v=""/>
    <s v=""/>
  </r>
  <r>
    <s v="Sweden"/>
    <s v="Cuba"/>
    <n v="8"/>
    <m/>
    <m/>
    <n v="0"/>
    <m/>
    <m/>
    <s v="Joszef Nagy"/>
    <s v="Tore Keller"/>
    <s v="Jose Tapia"/>
    <s v="Tomás Fernández"/>
    <n v="7000"/>
    <s v="Fort Carree, Antibes"/>
    <s v="Gustav Krist (Referee) · Karl Weingartner (AR1) · Victor Sdez (AR2)"/>
    <x v="3"/>
    <x v="355"/>
    <s v="8–0"/>
    <s v="Gustav Krist"/>
    <s v=""/>
    <x v="6"/>
    <x v="19"/>
    <s v="Harry Andersson · 9|Gustav Wetterström · 22|Gustav Wetterström · 37|Gustav Wetterström · 44|Tore Keller · 80|Harry Andersson · 81|Arne Nyberg · 84|Harry Andersson · 89"/>
    <s v=""/>
    <s v="['9&amp;rsquor;|1:0|Harry Andersson', '22&amp;rsquor;|2:0|Gustav Wetterström', '37&amp;rsquor;|3:0|Gustav Wetterström', '44&amp;rsquor;|4:0|Gustav Wetterström', '80&amp;rsquor;|5:0|Tore Keller', '81&amp;rsquor;|6:0|Harry Andersson', '84&amp;rsquor;|7:0|Arne Nyberg', '89&amp;rsquor;|8:0|Harry Andersson']"/>
    <s v=""/>
    <s v=""/>
    <s v=""/>
    <s v=""/>
    <s v=""/>
    <s v=""/>
    <s v=""/>
    <s v=""/>
    <s v=""/>
    <s v=""/>
    <s v=""/>
    <s v=""/>
    <s v=""/>
    <s v=""/>
    <s v=""/>
    <s v=""/>
    <s v=""/>
    <s v=""/>
    <s v=""/>
  </r>
  <r>
    <s v="Brazil"/>
    <s v="Czechoslovakia"/>
    <n v="1"/>
    <m/>
    <m/>
    <n v="1"/>
    <m/>
    <m/>
    <s v="Ademar Pimenta"/>
    <s v="Martim Mércio da Silveira"/>
    <s v="Vaclav Meissner"/>
    <s v="František Plánička"/>
    <n v="22021"/>
    <s v="Stade du Parc Lescure, Bordeaux"/>
    <s v="Pal Von Hertzka (Referee) · Giuseppe Scarpi (AR1) · Charles De La Salle (AR2)"/>
    <x v="3"/>
    <x v="355"/>
    <s v="1–1"/>
    <s v="Pal Von Hertzka"/>
    <s v="Required Extra Time"/>
    <x v="6"/>
    <x v="19"/>
    <s v="Leônidas · 30"/>
    <s v=""/>
    <s v="['30&amp;rsquor;|1:0|Leônidas']"/>
    <s v=""/>
    <s v=""/>
    <s v=""/>
    <s v=""/>
    <s v="Oldřich Nejedlý (P) · 65"/>
    <s v=""/>
    <s v=""/>
    <s v=""/>
    <s v=""/>
    <s v=""/>
    <s v=""/>
    <s v="Zezé Procópio · 14|Arthur Machado · 89"/>
    <s v="Jan Říha · 89"/>
    <s v=""/>
    <s v=""/>
    <s v=""/>
    <s v=""/>
    <s v=""/>
    <s v=""/>
  </r>
  <r>
    <s v="Hungary"/>
    <s v="Switzerland"/>
    <n v="2"/>
    <m/>
    <m/>
    <n v="0"/>
    <m/>
    <m/>
    <s v="Karoly Dietz"/>
    <s v="György Sárosi"/>
    <s v="Karl Rappan"/>
    <s v="André Abegglen"/>
    <n v="15000"/>
    <s v="Victor Boucquey, Lille"/>
    <s v="Rinaldo Barlassina (Referee) · Alois Beranek (AR1) · Boutoure D. (AR2)"/>
    <x v="3"/>
    <x v="355"/>
    <s v="2–0"/>
    <s v="Rinaldo Barlassina"/>
    <s v=""/>
    <x v="6"/>
    <x v="19"/>
    <s v="György Sárosi · 40|Gyula Zsengellér · 89"/>
    <s v=""/>
    <s v="['40&amp;rsquor;|1:0|György Sárosi', '89&amp;rsquor;|2:0|Gyula Zsengellér']"/>
    <s v=""/>
    <s v=""/>
    <s v=""/>
    <s v=""/>
    <s v=""/>
    <s v=""/>
    <s v=""/>
    <s v=""/>
    <s v=""/>
    <s v=""/>
    <s v=""/>
    <s v=""/>
    <s v=""/>
    <s v=""/>
    <s v=""/>
    <s v=""/>
    <s v=""/>
    <s v=""/>
    <s v=""/>
  </r>
  <r>
    <s v="Italy"/>
    <s v="France"/>
    <n v="3"/>
    <m/>
    <m/>
    <n v="1"/>
    <m/>
    <m/>
    <s v="Vittorio Pozzo"/>
    <s v="Giuseppe Meazza"/>
    <s v="Gaston Barreau"/>
    <s v="Étienne Mattler"/>
    <n v="58455"/>
    <s v="Stade Olympique, Colombes"/>
    <s v="Louis Baert (Referee) · Hans Wuethrich (AR1) · Ivan Eklind (AR2)"/>
    <x v="3"/>
    <x v="355"/>
    <s v="3–1"/>
    <s v="Louis Baert"/>
    <s v=""/>
    <x v="6"/>
    <x v="19"/>
    <s v="Gino Colaussi · 9|Silvio Piola · 51|Silvio Piola · 72"/>
    <s v="Oscar Heisserer · 10"/>
    <s v="['9&amp;rsquor;|1:0|Gino Colaussi', '51&amp;rsquor;|2:1|Silvio Piola', '72&amp;rsquor;|3:1|Silvio Piola']"/>
    <s v="['10&amp;rsquor;|1:1|Oscar Heisserer']"/>
    <s v=""/>
    <s v=""/>
    <s v=""/>
    <s v=""/>
    <s v=""/>
    <s v=""/>
    <s v=""/>
    <s v=""/>
    <s v=""/>
    <s v=""/>
    <s v=""/>
    <s v=""/>
    <s v=""/>
    <s v=""/>
    <s v=""/>
    <s v=""/>
    <s v=""/>
    <s v=""/>
  </r>
  <r>
    <s v="Switzerland"/>
    <s v="Germany"/>
    <n v="4"/>
    <m/>
    <m/>
    <n v="2"/>
    <m/>
    <m/>
    <s v="Karl Rappan"/>
    <s v="Severino Minelli"/>
    <s v="Sepp Herberger"/>
    <s v="Fritz Szepan"/>
    <n v="20025"/>
    <s v="Parc des Princes, Paris"/>
    <s v="Ivan Eklind (Referee) · Louis Baert (AR1) · Johannes Van Moorsel (AR2)"/>
    <x v="4"/>
    <x v="356"/>
    <s v="4–2"/>
    <s v="Ivan Eklind"/>
    <s v=""/>
    <x v="6"/>
    <x v="19"/>
    <s v="Eugen Walaschek · 42|Alfred Bickel · 64|André Abegglen · 75|André Abegglen · 78"/>
    <s v="Wilhelm Hahnemann · 8"/>
    <s v="['42&amp;rsquor;|1:2|Eugen Walaschek', '64&amp;rsquor;|2:2|Alfred Bickel', '75&amp;rsquor;|3:2|André Abegglen', '78&amp;rsquor;|4:2|André Abegglen']"/>
    <s v="['8&amp;rsquor;|0:1|Wilhelm Hahnemann']"/>
    <s v=""/>
    <s v="Ernst Lörtscher (OG) · 22"/>
    <s v=""/>
    <s v=""/>
    <s v=""/>
    <s v=""/>
    <s v=""/>
    <s v=""/>
    <s v=""/>
    <s v=""/>
    <s v=""/>
    <s v=""/>
    <s v=""/>
    <s v=""/>
    <s v=""/>
    <s v=""/>
    <s v=""/>
    <s v=""/>
  </r>
  <r>
    <s v="Cuba"/>
    <s v="Romania"/>
    <n v="2"/>
    <m/>
    <m/>
    <n v="1"/>
    <m/>
    <m/>
    <s v="Jose Tapia"/>
    <s v="Tomás Fernández"/>
    <s v="Coloman Braun"/>
    <s v="Ștefan Dobay"/>
    <n v="8000"/>
    <s v="Stade Municipal, Toulouse"/>
    <s v="Alfred Birlem (Referee) · Pierre Capdeville (AR1) · Paul Marenco (AR2)"/>
    <x v="4"/>
    <x v="356"/>
    <s v="2–1"/>
    <s v="Alfred Birlem"/>
    <s v=""/>
    <x v="6"/>
    <x v="19"/>
    <s v="Héctor Socorro · 51|Tomás Fernández · 57"/>
    <s v="Ștefan Dobay · 35"/>
    <s v="['51&amp;rsquor;|1:1|Héctor Socorro', '57&amp;rsquor;|2:1|Tomás Fernández']"/>
    <s v="['35&amp;rsquor;|0:1|Ștefan Dobay']"/>
    <s v=""/>
    <s v=""/>
    <s v=""/>
    <s v=""/>
    <s v=""/>
    <s v=""/>
    <s v=""/>
    <s v=""/>
    <s v=""/>
    <s v=""/>
    <s v=""/>
    <s v=""/>
    <s v=""/>
    <s v=""/>
    <s v=""/>
    <s v=""/>
    <s v=""/>
    <s v=""/>
  </r>
  <r>
    <s v="Italy"/>
    <s v="Norway"/>
    <n v="2"/>
    <m/>
    <m/>
    <n v="1"/>
    <m/>
    <m/>
    <s v="Vittorio Pozzo"/>
    <s v="Giuseppe Meazza"/>
    <s v="Asbjorn Halvorsen"/>
    <s v="Nils Eriksen"/>
    <n v="19000"/>
    <s v="Stade Vï¿½lodrome, Marseilles"/>
    <s v="Alois Beranek (Referee) · Boutoure D. (AR1) · Trehou D. (AR2)"/>
    <x v="4"/>
    <x v="357"/>
    <s v="2–1"/>
    <s v="Alois Beranek"/>
    <s v="Required Extra Time"/>
    <x v="6"/>
    <x v="19"/>
    <s v="Pietro Ferraris · 2|Silvio Piola · 94"/>
    <s v="Arne Brustad · 83"/>
    <s v="['2&amp;rsquor;|1:0|Pietro Ferraris', '94&amp;rsquor;|2:1|Silvio Piola']"/>
    <s v="['83&amp;rsquor;|1:1|Arne Brustad']"/>
    <s v=""/>
    <s v=""/>
    <s v=""/>
    <s v=""/>
    <s v=""/>
    <s v=""/>
    <s v=""/>
    <s v=""/>
    <s v=""/>
    <s v=""/>
    <s v=""/>
    <s v=""/>
    <s v=""/>
    <s v=""/>
    <s v=""/>
    <s v=""/>
    <s v=""/>
    <s v=""/>
  </r>
  <r>
    <s v="Cuba"/>
    <s v="Romania"/>
    <n v="3"/>
    <m/>
    <m/>
    <n v="3"/>
    <m/>
    <m/>
    <s v="Jose Tapia"/>
    <s v="Tomás Fernández"/>
    <s v="Coloman Braun"/>
    <s v="Nicolae Kovács"/>
    <n v="7000"/>
    <s v="Stade Municipal, Toulouse"/>
    <s v="Giuseppe Scarpi (Referee) · Ferdinand Valprede (AR1) · Jean Merkcx (AR2)"/>
    <x v="4"/>
    <x v="357"/>
    <s v="3–3"/>
    <s v="Giuseppe Scarpi"/>
    <s v="Required Extra Time"/>
    <x v="6"/>
    <x v="19"/>
    <s v="Héctor Socorro · 44|José Magriñá · 69|Héctor Socorro · 103"/>
    <s v="Silviu Bindea · 35|Iuliu Barátky · 88|Ștefan Dobay · 105"/>
    <s v="['44&amp;rsquor;|1:1|Héctor Socorro', '69&amp;rsquor;|2:1|José Magriñá', '103&amp;rsquor;|3:2|Héctor Socorro']"/>
    <s v="['35&amp;rsquor;|0:1|Silviu Bindea', '88&amp;rsquor;|2:2|Iuliu Barátky', '105&amp;rsquor;|3:3|Ștefan Dobay']"/>
    <s v=""/>
    <s v=""/>
    <s v=""/>
    <s v=""/>
    <s v=""/>
    <s v=""/>
    <s v=""/>
    <s v=""/>
    <s v=""/>
    <s v=""/>
    <s v=""/>
    <s v=""/>
    <s v=""/>
    <s v=""/>
    <s v=""/>
    <s v=""/>
    <s v=""/>
    <s v=""/>
  </r>
  <r>
    <s v="Hungary"/>
    <s v="Dutch East Indies"/>
    <n v="6"/>
    <m/>
    <m/>
    <n v="0"/>
    <m/>
    <m/>
    <s v="Karoly Dietz"/>
    <s v="György Sárosi"/>
    <s v="Johannes Van Mastenbroek"/>
    <s v="Frans Alfred Meeng"/>
    <n v="9000"/>
    <s v="Velodrome Municipale, Reims"/>
    <s v="Roger Conrie (Referee) · Charles De La Salle (AR1) · Karl Weingartner (AR2)"/>
    <x v="4"/>
    <x v="357"/>
    <s v="6–0"/>
    <s v="Roger Conrie"/>
    <s v=""/>
    <x v="6"/>
    <x v="19"/>
    <s v="Vilmos Kohut · 13|Géza Toldi · 15|György Sárosi · 28|Gyula Zsengellér · 35|Gyula Zsengellér · 76|György Sárosi · 89"/>
    <s v=""/>
    <s v="['13&amp;rsquor;|1:0|Vilmos Kohut', '15&amp;rsquor;|2:0|Géza Toldi', '28&amp;rsquor;|3:0|György Sárosi', '35&amp;rsquor;|4:0|Gyula Zsengellér', '76&amp;rsquor;|5:0|Gyula Zsengellér', '89&amp;rsquor;|6:0|György Sárosi']"/>
    <s v=""/>
    <s v=""/>
    <s v=""/>
    <s v=""/>
    <s v=""/>
    <s v=""/>
    <s v=""/>
    <s v=""/>
    <s v=""/>
    <s v=""/>
    <s v=""/>
    <s v=""/>
    <s v=""/>
    <s v=""/>
    <s v=""/>
    <s v=""/>
    <s v=""/>
    <s v=""/>
    <s v=""/>
  </r>
  <r>
    <s v="France"/>
    <s v="Belgium"/>
    <n v="3"/>
    <m/>
    <m/>
    <n v="1"/>
    <m/>
    <m/>
    <s v="Gaston Barreau"/>
    <s v="Étienne Mattler"/>
    <s v="Jack Butler"/>
    <s v="Émile Stijnen"/>
    <n v="30454"/>
    <s v="Stade Olympique, Colombes"/>
    <s v="Hans Wuethrich (Referee) · Gustav Krist (AR1) · Alfred Birlem (AR2)"/>
    <x v="4"/>
    <x v="357"/>
    <s v="3–1"/>
    <s v="Hans Wuethrich"/>
    <s v=""/>
    <x v="6"/>
    <x v="19"/>
    <s v="Émile Veinante · 1|Jean Nicolas · 16|Jean Nicolas · 69"/>
    <s v="Henri Isemborghs · 38"/>
    <s v="['1&amp;rsquor;|1:0|Émile Veinante', '16&amp;rsquor;|2:0|Jean Nicolas', '69&amp;rsquor;|3:1|Jean Nicolas']"/>
    <s v="['38&amp;rsquor;|2:1|Henri Isemborghs']"/>
    <s v=""/>
    <s v=""/>
    <s v=""/>
    <s v=""/>
    <s v=""/>
    <s v=""/>
    <s v=""/>
    <s v=""/>
    <s v=""/>
    <s v=""/>
    <s v=""/>
    <s v=""/>
    <s v=""/>
    <s v=""/>
    <s v=""/>
    <s v=""/>
    <s v=""/>
    <s v=""/>
  </r>
  <r>
    <s v="Brazil"/>
    <s v="Poland"/>
    <n v="6"/>
    <m/>
    <m/>
    <n v="5"/>
    <m/>
    <m/>
    <s v="Ademar Pimenta"/>
    <s v="Martim Mércio da Silveira"/>
    <s v="Jozef Kaluza"/>
    <s v="Władysław Szczepaniak"/>
    <n v="13452"/>
    <s v="Stade de la Meinau, Strasbourg"/>
    <s v="Ivan Eklind (Referee) · Louis Poissant (AR1) · Ernest Kissenberger (AR2)"/>
    <x v="4"/>
    <x v="357"/>
    <s v="6–5"/>
    <s v="Ivan Eklind"/>
    <s v="Required Extra Time"/>
    <x v="6"/>
    <x v="19"/>
    <s v="Leônidas · 18|Romeu Pellicciari · 25|José Perácio · 44|José Perácio · 71|Leônidas · 93|Leônidas · 104"/>
    <s v="Ernst Wilimowski · 53|Ernst Wilimowski · 59|Ernst Wilimowski · 89|Ernst Wilimowski · 118"/>
    <s v="['18&amp;rsquor;|1:0|Leônidas', '25&amp;rsquor;|2:1|Romeu Pellicciari', '44&amp;rsquor;|3:1|José Perácio', '71&amp;rsquor;|4:3|José Perácio', '93&amp;rsquor;|5:4|Leônidas', '104&amp;rsquor;|6:4|Leônidas']"/>
    <s v="['53&amp;rsquor;|3:2|Ernst Wilimowski', '59&amp;rsquor;|3:3|Ernst Wilimowski', '89&amp;rsquor;|4:4|Ernst Wilimowski', '118&amp;rsquor;|6:5|Ernst Wilimowski']"/>
    <s v=""/>
    <s v=""/>
    <s v=""/>
    <s v="Friedrich Scherfke (P) · 23"/>
    <s v=""/>
    <s v=""/>
    <s v=""/>
    <s v=""/>
    <s v=""/>
    <s v=""/>
    <s v=""/>
    <s v=""/>
    <s v=""/>
    <s v=""/>
    <s v=""/>
    <s v=""/>
    <s v=""/>
    <s v=""/>
  </r>
  <r>
    <s v="Czechoslovakia"/>
    <s v="Netherlands"/>
    <n v="3"/>
    <m/>
    <m/>
    <n v="0"/>
    <m/>
    <m/>
    <s v="Vaclav Meissner"/>
    <s v="František Plánička"/>
    <s v="Bob Glendenning"/>
    <s v="Puck van Heel"/>
    <n v="11000"/>
    <s v="Cavee Verte, Le Havre"/>
    <s v="Lucien Leclercq (Referee) · Olive D. (AR1) · Victor Sdez (AR2)"/>
    <x v="4"/>
    <x v="357"/>
    <s v="3–0"/>
    <s v="Lucien Leclercq"/>
    <s v="Required Extra Time"/>
    <x v="6"/>
    <x v="19"/>
    <s v="Josef Košťálek · 93|Josef Zeman · 111|Oldřich Nejedlý · 118"/>
    <s v=""/>
    <s v="['93&amp;rsquor;|1:0|Josef Košťálek', '111&amp;rsquor;|2:0|Josef Zeman', '118&amp;rsquor;|3:0|Oldřich Nejedlý']"/>
    <s v=""/>
    <s v=""/>
    <s v=""/>
    <s v=""/>
    <s v=""/>
    <s v=""/>
    <s v=""/>
    <s v=""/>
    <s v=""/>
    <s v=""/>
    <s v=""/>
    <s v=""/>
    <s v=""/>
    <s v=""/>
    <s v=""/>
    <s v=""/>
    <s v=""/>
    <s v=""/>
    <s v=""/>
  </r>
  <r>
    <s v="Switzerland"/>
    <s v="Germany"/>
    <n v="1"/>
    <m/>
    <m/>
    <n v="1"/>
    <m/>
    <m/>
    <s v="Karl Rappan"/>
    <s v="Severino Minelli"/>
    <s v="Sepp Herberger"/>
    <s v="Hans Mock"/>
    <n v="27152"/>
    <s v="Parc des Princes, Paris"/>
    <s v="Jean Langenus (Referee) · Paul Marenco (AR1) · Johannes Van Moorsel (AR2)"/>
    <x v="4"/>
    <x v="358"/>
    <s v="1–1"/>
    <s v="Jean Langenus"/>
    <s v="Required Extra Time"/>
    <x v="6"/>
    <x v="19"/>
    <s v="André Abegglen · 43"/>
    <s v="Josef Gauchel · 29"/>
    <s v="['43&amp;rsquor;|1:1|André Abegglen']"/>
    <s v="['29&amp;rsquor;|0:1|Josef Gauchel']"/>
    <s v=""/>
    <s v=""/>
    <s v=""/>
    <s v=""/>
    <s v=""/>
    <s v=""/>
    <s v=""/>
    <s v=""/>
    <s v=""/>
    <s v=""/>
    <s v=""/>
    <s v="Hans Pesser · 96"/>
    <s v=""/>
    <s v=""/>
    <s v=""/>
    <s v=""/>
    <s v=""/>
    <s v=""/>
  </r>
  <r>
    <s v="Italy"/>
    <s v="Czechoslovakia"/>
    <n v="2"/>
    <m/>
    <m/>
    <n v="1"/>
    <m/>
    <m/>
    <s v="Vittorio Pozzo"/>
    <s v="Gianpiero Combi"/>
    <s v="Karel Petru"/>
    <s v="František Plánička"/>
    <n v="55000"/>
    <s v="Nazionale PNF, Rome"/>
    <s v="Ivan Eklind (Referee) · Louis Baert (AR1) · Mihaly Ivancsics (AR2)"/>
    <x v="0"/>
    <x v="359"/>
    <s v="2–1"/>
    <s v="Ivan Eklind"/>
    <s v="Required Extra Time"/>
    <x v="8"/>
    <x v="20"/>
    <s v="Raimundo Orsi · 81|Angelo Schiavio · 95"/>
    <s v="Antonín Puč · 71"/>
    <s v="['81&amp;rsquor;|1:1|Raimundo Orsi', '95&amp;rsquor;|2:1|Angelo Schiavio']"/>
    <s v="['71&amp;rsquor;|0:1|Antonín Puč']"/>
    <s v=""/>
    <s v=""/>
    <s v=""/>
    <s v=""/>
    <s v=""/>
    <s v=""/>
    <s v=""/>
    <s v=""/>
    <s v=""/>
    <s v=""/>
    <s v=""/>
    <s v=""/>
    <s v=""/>
    <s v=""/>
    <s v=""/>
    <s v=""/>
    <s v=""/>
    <s v=""/>
  </r>
  <r>
    <s v="Germany"/>
    <s v="Austria"/>
    <n v="3"/>
    <m/>
    <m/>
    <n v="2"/>
    <m/>
    <m/>
    <s v="Otto Nerz"/>
    <s v="Fritz Szepan"/>
    <s v="Hugo Meisl"/>
    <s v="Johann Horvath"/>
    <n v="7000"/>
    <s v="Giorgio Ascarelli, Naples"/>
    <s v="Albino Carraro (Referee) · Camillo Caironi (AR1) · Pedro Escartin (AR2)"/>
    <x v="1"/>
    <x v="360"/>
    <s v="3–2"/>
    <s v="Albino Carraro"/>
    <s v=""/>
    <x v="8"/>
    <x v="20"/>
    <s v="Ernst Lehner · 1|Edmund Conen · 27|Ernst Lehner · 42"/>
    <s v="Johann Horvath · 28|Karl Sesta · 54"/>
    <s v="['1&amp;rsquor;|1:0|Ernst Lehner', '27&amp;rsquor;|2:0|Edmund Conen', '42&amp;rsquor;|3:1|Ernst Lehner']"/>
    <s v="['28&amp;rsquor;|2:1|Johann Horvath', '54&amp;rsquor;|3:2|Karl Sesta']"/>
    <s v=""/>
    <s v=""/>
    <s v=""/>
    <s v=""/>
    <s v=""/>
    <s v=""/>
    <s v=""/>
    <s v=""/>
    <s v=""/>
    <s v=""/>
    <s v=""/>
    <s v=""/>
    <s v=""/>
    <s v=""/>
    <s v=""/>
    <s v=""/>
    <s v=""/>
    <s v=""/>
  </r>
  <r>
    <s v="Czechoslovakia"/>
    <s v="Germany"/>
    <n v="3"/>
    <m/>
    <m/>
    <n v="1"/>
    <m/>
    <m/>
    <s v="Karel Petru"/>
    <s v="František Plánička"/>
    <s v="Otto Nerz"/>
    <s v="Fritz Szepan"/>
    <n v="15000"/>
    <s v="Nazionale PNF, Rome"/>
    <s v="Rinaldo Barlassina (Referee) · Alois Beranek (AR1) · Pedro Escartin (AR2)"/>
    <x v="2"/>
    <x v="361"/>
    <s v="3–1"/>
    <s v="Rinaldo Barlassina"/>
    <s v=""/>
    <x v="8"/>
    <x v="20"/>
    <s v="Oldřich Nejedlý · 21|Oldřich Nejedlý · 69|Oldřich Nejedlý · 80"/>
    <s v="Rudolf Noack · 62"/>
    <s v="['21&amp;rsquor;|1:0|Oldřich Nejedlý', '69&amp;rsquor;|2:1|Oldřich Nejedlý', '80&amp;rsquor;|3:1|Oldřich Nejedlý']"/>
    <s v="['62&amp;rsquor;|1:1|Rudolf Noack']"/>
    <s v=""/>
    <s v=""/>
    <s v=""/>
    <s v=""/>
    <s v=""/>
    <s v=""/>
    <s v=""/>
    <s v=""/>
    <s v=""/>
    <s v=""/>
    <s v=""/>
    <s v=""/>
    <s v=""/>
    <s v=""/>
    <s v=""/>
    <s v=""/>
    <s v=""/>
    <s v=""/>
  </r>
  <r>
    <s v="Italy"/>
    <s v="Austria"/>
    <n v="1"/>
    <m/>
    <m/>
    <n v="0"/>
    <m/>
    <m/>
    <s v="Vittorio Pozzo"/>
    <s v="Gianpiero Combi"/>
    <s v="Hugo Meisl"/>
    <s v="Josef Smistik"/>
    <n v="35000"/>
    <s v="San Siro, Milan"/>
    <s v="Ivan Eklind (Referee) · Louis Baert (AR1) · Bohumil Zenisek (AR2)"/>
    <x v="2"/>
    <x v="361"/>
    <s v="1–0"/>
    <s v="Ivan Eklind"/>
    <s v=""/>
    <x v="8"/>
    <x v="20"/>
    <s v="Enrique Guaita · 19"/>
    <s v=""/>
    <s v="['19&amp;rsquor;|1:0|Enrique Guaita']"/>
    <s v=""/>
    <s v=""/>
    <s v=""/>
    <s v=""/>
    <s v=""/>
    <s v=""/>
    <s v=""/>
    <s v=""/>
    <s v=""/>
    <s v=""/>
    <s v=""/>
    <s v=""/>
    <s v=""/>
    <s v=""/>
    <s v=""/>
    <s v=""/>
    <s v=""/>
    <s v=""/>
    <s v=""/>
  </r>
  <r>
    <s v="Italy"/>
    <s v="Spain"/>
    <n v="1"/>
    <m/>
    <m/>
    <n v="0"/>
    <m/>
    <m/>
    <s v="Vittorio Pozzo"/>
    <s v="Gianpiero Combi"/>
    <s v="Amadeo Garcia"/>
    <s v="Jacinto Quincoces"/>
    <n v="43000"/>
    <s v="Giovanni Berta, Florence"/>
    <s v="Rene Mercet (Referee) · Mihaly Ivancsics (AR1) · Bohumil Zenisek (AR2)"/>
    <x v="3"/>
    <x v="362"/>
    <s v="1–0"/>
    <s v="Rene Mercet"/>
    <s v=""/>
    <x v="8"/>
    <x v="20"/>
    <s v="Giuseppe Meazza · 11"/>
    <s v=""/>
    <s v="['11&amp;rsquor;|1:0|Giuseppe Meazza']"/>
    <s v=""/>
    <s v=""/>
    <s v=""/>
    <s v=""/>
    <s v=""/>
    <s v=""/>
    <s v=""/>
    <s v=""/>
    <s v=""/>
    <s v=""/>
    <s v=""/>
    <s v=""/>
    <s v=""/>
    <s v=""/>
    <s v=""/>
    <s v=""/>
    <s v=""/>
    <s v=""/>
    <s v=""/>
  </r>
  <r>
    <s v="Austria"/>
    <s v="Hungary"/>
    <n v="2"/>
    <m/>
    <m/>
    <n v="1"/>
    <m/>
    <m/>
    <s v="Hugo Meisl"/>
    <s v="Johann Horvath"/>
    <s v="Odon Nadas"/>
    <s v="László Sternberg"/>
    <n v="23000"/>
    <s v="Littorale, Bologna"/>
    <s v="Francesco Mattea (Referee) · Pedro Escartin (AR1) · Alfred Birlem (AR2)"/>
    <x v="3"/>
    <x v="363"/>
    <s v="2–1"/>
    <s v="Francesco Mattea"/>
    <s v=""/>
    <x v="8"/>
    <x v="20"/>
    <s v="Johann Horvath · 8|Karl Zischek · 51"/>
    <s v=""/>
    <s v="['8&amp;rsquor;|1:0|Johann Horvath', '51&amp;rsquor;|2:0|Karl Zischek']"/>
    <s v=""/>
    <s v=""/>
    <s v=""/>
    <s v=""/>
    <s v="György Sárosi (P) · 60"/>
    <s v=""/>
    <s v=""/>
    <s v=""/>
    <s v=""/>
    <s v=""/>
    <s v=""/>
    <s v=""/>
    <s v="Imre Markos · 63"/>
    <s v=""/>
    <s v=""/>
    <s v=""/>
    <s v=""/>
    <s v=""/>
    <s v=""/>
  </r>
  <r>
    <s v="Czechoslovakia"/>
    <s v="Switzerland"/>
    <n v="3"/>
    <m/>
    <m/>
    <n v="2"/>
    <m/>
    <m/>
    <s v="Karel Petru"/>
    <s v="František Plánička"/>
    <s v="Henry Mueller"/>
    <s v="Severino Minelli"/>
    <n v="12000"/>
    <s v="Stadio Benito Mussolini, Turin"/>
    <s v="Alois Beranek (Referee) · Youssuf Mohamed (AR1) · Jacques Baert (AR2)"/>
    <x v="3"/>
    <x v="363"/>
    <s v="3–2"/>
    <s v="Alois Beranek"/>
    <s v=""/>
    <x v="8"/>
    <x v="20"/>
    <s v="František Svoboda · 24|Jiří Sobotka · 49|Oldřich Nejedlý · 82"/>
    <s v="Leopold Kielholz · 18|Willy Jäggi · 78"/>
    <s v="['24&amp;rsquor;|1:1|František Svoboda', '49&amp;rsquor;|2:1|Jiří Sobotka', '82&amp;rsquor;|3:2|Oldřich Nejedlý']"/>
    <s v="['18&amp;rsquor;|0:1|Leopold Kielholz', '78&amp;rsquor;|2:2|Willy Jäggi']"/>
    <s v=""/>
    <s v=""/>
    <s v=""/>
    <s v=""/>
    <s v=""/>
    <s v=""/>
    <s v=""/>
    <s v=""/>
    <s v=""/>
    <s v=""/>
    <s v=""/>
    <s v=""/>
    <s v=""/>
    <s v=""/>
    <s v=""/>
    <s v=""/>
    <s v=""/>
    <s v=""/>
  </r>
  <r>
    <s v="Italy"/>
    <s v="Spain"/>
    <n v="1"/>
    <m/>
    <m/>
    <n v="1"/>
    <m/>
    <m/>
    <s v="Vittorio Pozzo"/>
    <s v="Gianpiero Combi"/>
    <s v="Amadeo Garcia"/>
    <s v="Ricardo Zamora"/>
    <n v="35000"/>
    <s v="Giovanni Berta, Florence"/>
    <s v="Louis Baert (Referee) · Bohumil Zenisek (AR1) · Mihaly Ivancsics (AR2)"/>
    <x v="3"/>
    <x v="363"/>
    <s v="1–1"/>
    <s v="Louis Baert"/>
    <s v="Required Extra Time"/>
    <x v="8"/>
    <x v="20"/>
    <s v="Giovanni Ferrari · 44"/>
    <s v="Luis Regueiro · 30"/>
    <s v="['44&amp;rsquor;|1:1|Giovanni Ferrari']"/>
    <s v="['30&amp;rsquor;|0:1|Luis Regueiro']"/>
    <s v=""/>
    <s v=""/>
    <s v=""/>
    <s v=""/>
    <s v=""/>
    <s v=""/>
    <s v=""/>
    <s v=""/>
    <s v=""/>
    <s v=""/>
    <s v=""/>
    <s v=""/>
    <s v=""/>
    <s v=""/>
    <s v=""/>
    <s v=""/>
    <s v=""/>
    <s v=""/>
  </r>
  <r>
    <s v="Germany"/>
    <s v="Sweden"/>
    <n v="2"/>
    <m/>
    <m/>
    <n v="1"/>
    <m/>
    <m/>
    <s v="Otto Nerz"/>
    <s v="Fritz Szepan"/>
    <s v="Joszef Nagy"/>
    <s v="Nils Rosén"/>
    <n v="3000"/>
    <s v="San Siro, Milan"/>
    <s v="Rinaldo Barlassina (Referee) · Rene Mercet (AR1) · Johannes Van Moorsel (AR2)"/>
    <x v="3"/>
    <x v="363"/>
    <s v="2–1"/>
    <s v="Rinaldo Barlassina"/>
    <s v=""/>
    <x v="8"/>
    <x v="20"/>
    <s v="Karl Hohmann · 60|Karl Hohmann · 63"/>
    <s v="Gösta Dunker · 82"/>
    <s v="['60&amp;rsquor;|1:0|Karl Hohmann', '63&amp;rsquor;|2:0|Karl Hohmann']"/>
    <s v="['82&amp;rsquor;|2:1|Gösta Dunker']"/>
    <s v=""/>
    <s v=""/>
    <s v=""/>
    <s v=""/>
    <s v=""/>
    <s v=""/>
    <s v=""/>
    <s v=""/>
    <s v=""/>
    <s v=""/>
    <s v=""/>
    <s v=""/>
    <s v=""/>
    <s v=""/>
    <s v=""/>
    <s v=""/>
    <s v=""/>
    <s v=""/>
  </r>
  <r>
    <s v="Czechoslovakia"/>
    <s v="Romania"/>
    <n v="2"/>
    <m/>
    <m/>
    <n v="1"/>
    <m/>
    <m/>
    <s v="Karel Petru"/>
    <s v="František Plánička"/>
    <s v="Constantin Radulescu"/>
    <s v="Emerich Vogl"/>
    <n v="9000"/>
    <s v="Littorio, Trieste"/>
    <s v="Jean Langenus (Referee) · Giuseppe Scarpi (AR1) · Raffaele Scorzoni (AR2)"/>
    <x v="4"/>
    <x v="364"/>
    <s v="2–1"/>
    <s v="Jean Langenus"/>
    <s v=""/>
    <x v="8"/>
    <x v="20"/>
    <s v="Antonín Puč · 50|Oldřich Nejedlý · 67"/>
    <s v="Ștefan Dobay · 11"/>
    <s v="['50&amp;rsquor;|1:1|Antonín Puč', '67&amp;rsquor;|2:1|Oldřich Nejedlý']"/>
    <s v="['11&amp;rsquor;|0:1|Ștefan Dobay']"/>
    <s v=""/>
    <s v=""/>
    <s v=""/>
    <s v=""/>
    <s v=""/>
    <s v=""/>
    <s v=""/>
    <s v=""/>
    <s v=""/>
    <s v=""/>
    <s v=""/>
    <s v=""/>
    <s v=""/>
    <s v=""/>
    <s v=""/>
    <s v=""/>
    <s v=""/>
    <s v=""/>
  </r>
  <r>
    <s v="Hungary"/>
    <s v="Egypt"/>
    <n v="4"/>
    <m/>
    <m/>
    <n v="2"/>
    <m/>
    <m/>
    <s v="Odon Nadas"/>
    <s v="László Sternberg"/>
    <s v="James Mcrea"/>
    <s v="Mahmoud Mokhtar El-Tetsh"/>
    <n v="9000"/>
    <s v="Giorgio Ascarelli, Naples"/>
    <s v="Rinaldo Barlassina (Referee) · Generoso Dattilo (AR1) · Otello Sassi (AR2)"/>
    <x v="4"/>
    <x v="364"/>
    <s v="4–2"/>
    <s v="Rinaldo Barlassina"/>
    <s v=""/>
    <x v="8"/>
    <x v="20"/>
    <s v="Pál Teleki · 11|Géza Toldi · 31|Jenő Vincze · 53|Géza Toldi · 61"/>
    <s v="Abdulrahman Fawzi · 35|Abdulrahman Fawzi · 39"/>
    <s v="['11&amp;rsquor;|1:0|Pál Teleki', '31&amp;rsquor;|2:0|Géza Toldi', '53&amp;rsquor;|3:2|Jenő Vincze', '61&amp;rsquor;|4:2|Géza Toldi']"/>
    <s v="['35&amp;rsquor;|2:1|Abdulrahman Fawzi', '39&amp;rsquor;|2:2|Abdulrahman Fawzi']"/>
    <s v=""/>
    <s v=""/>
    <s v=""/>
    <s v=""/>
    <s v=""/>
    <s v=""/>
    <s v=""/>
    <s v=""/>
    <s v=""/>
    <s v=""/>
    <s v=""/>
    <s v=""/>
    <s v=""/>
    <s v=""/>
    <s v=""/>
    <s v=""/>
    <s v=""/>
    <s v=""/>
  </r>
  <r>
    <s v="Austria"/>
    <s v="France"/>
    <n v="3"/>
    <m/>
    <m/>
    <n v="2"/>
    <m/>
    <m/>
    <s v="Hugo Meisl"/>
    <s v="Josef Smistik"/>
    <s v="George Kimpton"/>
    <s v="Alex Thépot"/>
    <n v="16000"/>
    <s v="Stadio Benito Mussolini, Turin"/>
    <s v="Johannes Van Moorsel (Referee) · Camillo Caironi (AR1) · Louis Baert (AR2)"/>
    <x v="4"/>
    <x v="364"/>
    <s v="3–2"/>
    <s v="Johannes Van Moorsel"/>
    <s v="Required Extra Time"/>
    <x v="8"/>
    <x v="20"/>
    <s v="Matthias Sindelar · 44|Anton Schall · 93|Josef Bican · 109"/>
    <s v="Jean Nicolas · 18"/>
    <s v="['44&amp;rsquor;|1:1|Matthias Sindelar', '93&amp;rsquor;|2:1|Anton Schall', '109&amp;rsquor;|3:1|Josef Bican']"/>
    <s v="['18&amp;rsquor;|0:1|Jean Nicolas']"/>
    <s v=""/>
    <s v=""/>
    <s v=""/>
    <s v="Georges Verriest (P) · 116"/>
    <s v=""/>
    <s v=""/>
    <s v=""/>
    <s v=""/>
    <s v=""/>
    <s v=""/>
    <s v=""/>
    <s v=""/>
    <s v=""/>
    <s v=""/>
    <s v=""/>
    <s v=""/>
    <s v=""/>
    <s v=""/>
  </r>
  <r>
    <s v="Switzerland"/>
    <s v="Netherlands"/>
    <n v="3"/>
    <m/>
    <m/>
    <n v="2"/>
    <m/>
    <m/>
    <s v="Henry Mueller"/>
    <s v="Severino Minelli"/>
    <s v="Bob Glendenning"/>
    <s v="Puck van Heel"/>
    <n v="33000"/>
    <s v="San Siro, Milan"/>
    <s v="Ivan Eklind (Referee) · Alois Beranek (AR1) · Ferruccio Bonivento (AR2)"/>
    <x v="4"/>
    <x v="364"/>
    <s v="3–2"/>
    <s v="Ivan Eklind"/>
    <s v=""/>
    <x v="8"/>
    <x v="20"/>
    <s v="Leopold Kielholz · 7|Leopold Kielholz · 43|André Abegglen · 66"/>
    <s v="Kick Smit · 29|Leen Vente · 69"/>
    <s v="['7&amp;rsquor;|1:0|Leopold Kielholz', '43&amp;rsquor;|2:1|Leopold Kielholz', '66&amp;rsquor;|3:1|André Abegglen']"/>
    <s v="['29&amp;rsquor;|1:1|Kick Smit', '69&amp;rsquor;|3:2|Leen Vente']"/>
    <s v=""/>
    <s v=""/>
    <s v=""/>
    <s v=""/>
    <s v=""/>
    <s v=""/>
    <s v=""/>
    <s v=""/>
    <s v=""/>
    <s v=""/>
    <s v=""/>
    <s v=""/>
    <s v=""/>
    <s v=""/>
    <s v=""/>
    <s v=""/>
    <s v=""/>
    <s v=""/>
  </r>
  <r>
    <s v="Sweden"/>
    <s v="Argentina"/>
    <n v="3"/>
    <m/>
    <m/>
    <n v="2"/>
    <m/>
    <m/>
    <s v="Joszef Nagy"/>
    <s v="Nils Rosén"/>
    <s v="Felipe Pascucci"/>
    <s v="Alfredo Devincenzi"/>
    <n v="14000"/>
    <s v="Littorale, Bologna"/>
    <s v="Eugen Braun (Referee) · Albino Carraro (AR1) · Giuseppe Turbiani (AR2)"/>
    <x v="4"/>
    <x v="364"/>
    <s v="3–2"/>
    <s v="Eugen Braun"/>
    <s v=""/>
    <x v="8"/>
    <x v="20"/>
    <s v="Sven Jonasson · 9|Sven Jonasson · 67|Knut Kroon · 79"/>
    <s v="Ernesto Belis · 4|Alberto Galateo · 48"/>
    <s v="['9&amp;rsquor;|1:1|Sven Jonasson', '67&amp;rsquor;|2:2|Sven Jonasson', '79&amp;rsquor;|3:2|Knut Kroon']"/>
    <s v="['4&amp;rsquor;|0:1|Ernesto Belis', '48&amp;rsquor;|1:2|Alberto Galateo']"/>
    <s v=""/>
    <s v=""/>
    <s v=""/>
    <s v=""/>
    <s v=""/>
    <s v=""/>
    <s v=""/>
    <s v=""/>
    <s v=""/>
    <s v=""/>
    <s v=""/>
    <s v=""/>
    <s v=""/>
    <s v=""/>
    <s v=""/>
    <s v=""/>
    <s v=""/>
    <s v=""/>
  </r>
  <r>
    <s v="Spain"/>
    <s v="Brazil"/>
    <n v="3"/>
    <m/>
    <m/>
    <n v="1"/>
    <m/>
    <m/>
    <s v="Amadeo Garcia"/>
    <s v="Ricardo Zamora"/>
    <s v="Luiz Vinhaes"/>
    <s v="Martim Mércio da Silveira"/>
    <n v="21000"/>
    <s v="Luigi Ferraris, Genoa"/>
    <s v="Alfred Birlem (Referee) · Ettore Carminati (AR1) · Mihaly Ivancsics (AR2)"/>
    <x v="4"/>
    <x v="364"/>
    <s v="3–1"/>
    <s v="Alfred Birlem"/>
    <s v=""/>
    <x v="8"/>
    <x v="20"/>
    <s v="José Iraragorri · 25|Isidro Lángara · 29"/>
    <s v="Leônidas · 55"/>
    <s v="['25&amp;rsquor;|2:0|José Iraragorri', '29&amp;rsquor;|3:0|Isidro Lángara']"/>
    <s v="['55&amp;rsquor;|3:1|Leônidas']"/>
    <s v=""/>
    <s v=""/>
    <s v="José Iraragorri (P) · 18"/>
    <s v=""/>
    <s v=""/>
    <s v=""/>
    <s v=""/>
    <s v=""/>
    <s v=""/>
    <s v=""/>
    <s v=""/>
    <s v=""/>
    <s v=""/>
    <s v=""/>
    <s v=""/>
    <s v=""/>
    <s v=""/>
    <s v=""/>
  </r>
  <r>
    <s v="Germany"/>
    <s v="Belgium"/>
    <n v="5"/>
    <m/>
    <m/>
    <n v="2"/>
    <m/>
    <m/>
    <s v="Otto Nerz"/>
    <s v="Fritz Szepan"/>
    <s v="Hector Goetinck"/>
    <s v="Félix Welkenhuysen"/>
    <n v="8000"/>
    <s v="Giovanni Berta, Florence"/>
    <s v="Francesco Mattea (Referee) · Ermenegildo Melandri (AR1) · Jacques Baert (AR2)"/>
    <x v="4"/>
    <x v="364"/>
    <s v="5–2"/>
    <s v="Francesco Mattea"/>
    <s v=""/>
    <x v="8"/>
    <x v="20"/>
    <s v="Stanislaus Kobierski · 25|Otto Siffling · 49|Edmund Conen · 66|Edmund Conen · 70|Edmund Conen · 87"/>
    <s v="Bernard Voorhoof · 29|Bernard Voorhoof · 43"/>
    <s v="['25&amp;rsquor;|1:0|Stanislaus Kobierski', '49&amp;rsquor;|2:2|Otto Siffling', '66&amp;rsquor;|3:2|Edmund Conen', '70&amp;rsquor;|4:2|Edmund Conen', '87&amp;rsquor;|5:2|Edmund Conen']"/>
    <s v="['29&amp;rsquor;|1:1|Bernard Voorhoof', '43&amp;rsquor;|1:2|Bernard Voorhoof']"/>
    <s v=""/>
    <s v=""/>
    <s v=""/>
    <s v=""/>
    <s v=""/>
    <s v=""/>
    <s v=""/>
    <s v=""/>
    <s v=""/>
    <s v=""/>
    <s v=""/>
    <s v=""/>
    <s v=""/>
    <s v=""/>
    <s v=""/>
    <s v=""/>
    <s v=""/>
    <s v=""/>
  </r>
  <r>
    <s v="Italy"/>
    <s v="United States"/>
    <n v="7"/>
    <m/>
    <m/>
    <n v="1"/>
    <m/>
    <m/>
    <s v="Vittorio Pozzo"/>
    <s v="Virginio Rosetta"/>
    <s v="David Gould"/>
    <s v="George Moorhouse"/>
    <n v="25000"/>
    <s v="Nazionale PNF, Rome"/>
    <s v="Rene Mercet (Referee) · Pedro Escartin (AR1) · Bohumil Zenisek (AR2)"/>
    <x v="4"/>
    <x v="364"/>
    <s v="7–1"/>
    <s v="Rene Mercet"/>
    <s v=""/>
    <x v="8"/>
    <x v="20"/>
    <s v="Angelo Schiavio · 18|Raimundo Orsi · 20|Angelo Schiavio · 29|Giovanni Ferrari · 63|Angelo Schiavio · 64|Raimundo Orsi · 69|Giuseppe Meazza · 90"/>
    <s v="Aldo Donelli · 57"/>
    <s v="['18&amp;rsquor;|1:0|Angelo Schiavio', '20&amp;rsquor;|2:0|Raimundo Orsi', '29&amp;rsquor;|3:0|Angelo Schiavio', '63&amp;rsquor;|4:1|Giovanni Ferrari', '64&amp;rsquor;|5:1|Angelo Schiavio', '69&amp;rsquor;|6:1|Raimundo Orsi', '90&amp;rsquor;|7:1|Giuseppe Meazza']"/>
    <s v="['57&amp;rsquor;|3:1|Aldo Donelli']"/>
    <s v=""/>
    <s v=""/>
    <s v=""/>
    <s v=""/>
    <s v=""/>
    <s v=""/>
    <s v=""/>
    <s v=""/>
    <s v=""/>
    <s v=""/>
    <s v=""/>
    <s v=""/>
    <s v=""/>
    <s v=""/>
    <s v=""/>
    <s v=""/>
    <s v=""/>
    <s v=""/>
  </r>
  <r>
    <s v="Uruguay"/>
    <s v="Argentina"/>
    <n v="4"/>
    <m/>
    <m/>
    <n v="2"/>
    <m/>
    <m/>
    <s v="Alberto Suppici"/>
    <s v="José Nasazzi"/>
    <s v="Francisco Olazar"/>
    <s v="Manuel Ferreira"/>
    <n v="68346"/>
    <s v="Estadio Centenario, Montevideo"/>
    <s v="Jean Langenus (Referee) · Ulises Saucedo (AR1) · Henry Cristophe (AR2)"/>
    <x v="0"/>
    <x v="365"/>
    <s v="4–2"/>
    <s v="Jean Langenus"/>
    <s v=""/>
    <x v="16"/>
    <x v="21"/>
    <s v="Pablo Dorado · 12|Pedro Cea · 57|Santos Iriarte · 68|Héctor Castro · 89"/>
    <s v="Carlos Peucelle · 20|Guillermo Stábile · 37"/>
    <s v="['12&amp;rsquor;|1:0|Pablo Dorado', '57&amp;rsquor;|2:2|Pedro Cea', '68&amp;rsquor;|3:2|Santos Iriarte', '89&amp;rsquor;|4:2|Héctor Castro']"/>
    <s v="['20&amp;rsquor;|1:1|Carlos Peucelle', '37&amp;rsquor;|1:2|Guillermo Stábile']"/>
    <s v=""/>
    <s v=""/>
    <s v=""/>
    <s v=""/>
    <s v=""/>
    <s v=""/>
    <s v=""/>
    <s v=""/>
    <s v=""/>
    <s v=""/>
    <s v=""/>
    <s v=""/>
    <s v=""/>
    <s v=""/>
    <s v=""/>
    <s v=""/>
    <s v=""/>
    <s v=""/>
  </r>
  <r>
    <s v="Uruguay"/>
    <s v="Yugoslavia"/>
    <n v="6"/>
    <m/>
    <m/>
    <n v="1"/>
    <m/>
    <m/>
    <s v="Alberto Suppici"/>
    <s v="José Nasazzi"/>
    <s v="Bosko Simonovic"/>
    <s v="Milutin Ivković"/>
    <n v="79867"/>
    <s v="Estadio Centenario, Montevideo"/>
    <s v="Gilberto Rego (Referee) · Ulises Saucedo (AR1) · Thomas Balway (AR2)"/>
    <x v="2"/>
    <x v="366"/>
    <s v="6–1"/>
    <s v="Gilberto Rego"/>
    <s v=""/>
    <x v="16"/>
    <x v="21"/>
    <s v="Pedro Cea · 18|Peregrino Anselmo · 20|Peregrino Anselmo · 31|Santos Iriarte · 61|Pedro Cea · 67|Pedro Cea · 72"/>
    <s v="Đorđe Vujadinović · 4"/>
    <s v="['18&amp;rsquor;|1:1|Pedro Cea', '20&amp;rsquor;|2:1|Peregrino Anselmo', '31&amp;rsquor;|3:1|Peregrino Anselmo', '61&amp;rsquor;|4:1|Santos Iriarte', '67&amp;rsquor;|5:1|Pedro Cea', '72&amp;rsquor;|6:1|Pedro Cea']"/>
    <s v="['4&amp;rsquor;|0:1|Đorđe Vujadinović']"/>
    <s v=""/>
    <s v=""/>
    <s v=""/>
    <s v=""/>
    <s v=""/>
    <s v=""/>
    <s v=""/>
    <s v=""/>
    <s v=""/>
    <s v=""/>
    <s v=""/>
    <s v=""/>
    <s v=""/>
    <s v=""/>
    <s v=""/>
    <s v=""/>
    <s v=""/>
    <s v=""/>
  </r>
  <r>
    <s v="Argentina"/>
    <s v="United States"/>
    <n v="6"/>
    <m/>
    <m/>
    <n v="1"/>
    <m/>
    <m/>
    <s v="Francisco Olazar"/>
    <s v="Manuel Ferreira"/>
    <s v="Bob Millar"/>
    <s v="Tom Florie"/>
    <n v="72886"/>
    <s v="Estadio Centenario, Montevideo"/>
    <s v="Jean Langenus (Referee) · Gaspar Vallejo (AR1) · Alberto Warnken (AR2)"/>
    <x v="2"/>
    <x v="367"/>
    <s v="6–1"/>
    <s v="Jean Langenus"/>
    <s v=""/>
    <x v="16"/>
    <x v="21"/>
    <s v="Luis Monti · 20|Alejandro Scopelli · 56|Guillermo Stábile · 69|Carlos Peucelle · 80|Carlos Peucelle · 85|Guillermo Stábile · 87"/>
    <s v="Jim Brown · 89"/>
    <s v="['20&amp;rsquor;|1:0|Luis Monti', '56&amp;rsquor;|2:0|Alejandro Scopelli', '69&amp;rsquor;|3:0|Guillermo Stábile', '80&amp;rsquor;|4:0|Carlos Peucelle', '85&amp;rsquor;|5:0|Carlos Peucelle', '87&amp;rsquor;|6:0|Guillermo Stábile']"/>
    <s v="['89&amp;rsquor;|6:1|Jim Brown']"/>
    <s v=""/>
    <s v=""/>
    <s v=""/>
    <s v=""/>
    <s v=""/>
    <s v=""/>
    <s v=""/>
    <s v=""/>
    <s v=""/>
    <s v=""/>
    <s v=""/>
    <s v=""/>
    <s v=""/>
    <s v=""/>
    <s v=""/>
    <s v=""/>
    <s v=""/>
    <s v=""/>
  </r>
  <r>
    <s v="Argentina"/>
    <s v="Chile"/>
    <n v="3"/>
    <m/>
    <m/>
    <n v="1"/>
    <m/>
    <m/>
    <s v="Francisco Olazar"/>
    <s v="Manuel Ferreira"/>
    <s v="Gyorgy Orth"/>
    <s v="Guillermo Subiabre"/>
    <n v="41459"/>
    <s v="Estadio Centenario, Montevideo"/>
    <s v="Jean Langenus (Referee) · Henry Cristophe (AR1) · Ulises Saucedo (AR2)"/>
    <x v="5"/>
    <x v="368"/>
    <s v="3–1"/>
    <s v="Jean Langenus"/>
    <s v=""/>
    <x v="16"/>
    <x v="21"/>
    <s v="Guillermo Stábile · 12|Guillermo Stábile · 13|Mario Evaristo · 51"/>
    <s v="Guillermo Subiabre · 15"/>
    <s v="['12&amp;rsquor;|1:0|Guillermo Stábile', '13&amp;rsquor;|2:0|Guillermo Stábile', '51&amp;rsquor;|3:1|Mario Evaristo']"/>
    <s v="['15&amp;rsquor;|2:1|Guillermo Subiabre']"/>
    <s v=""/>
    <s v=""/>
    <s v=""/>
    <s v=""/>
    <s v=""/>
    <s v=""/>
    <s v=""/>
    <s v=""/>
    <s v=""/>
    <s v=""/>
    <s v=""/>
    <s v=""/>
    <s v=""/>
    <s v=""/>
    <s v=""/>
    <s v=""/>
    <s v=""/>
    <s v=""/>
  </r>
  <r>
    <s v="Uruguay"/>
    <s v="Romania"/>
    <n v="4"/>
    <m/>
    <m/>
    <n v="0"/>
    <m/>
    <m/>
    <s v="Alberto Suppici"/>
    <s v="José Nasazzi"/>
    <s v="Octav Luchide"/>
    <s v="Emerich Vogl"/>
    <n v="70022"/>
    <s v="Estadio Centenario, Montevideo"/>
    <s v="Gilberto Rego (Referee) · Alberto Warnken (AR1) · Ulises Saucedo (AR2)"/>
    <x v="5"/>
    <x v="369"/>
    <s v="4–0"/>
    <s v="Gilberto Rego"/>
    <s v=""/>
    <x v="16"/>
    <x v="21"/>
    <s v="Pablo Dorado · 7|Héctor Scarone · 24|Peregrino Anselmo · 30|Pedro Cea · 35"/>
    <s v=""/>
    <s v="['7&amp;rsquor;|1:0|Pablo Dorado', '24&amp;rsquor;|2:0|Héctor Scarone', '30&amp;rsquor;|3:0|Peregrino Anselmo', '35&amp;rsquor;|4:0|Pedro Cea']"/>
    <s v=""/>
    <s v=""/>
    <s v=""/>
    <s v=""/>
    <s v=""/>
    <s v=""/>
    <s v=""/>
    <s v=""/>
    <s v=""/>
    <s v=""/>
    <s v=""/>
    <s v=""/>
    <s v=""/>
    <s v=""/>
    <s v=""/>
    <s v=""/>
    <s v=""/>
    <s v=""/>
    <s v=""/>
  </r>
  <r>
    <s v="Brazil"/>
    <s v="Bolivia"/>
    <n v="4"/>
    <m/>
    <m/>
    <n v="0"/>
    <m/>
    <m/>
    <s v="Pindaro De Carvalho"/>
    <s v="Preguinho"/>
    <s v="Ulises Saucedo"/>
    <s v="Rafael Méndez"/>
    <n v="25466"/>
    <s v="Estadio Centenario, Montevideo"/>
    <s v="Thomas Balway (Referee) · Francisco Mateucci (AR1) · Gaspar Vallejo (AR2)"/>
    <x v="5"/>
    <x v="370"/>
    <s v="4–0"/>
    <s v="Thomas Balway"/>
    <s v=""/>
    <x v="16"/>
    <x v="21"/>
    <s v="Moderato Wisintainer · 37|Preguinho · 67|Moderato Wisintainer · 73|Preguinho · 83"/>
    <s v=""/>
    <s v="['37&amp;rsquor;|1:0|Moderato Wisintainer', '67&amp;rsquor;|2:0|Preguinho', '73&amp;rsquor;|3:0|Moderato Wisintainer', '83&amp;rsquor;|4:0|Preguinho']"/>
    <s v=""/>
    <s v=""/>
    <s v=""/>
    <s v=""/>
    <s v=""/>
    <s v=""/>
    <s v=""/>
    <s v=""/>
    <s v=""/>
    <s v=""/>
    <s v=""/>
    <s v=""/>
    <s v=""/>
    <s v=""/>
    <s v=""/>
    <s v=""/>
    <s v=""/>
    <s v=""/>
    <s v=""/>
  </r>
  <r>
    <s v="Paraguay"/>
    <s v="Belgium"/>
    <n v="1"/>
    <m/>
    <m/>
    <n v="0"/>
    <m/>
    <m/>
    <s v="Jose Durand Laguna"/>
    <s v="Luis Vargas Peña"/>
    <s v="Hector Goetinck"/>
    <s v="Pierre Braine"/>
    <n v="12000"/>
    <s v="Estadio Centenario, Montevideo"/>
    <s v="Ricardo Vallarino (Referee) · Jose Macias (AR1) · Domingo Lombardi (AR2)"/>
    <x v="5"/>
    <x v="370"/>
    <s v="1–0"/>
    <s v="Ricardo Vallarino"/>
    <s v=""/>
    <x v="16"/>
    <x v="21"/>
    <s v="Luis Vargas Peña · 40"/>
    <s v=""/>
    <s v="['40&amp;rsquor;|1:0|Luis Vargas Peña']"/>
    <s v=""/>
    <s v=""/>
    <s v=""/>
    <s v=""/>
    <s v=""/>
    <s v=""/>
    <s v=""/>
    <s v=""/>
    <s v=""/>
    <s v=""/>
    <s v=""/>
    <s v=""/>
    <s v=""/>
    <s v=""/>
    <s v=""/>
    <s v=""/>
    <s v=""/>
    <s v=""/>
    <s v=""/>
  </r>
  <r>
    <s v="Chile"/>
    <s v="France"/>
    <n v="1"/>
    <m/>
    <m/>
    <n v="0"/>
    <m/>
    <m/>
    <s v="Gyorgy Orth"/>
    <s v="Carlos Schneeberger"/>
    <s v="Raoul Caudron"/>
    <s v="Alexandre Villaplane"/>
    <n v="2000"/>
    <s v="Estadio Centenario, Montevideo"/>
    <s v="Anibal Tejada (Referee) · Domingo Lombardi (AR1) · Gilberto Rego (AR2)"/>
    <x v="5"/>
    <x v="371"/>
    <s v="1–0"/>
    <s v="Anibal Tejada"/>
    <s v=""/>
    <x v="16"/>
    <x v="21"/>
    <s v="Guillermo Subiabre · 65"/>
    <s v=""/>
    <s v="['65&amp;rsquor;|1:0|Guillermo Subiabre']"/>
    <s v=""/>
    <s v=""/>
    <s v=""/>
    <s v=""/>
    <s v=""/>
    <s v=""/>
    <s v=""/>
    <s v=""/>
    <s v=""/>
    <s v=""/>
    <s v=""/>
    <s v=""/>
    <s v=""/>
    <s v=""/>
    <s v=""/>
    <s v=""/>
    <s v=""/>
    <s v=""/>
    <s v=""/>
  </r>
  <r>
    <s v="Argentina"/>
    <s v="Mexico"/>
    <n v="6"/>
    <m/>
    <m/>
    <n v="3"/>
    <m/>
    <m/>
    <s v="Francisco Olazar"/>
    <s v="Ángel Bossio"/>
    <s v="Juan Luque"/>
    <s v="Rafael Garza Gutiérrez"/>
    <n v="42100"/>
    <s v="Estadio Centenario, Montevideo"/>
    <s v="Ulises Saucedo (Referee) · Gualberto Alonso (AR1) · Constantin Radulescu (AR2)"/>
    <x v="5"/>
    <x v="371"/>
    <s v="6–3"/>
    <s v="Ulises Saucedo"/>
    <s v=""/>
    <x v="16"/>
    <x v="21"/>
    <s v="Guillermo Stábile · 8|Adolfo Zumelzú · 12|Guillermo Stábile · 17|Francisco Varallo · 53|Adolfo Zumelzú · 55|Guillermo Stábile · 80"/>
    <s v="Manuel Rosas · 65|Roberto Gayón · 75"/>
    <s v="['8&amp;rsquor;|1:0|Guillermo Stábile', '12&amp;rsquor;|2:0|Adolfo Zumelzú', '17&amp;rsquor;|3:0|Guillermo Stábile', '53&amp;rsquor;|4:1|Francisco Varallo', '55&amp;rsquor;|5:1|Adolfo Zumelzú', '80&amp;rsquor;|6:3|Guillermo Stábile']"/>
    <s v="['65&amp;rsquor;|5:2|Manuel Rosas', '75&amp;rsquor;|5:3|Roberto Gayón']"/>
    <s v=""/>
    <s v=""/>
    <s v=""/>
    <s v="Manuel Rosas (P) · 42"/>
    <s v=""/>
    <s v=""/>
    <s v=""/>
    <s v=""/>
    <s v=""/>
    <s v=""/>
    <s v=""/>
    <s v=""/>
    <s v=""/>
    <s v=""/>
    <s v=""/>
    <s v=""/>
    <s v=""/>
    <s v=""/>
  </r>
  <r>
    <s v="Uruguay"/>
    <s v="Peru"/>
    <n v="1"/>
    <m/>
    <m/>
    <n v="0"/>
    <m/>
    <m/>
    <s v="Alberto Suppici"/>
    <s v="José Nasazzi"/>
    <s v="Francisco Bru"/>
    <s v="Antonio Maquilón"/>
    <n v="57735"/>
    <s v="Estadio Centenario, Montevideo"/>
    <s v="Jean Langenus (Referee) · Thomas Balway (AR1) · Henry Cristophe (AR2)"/>
    <x v="5"/>
    <x v="372"/>
    <s v="1–0"/>
    <s v="Jean Langenus"/>
    <s v=""/>
    <x v="16"/>
    <x v="21"/>
    <s v="Héctor Castro · 60"/>
    <s v=""/>
    <s v="['60&amp;rsquor;|1:0|Héctor Castro']"/>
    <s v=""/>
    <s v=""/>
    <s v=""/>
    <s v=""/>
    <s v=""/>
    <s v=""/>
    <s v=""/>
    <s v=""/>
    <s v=""/>
    <s v=""/>
    <s v=""/>
    <s v=""/>
    <s v=""/>
    <s v=""/>
    <s v=""/>
    <s v=""/>
    <s v=""/>
    <s v=""/>
    <s v=""/>
  </r>
  <r>
    <s v="Yugoslavia"/>
    <s v="Bolivia"/>
    <n v="4"/>
    <m/>
    <m/>
    <n v="0"/>
    <m/>
    <m/>
    <s v="Bosko Simonovic"/>
    <s v="Milutin Ivković"/>
    <s v="Ulises Saucedo"/>
    <s v="Rafael Méndez"/>
    <n v="18306"/>
    <s v="Parque Central, Montevideo"/>
    <s v="Francisco Mateucci (Referee) · Domingo Lombardi (AR1) · Alberto Warnken (AR2)"/>
    <x v="5"/>
    <x v="373"/>
    <s v="4–0"/>
    <s v="Francisco Mateucci"/>
    <s v=""/>
    <x v="16"/>
    <x v="21"/>
    <s v="Ivan Bek · 60|Blagoje Marjanović · 65|Ivan Bek · 67|Đorđe Vujadinović · 85"/>
    <s v=""/>
    <s v="['60&amp;rsquor;|1:0|Ivan Bek', '65&amp;rsquor;|2:0|Blagoje Marjanović', '67&amp;rsquor;|3:0|Ivan Bek', '85&amp;rsquor;|4:0|Đorđe Vujadinović']"/>
    <s v=""/>
    <s v=""/>
    <s v=""/>
    <s v=""/>
    <s v=""/>
    <s v=""/>
    <s v=""/>
    <s v=""/>
    <s v=""/>
    <s v=""/>
    <s v=""/>
    <s v=""/>
    <s v=""/>
    <s v=""/>
    <s v=""/>
    <s v=""/>
    <s v=""/>
    <s v=""/>
    <s v=""/>
  </r>
  <r>
    <s v="United States"/>
    <s v="Paraguay"/>
    <n v="3"/>
    <m/>
    <m/>
    <n v="0"/>
    <m/>
    <m/>
    <s v="Bob Millar"/>
    <s v="Tom Florie"/>
    <s v="Jose Durand Laguna"/>
    <s v="Luis Vargas Peña"/>
    <n v="18306"/>
    <s v="Parque Central, Montevideo"/>
    <s v="Jose Macias (Referee) · Martin Aphesteguy (AR1) · Anibal Tejada (AR2)"/>
    <x v="5"/>
    <x v="373"/>
    <s v="3–0"/>
    <s v="Jose Macias"/>
    <s v=""/>
    <x v="16"/>
    <x v="21"/>
    <s v="Bert Patenaude · 10|Bert Patenaude · 15|Bert Patenaude · 50"/>
    <s v=""/>
    <s v="['10&amp;rsquor;|1:0|Bert Patenaude', '15&amp;rsquor;|2:0|Bert Patenaude', '50&amp;rsquor;|3:0|Bert Patenaude']"/>
    <s v=""/>
    <s v=""/>
    <s v=""/>
    <s v=""/>
    <s v=""/>
    <s v=""/>
    <s v=""/>
    <s v=""/>
    <s v=""/>
    <s v=""/>
    <s v=""/>
    <s v=""/>
    <s v=""/>
    <s v=""/>
    <s v=""/>
    <s v=""/>
    <s v=""/>
    <s v=""/>
    <s v=""/>
  </r>
  <r>
    <s v="Chile"/>
    <s v="Mexico"/>
    <n v="3"/>
    <m/>
    <m/>
    <n v="0"/>
    <m/>
    <m/>
    <s v="Gyorgy Orth"/>
    <s v="Carlos Schneeberger"/>
    <s v="Juan Luque"/>
    <s v="Rafael Garza Gutiérrez"/>
    <n v="9249"/>
    <s v="Parque Central, Montevideo"/>
    <s v="Henry Cristophe (Referee) · Martin Aphesteguy (AR1) · Jean Langenus (AR2)"/>
    <x v="5"/>
    <x v="374"/>
    <s v="3–0"/>
    <s v="Henry Cristophe"/>
    <s v=""/>
    <x v="16"/>
    <x v="21"/>
    <s v="Carlos Vidal · 3|Carlos Vidal · 65"/>
    <s v=""/>
    <s v="['3&amp;rsquor;|1:0|Carlos Vidal', '65&amp;rsquor;|3:0|Carlos Vidal']"/>
    <s v=""/>
    <s v="Manuel Rosas (OG) · 51"/>
    <s v=""/>
    <s v=""/>
    <s v=""/>
    <s v=""/>
    <s v=""/>
    <s v=""/>
    <s v=""/>
    <s v=""/>
    <s v=""/>
    <s v=""/>
    <s v=""/>
    <s v=""/>
    <s v=""/>
    <s v=""/>
    <s v=""/>
    <s v=""/>
    <s v=""/>
  </r>
  <r>
    <s v="Argentina"/>
    <s v="France"/>
    <n v="1"/>
    <m/>
    <m/>
    <n v="0"/>
    <m/>
    <m/>
    <s v="Francisco Olazar"/>
    <s v="Manuel Ferreira"/>
    <s v="Raoul Caudron"/>
    <s v="Alexandre Villaplane"/>
    <n v="23409"/>
    <s v="Parque Central, Montevideo"/>
    <s v="Gilberto Rego (Referee) · Ulises Saucedo (AR1) · Constantin Radulescu (AR2)"/>
    <x v="5"/>
    <x v="375"/>
    <s v="1–0"/>
    <s v="Gilberto Rego"/>
    <s v=""/>
    <x v="16"/>
    <x v="21"/>
    <s v="Luis Monti · 81"/>
    <s v=""/>
    <s v="['81&amp;rsquor;|1:0|Luis Monti']"/>
    <s v=""/>
    <s v=""/>
    <s v=""/>
    <s v=""/>
    <s v=""/>
    <s v=""/>
    <s v=""/>
    <s v=""/>
    <s v=""/>
    <s v=""/>
    <s v=""/>
    <s v=""/>
    <s v=""/>
    <s v=""/>
    <s v=""/>
    <s v=""/>
    <s v=""/>
    <s v=""/>
    <s v=""/>
  </r>
  <r>
    <s v="Yugoslavia"/>
    <s v="Brazil"/>
    <n v="2"/>
    <m/>
    <m/>
    <n v="1"/>
    <m/>
    <m/>
    <s v="Bosko Simonovic"/>
    <s v="Milutin Ivković"/>
    <s v="Pindaro De Carvalho"/>
    <s v="Preguinho"/>
    <n v="24059"/>
    <s v="Parque Central, Montevideo"/>
    <s v="Anibal Tejada (Referee) · Ricardo Vallarino (AR1) · Thomas Balway (AR2)"/>
    <x v="5"/>
    <x v="376"/>
    <s v="2–1"/>
    <s v="Anibal Tejada"/>
    <s v=""/>
    <x v="16"/>
    <x v="21"/>
    <s v="Aleksandar Tirnanić · 21|Ivan Bek · 30"/>
    <s v="Preguinho · 62"/>
    <s v="['21&amp;rsquor;|1:0|Aleksandar Tirnanić', '30&amp;rsquor;|2:0|Ivan Bek']"/>
    <s v="['62&amp;rsquor;|2:1|Preguinho']"/>
    <s v=""/>
    <s v=""/>
    <s v=""/>
    <s v=""/>
    <s v=""/>
    <s v=""/>
    <s v=""/>
    <s v=""/>
    <s v=""/>
    <s v=""/>
    <s v=""/>
    <s v=""/>
    <s v=""/>
    <s v=""/>
    <s v=""/>
    <s v=""/>
    <s v=""/>
    <s v=""/>
  </r>
  <r>
    <s v="Romania"/>
    <s v="Peru"/>
    <n v="3"/>
    <m/>
    <m/>
    <n v="1"/>
    <m/>
    <m/>
    <s v="Octav Luchide"/>
    <s v="Emerich Vogl"/>
    <s v="Francisco Bru"/>
    <s v="Plácido Galindo"/>
    <n v="2549"/>
    <s v="Pocitos, Montevideo"/>
    <s v="Alberto Warnken (Referee) · Jean Langenus (AR1) · Francisco Mateucci (AR2)"/>
    <x v="5"/>
    <x v="376"/>
    <s v="3–1"/>
    <s v="Alberto Warnken"/>
    <s v=""/>
    <x v="16"/>
    <x v="21"/>
    <s v="Adalbert Deșu · 1|Constantin Stanciu · 79|Nicolae Kovács · 89"/>
    <s v="Luis de Souza Ferreira · 75"/>
    <s v="['1&amp;rsquor;|1:0|Adalbert Deșu', '79&amp;rsquor;|2:1|Constantin Stanciu', '89&amp;rsquor;|3:1|Nicolae Kovács']"/>
    <s v="['75&amp;rsquor;|1:1|Luis de Souza Ferreira']"/>
    <s v=""/>
    <s v=""/>
    <s v=""/>
    <s v=""/>
    <s v=""/>
    <s v=""/>
    <s v=""/>
    <s v=""/>
    <s v=""/>
    <s v=""/>
    <s v=""/>
    <s v="Plácido Galindo · 70"/>
    <s v=""/>
    <s v=""/>
    <s v=""/>
    <s v=""/>
    <s v=""/>
    <s v=""/>
  </r>
  <r>
    <s v="United States"/>
    <s v="Belgium"/>
    <n v="3"/>
    <m/>
    <m/>
    <n v="0"/>
    <m/>
    <m/>
    <s v="Bob Millar"/>
    <s v="Tom Florie"/>
    <s v="Hector Goetinck"/>
    <s v="Pierre Braine"/>
    <n v="18346"/>
    <s v="Parque Central, Montevideo"/>
    <s v="Jose Macias (Referee) · Francisco Mateucci (AR1) · Alberto Warnken (AR2)"/>
    <x v="5"/>
    <x v="377"/>
    <s v="3–0"/>
    <s v="Jose Macias"/>
    <s v=""/>
    <x v="16"/>
    <x v="21"/>
    <s v="Bart McGhee · 23|Tom Florie · 45|Bert Patenaude · 69"/>
    <s v=""/>
    <s v="['23&amp;rsquor;|1:0|Bart McGhee', '45&amp;rsquor;|2:0|Tom Florie', '69&amp;rsquor;|3:0|Bert Patenaude']"/>
    <s v=""/>
    <s v=""/>
    <s v=""/>
    <s v=""/>
    <s v=""/>
    <s v=""/>
    <s v=""/>
    <s v=""/>
    <s v=""/>
    <s v=""/>
    <s v=""/>
    <s v=""/>
    <s v=""/>
    <s v=""/>
    <s v=""/>
    <s v=""/>
    <s v=""/>
    <s v=""/>
    <s v=""/>
  </r>
  <r>
    <s v="France"/>
    <s v="Mexico"/>
    <n v="4"/>
    <m/>
    <m/>
    <n v="1"/>
    <m/>
    <m/>
    <s v="Raoul Caudron"/>
    <s v="Alexandre Villaplane"/>
    <s v="Juan Luque"/>
    <s v="Rafael Garza Gutiérrez"/>
    <n v="4444"/>
    <s v="Pocitos, Montevideo"/>
    <s v="Domingo Lombardi (Referee) · Henry Cristophe (AR1) · Gilberto Rego (AR2)"/>
    <x v="5"/>
    <x v="377"/>
    <s v="4–1"/>
    <s v="Domingo Lombardi"/>
    <s v=""/>
    <x v="16"/>
    <x v="21"/>
    <s v="Lucien Laurent · 19|Marcel Langiller · 40|André Maschinot · 43|André Maschinot · 87"/>
    <s v="Juan Carreño · 70"/>
    <s v="['19&amp;rsquor;|1:0|Lucien Laurent', '40&amp;rsquor;|2:0|Marcel Langiller', '43&amp;rsquor;|3:0|André Maschinot', '87&amp;rsquor;|4:1|André Maschinot']"/>
    <s v="['70&amp;rsquor;|3:1|Juan Carreño']"/>
    <s v=""/>
    <s v=""/>
    <s v=""/>
    <s v=""/>
    <s v=""/>
    <s v=""/>
    <s v=""/>
    <s v=""/>
    <s v=""/>
    <s v=""/>
    <s v=""/>
    <s v=""/>
    <s v=""/>
    <s v=""/>
    <s v=""/>
    <s v=""/>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n v="999"/>
    <n v="999"/>
    <x v="0"/>
    <x v="0"/>
    <s v="Italy"/>
    <s v="Hristo Stoichkov, Oleg Salenko - 6"/>
    <n v="3587538"/>
    <n v="149480.75"/>
    <n v="68991"/>
    <n v="52"/>
  </r>
  <r>
    <x v="1"/>
    <x v="1"/>
    <n v="10"/>
    <n v="10"/>
    <x v="1"/>
    <x v="1"/>
    <s v="Netherlands"/>
    <s v="Grzegorz Lato - 7"/>
    <n v="1865753"/>
    <n v="116609.5625"/>
    <n v="49099"/>
    <n v="38"/>
  </r>
  <r>
    <x v="2"/>
    <x v="2"/>
    <n v="6"/>
    <n v="6"/>
    <x v="2"/>
    <x v="2"/>
    <s v="Argentina"/>
    <s v="James Rodríguez - 6"/>
    <n v="3429873"/>
    <n v="107183.53125"/>
    <n v="53592"/>
    <n v="64"/>
  </r>
  <r>
    <x v="3"/>
    <x v="3"/>
    <n v="57"/>
    <n v="57"/>
    <x v="2"/>
    <x v="3"/>
    <s v="France"/>
    <s v="Kylian Mbappé - 8"/>
    <n v="3404252"/>
    <n v="106382.875"/>
    <n v="53191"/>
    <n v="64"/>
  </r>
  <r>
    <x v="4"/>
    <x v="4"/>
    <n v="12"/>
    <n v="12"/>
    <x v="0"/>
    <x v="1"/>
    <s v="Argentina"/>
    <s v="Salvatore Schillaci - 6"/>
    <n v="2516215"/>
    <n v="104842.29166666667"/>
    <n v="48389"/>
    <n v="52"/>
  </r>
  <r>
    <x v="5"/>
    <x v="1"/>
    <n v="10"/>
    <n v="10"/>
    <x v="2"/>
    <x v="4"/>
    <s v="France"/>
    <s v="Miroslav Klose - 5"/>
    <n v="3352605"/>
    <n v="104768.90625"/>
    <n v="52384"/>
    <n v="64"/>
  </r>
  <r>
    <x v="6"/>
    <x v="5"/>
    <n v="14"/>
    <n v="14"/>
    <x v="1"/>
    <x v="0"/>
    <s v="Italy"/>
    <s v="Gerd Müller - 10"/>
    <n v="1603975"/>
    <n v="100248.4375"/>
    <n v="50124"/>
    <n v="32"/>
  </r>
  <r>
    <x v="7"/>
    <x v="5"/>
    <n v="14"/>
    <n v="14"/>
    <x v="0"/>
    <x v="3"/>
    <s v="West Germany"/>
    <s v="Gary Lineker - 6"/>
    <n v="2394031"/>
    <n v="99751.291666666672"/>
    <n v="46039"/>
    <n v="52"/>
  </r>
  <r>
    <x v="8"/>
    <x v="6"/>
    <n v="60"/>
    <n v="60"/>
    <x v="2"/>
    <x v="5"/>
    <s v="Netherlands"/>
    <s v="Wesley Sneijder, Thomas Müller... - 5"/>
    <n v="3178856"/>
    <n v="99339.25"/>
    <n v="49670"/>
    <n v="64"/>
  </r>
  <r>
    <x v="9"/>
    <x v="7"/>
    <n v="4"/>
    <n v="4"/>
    <x v="1"/>
    <x v="6"/>
    <s v="West Germany"/>
    <s v="Eusébio - 9"/>
    <n v="1563135"/>
    <n v="97695.9375"/>
    <n v="48848"/>
    <n v="32"/>
  </r>
  <r>
    <x v="10"/>
    <x v="8"/>
    <n v="1"/>
    <n v="1"/>
    <x v="1"/>
    <x v="3"/>
    <s v="Netherlands"/>
    <s v="Mario Kempes - 6"/>
    <n v="1545791"/>
    <n v="96611.9375"/>
    <n v="40679"/>
    <n v="38"/>
  </r>
  <r>
    <x v="11"/>
    <x v="9"/>
    <n v="35"/>
    <n v="35"/>
    <x v="2"/>
    <x v="7"/>
    <s v="Croatia"/>
    <s v="Harry Kane - 6"/>
    <n v="3031768"/>
    <n v="94742.75"/>
    <n v="47371"/>
    <n v="64"/>
  </r>
  <r>
    <x v="12"/>
    <x v="10"/>
    <n v="3"/>
    <n v="3"/>
    <x v="2"/>
    <x v="7"/>
    <s v="Brazil"/>
    <s v="Davor Šuker - 6"/>
    <n v="2903477"/>
    <n v="90733.65625"/>
    <n v="45367"/>
    <n v="64"/>
  </r>
  <r>
    <x v="13"/>
    <x v="11"/>
    <n v="2"/>
    <n v="2"/>
    <x v="0"/>
    <x v="4"/>
    <s v="West Germany"/>
    <s v="Paolo Rossi - 6"/>
    <n v="2109723"/>
    <n v="87905.125"/>
    <n v="40572"/>
    <n v="52"/>
  </r>
  <r>
    <x v="14"/>
    <x v="12"/>
    <n v="999"/>
    <n v="999"/>
    <x v="2"/>
    <x v="0"/>
    <s v="Germany"/>
    <s v="Ronaldo - 8"/>
    <n v="2705337"/>
    <n v="84541.78125"/>
    <n v="42271"/>
    <n v="64"/>
  </r>
  <r>
    <x v="15"/>
    <x v="2"/>
    <n v="6"/>
    <n v="6"/>
    <x v="3"/>
    <x v="8"/>
    <s v="Brazil"/>
    <s v="Ademir - 8"/>
    <n v="1045246"/>
    <n v="69683.066666666666"/>
    <n v="47511"/>
    <n v="22"/>
  </r>
  <r>
    <x v="16"/>
    <x v="13"/>
    <n v="55"/>
    <n v="55"/>
    <x v="1"/>
    <x v="0"/>
    <s v="Czechoslovakia"/>
    <s v="Leonel Sánchez, Flórián Albert... - 4"/>
    <n v="893172"/>
    <n v="55823.25"/>
    <n v="27912"/>
    <n v="32"/>
  </r>
  <r>
    <x v="17"/>
    <x v="14"/>
    <n v="38"/>
    <n v="38"/>
    <x v="1"/>
    <x v="0"/>
    <s v="Sweden"/>
    <s v="Just Fontaine - 13"/>
    <n v="819810"/>
    <n v="51238.125"/>
    <n v="23423"/>
    <n v="35"/>
  </r>
  <r>
    <x v="18"/>
    <x v="15"/>
    <n v="19"/>
    <n v="19"/>
    <x v="1"/>
    <x v="2"/>
    <s v="Hungary"/>
    <s v="Sándor Kocsis - 11"/>
    <n v="768607"/>
    <n v="48037.9375"/>
    <n v="29562"/>
    <n v="26"/>
  </r>
  <r>
    <x v="19"/>
    <x v="16"/>
    <n v="16"/>
    <n v="16"/>
    <x v="4"/>
    <x v="8"/>
    <s v="Argentina"/>
    <s v="Guillermo Stábile - 8"/>
    <n v="590549"/>
    <n v="45426.846153846156"/>
    <n v="32808"/>
    <n v="18"/>
  </r>
  <r>
    <x v="20"/>
    <x v="10"/>
    <n v="3"/>
    <n v="3"/>
    <x v="1"/>
    <x v="4"/>
    <s v="Hungary"/>
    <s v="Leônidas - 7"/>
    <n v="375700"/>
    <n v="23481.25"/>
    <n v="20872"/>
    <n v="18"/>
  </r>
  <r>
    <x v="21"/>
    <x v="4"/>
    <n v="12"/>
    <n v="12"/>
    <x v="1"/>
    <x v="4"/>
    <s v="Czechoslovakia"/>
    <s v="Oldřich Nejedlý - 5"/>
    <n v="363000"/>
    <n v="22687.5"/>
    <n v="21353"/>
    <n v="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
  <r>
    <x v="0"/>
    <s v="ARG"/>
    <s v="CONMEBOL"/>
    <n v="1"/>
    <n v="3"/>
    <x v="0"/>
    <n v="3"/>
    <n v="1876.1183309999999"/>
    <n v="1874.8148349999999"/>
    <n v="59"/>
  </r>
  <r>
    <x v="1"/>
    <s v="ESP"/>
    <s v="UEFA"/>
    <n v="2"/>
    <n v="7"/>
    <x v="1"/>
    <n v="2"/>
    <n v="1873.013187"/>
    <n v="1876.395199"/>
    <n v="56"/>
  </r>
  <r>
    <x v="2"/>
    <s v="FRA"/>
    <s v="UEFA"/>
    <n v="3"/>
    <n v="4"/>
    <x v="2"/>
    <n v="1"/>
    <n v="1869.428449"/>
    <n v="1877.322731"/>
    <n v="57"/>
  </r>
  <r>
    <x v="3"/>
    <s v="ENG"/>
    <s v="UEFA"/>
    <n v="4"/>
    <n v="5"/>
    <x v="2"/>
    <n v="4"/>
    <n v="1827.0486780000001"/>
    <n v="1825.9654820000001"/>
    <n v="57"/>
  </r>
  <r>
    <x v="4"/>
    <s v="POR"/>
    <s v="UEFA"/>
    <n v="5"/>
    <n v="9"/>
    <x v="3"/>
    <n v="5"/>
    <n v="1766.177547"/>
    <n v="1763.8344059999999"/>
    <n v="56"/>
  </r>
  <r>
    <x v="5"/>
    <s v="BRA"/>
    <s v="CONMEBOL"/>
    <n v="6"/>
    <n v="1"/>
    <x v="4"/>
    <n v="6"/>
    <n v="1765.856297"/>
    <n v="1761.16093"/>
    <n v="55"/>
  </r>
  <r>
    <x v="6"/>
    <s v="MAR"/>
    <s v="CAF"/>
    <n v="7"/>
    <n v="22"/>
    <x v="5"/>
    <n v="8"/>
    <n v="1755.100232"/>
    <n v="1755.86841"/>
    <n v="87"/>
  </r>
  <r>
    <x v="7"/>
    <s v="NED"/>
    <s v="UEFA"/>
    <n v="8"/>
    <n v="8"/>
    <x v="6"/>
    <n v="7"/>
    <n v="1751.097835"/>
    <n v="1757.8744280000001"/>
    <n v="56"/>
  </r>
  <r>
    <x v="8"/>
    <s v="BEL"/>
    <s v="UEFA"/>
    <n v="9"/>
    <n v="2"/>
    <x v="7"/>
    <n v="9"/>
    <n v="1742.2359449999999"/>
    <n v="1734.7148319999999"/>
    <n v="54"/>
  </r>
  <r>
    <x v="9"/>
    <s v="GER"/>
    <s v="UEFA"/>
    <n v="10"/>
    <n v="11"/>
    <x v="2"/>
    <n v="10"/>
    <n v="1735.771984"/>
    <n v="1730.3713600000001"/>
    <n v="55"/>
  </r>
  <r>
    <x v="10"/>
    <s v="CRO"/>
    <s v="UEFA"/>
    <n v="11"/>
    <n v="12"/>
    <x v="2"/>
    <n v="11"/>
    <n v="1714.8655719999999"/>
    <n v="1717.0664019999999"/>
    <n v="57"/>
  </r>
  <r>
    <x v="11"/>
    <s v="ITA"/>
    <s v="UEFA"/>
    <n v="12"/>
    <n v="6"/>
    <x v="8"/>
    <n v="12"/>
    <n v="1704.7338360000001"/>
    <n v="1700.370754"/>
    <n v="53"/>
  </r>
  <r>
    <x v="12"/>
    <s v="COL"/>
    <s v="CONMEBOL"/>
    <n v="13"/>
    <n v="17"/>
    <x v="3"/>
    <n v="13"/>
    <n v="1698.351858"/>
    <n v="1693.0893189999999"/>
    <n v="57"/>
  </r>
  <r>
    <x v="13"/>
    <s v="MEX"/>
    <s v="CONCACAF"/>
    <n v="14"/>
    <n v="13"/>
    <x v="9"/>
    <n v="15"/>
    <n v="1687.481759"/>
    <n v="1681.028247"/>
    <n v="83"/>
  </r>
  <r>
    <x v="14"/>
    <s v="SEN"/>
    <s v="CAF"/>
    <n v="15"/>
    <n v="18"/>
    <x v="10"/>
    <n v="14"/>
    <n v="1686.412769"/>
    <n v="1688.9888370000001"/>
    <n v="85"/>
  </r>
  <r>
    <x v="15"/>
    <s v="URU"/>
    <s v="CONMEBOL"/>
    <n v="16"/>
    <n v="14"/>
    <x v="11"/>
    <n v="17"/>
    <n v="1673.0686029999999"/>
    <n v="1673.0686029999999"/>
    <n v="52"/>
  </r>
  <r>
    <x v="16"/>
    <s v="USA"/>
    <s v="CONCACAF"/>
    <n v="17"/>
    <n v="16"/>
    <x v="9"/>
    <n v="16"/>
    <n v="1671.2340999999999"/>
    <n v="1673.126608"/>
    <n v="75"/>
  </r>
  <r>
    <x v="17"/>
    <s v="JPN"/>
    <s v="AFC"/>
    <n v="18"/>
    <n v="24"/>
    <x v="12"/>
    <n v="18"/>
    <n v="1661.5761869999999"/>
    <n v="1660.427891"/>
    <n v="64"/>
  </r>
  <r>
    <x v="18"/>
    <s v="SUI"/>
    <s v="UEFA"/>
    <n v="19"/>
    <n v="15"/>
    <x v="13"/>
    <n v="19"/>
    <n v="1650.064179"/>
    <n v="1649.3968299999999"/>
    <n v="56"/>
  </r>
  <r>
    <x v="19"/>
    <s v="IRN"/>
    <s v="AFC"/>
    <n v="20"/>
    <n v="20"/>
    <x v="6"/>
    <n v="21"/>
    <n v="1619.5816299999999"/>
    <n v="1615.300338"/>
    <n v="56"/>
  </r>
  <r>
    <x v="20"/>
    <s v="DEN"/>
    <s v="UEFA"/>
    <n v="21"/>
    <n v="10"/>
    <x v="14"/>
    <n v="20"/>
    <n v="1619.474248"/>
    <n v="1620.8079459999999"/>
    <n v="52"/>
  </r>
  <r>
    <x v="21"/>
    <s v="TUR"/>
    <s v="UEFA"/>
    <n v="22"/>
    <n v="45"/>
    <x v="15"/>
    <n v="22"/>
    <n v="1605.7309210000001"/>
    <n v="1599.0376699999999"/>
    <n v="53"/>
  </r>
  <r>
    <x v="22"/>
    <s v="ECU"/>
    <s v="CONMEBOL"/>
    <n v="23"/>
    <n v="44"/>
    <x v="16"/>
    <n v="23"/>
    <n v="1598.5158200000001"/>
    <n v="1594.78386"/>
    <n v="59"/>
  </r>
  <r>
    <x v="23"/>
    <s v="AUT"/>
    <s v="UEFA"/>
    <n v="24"/>
    <n v="34"/>
    <x v="17"/>
    <n v="24"/>
    <n v="1597.4040869999999"/>
    <n v="1593.4476729999999"/>
    <n v="51"/>
  </r>
  <r>
    <x v="24"/>
    <s v="KOR"/>
    <s v="AFC"/>
    <n v="25"/>
    <n v="28"/>
    <x v="10"/>
    <n v="25"/>
    <n v="1591.6308859999999"/>
    <n v="1588.663904"/>
    <n v="68"/>
  </r>
  <r>
    <x v="25"/>
    <s v="NGA"/>
    <s v="CAF"/>
    <n v="26"/>
    <n v="32"/>
    <x v="12"/>
    <n v="26"/>
    <n v="1586.688586"/>
    <n v="1585.0863730000001"/>
    <n v="73"/>
  </r>
  <r>
    <x v="26"/>
    <s v="AUS"/>
    <s v="AFC"/>
    <n v="27"/>
    <n v="38"/>
    <x v="18"/>
    <n v="27"/>
    <n v="1579.3426400000001"/>
    <n v="1580.6747740000001"/>
    <n v="55"/>
  </r>
  <r>
    <x v="27"/>
    <s v="ALG"/>
    <s v="CAF"/>
    <n v="28"/>
    <n v="37"/>
    <x v="19"/>
    <n v="28"/>
    <n v="1571.033293"/>
    <n v="1564.2566999999999"/>
    <n v="82"/>
  </r>
  <r>
    <x v="28"/>
    <s v="EGY"/>
    <s v="CAF"/>
    <n v="29"/>
    <n v="39"/>
    <x v="17"/>
    <n v="29"/>
    <n v="1562.367246"/>
    <n v="1563.2417640000001"/>
    <n v="74"/>
  </r>
  <r>
    <x v="29"/>
    <s v="CAN"/>
    <s v="CONCACAF"/>
    <n v="30"/>
    <n v="41"/>
    <x v="18"/>
    <n v="30"/>
    <n v="1559.4793010000001"/>
    <n v="1556.4822469999999"/>
    <n v="62"/>
  </r>
  <r>
    <x v="30"/>
    <s v="NOR"/>
    <s v="UEFA"/>
    <n v="31"/>
    <n v="42"/>
    <x v="18"/>
    <n v="31"/>
    <n v="1557.437664"/>
    <n v="1550.9431589999999"/>
    <n v="48"/>
  </r>
  <r>
    <x v="31"/>
    <s v="UKR"/>
    <s v="UEFA"/>
    <n v="32"/>
    <n v="27"/>
    <x v="4"/>
    <n v="32"/>
    <n v="1549.2871729999999"/>
    <n v="1546.8776720000001"/>
    <n v="47"/>
  </r>
  <r>
    <x v="32"/>
    <s v="CIV"/>
    <s v="CAF"/>
    <n v="33"/>
    <n v="48"/>
    <x v="5"/>
    <n v="34"/>
    <n v="1540.869533"/>
    <n v="1532.9752510000001"/>
    <n v="68"/>
  </r>
  <r>
    <x v="33"/>
    <s v="PAN"/>
    <s v="CONCACAF"/>
    <n v="34"/>
    <n v="60"/>
    <x v="20"/>
    <n v="33"/>
    <n v="1539.1555089999999"/>
    <n v="1540.6442280000001"/>
    <n v="68"/>
  </r>
  <r>
    <x v="34"/>
    <s v="RUS"/>
    <s v="UEFA"/>
    <n v="35"/>
    <n v="33"/>
    <x v="11"/>
    <n v="36"/>
    <n v="1527.2371310000001"/>
    <n v="1525.6040929999999"/>
    <n v="30"/>
  </r>
  <r>
    <x v="35"/>
    <s v="POL"/>
    <s v="UEFA"/>
    <n v="36"/>
    <n v="26"/>
    <x v="21"/>
    <n v="35"/>
    <n v="1526.1833590000001"/>
    <n v="1528.0038119999999"/>
    <n v="54"/>
  </r>
  <r>
    <x v="36"/>
    <s v="WAL"/>
    <s v="UEFA"/>
    <n v="37"/>
    <n v="19"/>
    <x v="22"/>
    <n v="37"/>
    <n v="1516.946629"/>
    <n v="1524.290508"/>
    <n v="50"/>
  </r>
  <r>
    <x v="37"/>
    <s v="SWE"/>
    <s v="UEFA"/>
    <n v="38"/>
    <n v="25"/>
    <x v="23"/>
    <n v="38"/>
    <n v="1509.785392"/>
    <n v="1514.767421"/>
    <n v="51"/>
  </r>
  <r>
    <x v="38"/>
    <s v="CZE"/>
    <s v="UEFA"/>
    <n v="39"/>
    <n v="35"/>
    <x v="13"/>
    <n v="41"/>
    <n v="1505.737856"/>
    <n v="1501.3824"/>
    <n v="51"/>
  </r>
  <r>
    <x v="39"/>
    <s v="PAR"/>
    <s v="CONMEBOL"/>
    <n v="40"/>
    <n v="47"/>
    <x v="24"/>
    <n v="40"/>
    <n v="1505.3496889999999"/>
    <n v="1503.5033390000001"/>
    <n v="49"/>
  </r>
  <r>
    <x v="40"/>
    <s v="HUN"/>
    <s v="UEFA"/>
    <n v="41"/>
    <n v="36"/>
    <x v="4"/>
    <n v="42"/>
    <n v="1504.1357969999999"/>
    <n v="1500.5814539999999"/>
    <n v="50"/>
  </r>
  <r>
    <x v="41"/>
    <s v="SCO"/>
    <s v="UEFA"/>
    <n v="42"/>
    <n v="40"/>
    <x v="11"/>
    <n v="43"/>
    <n v="1503.3402699999999"/>
    <n v="1498.350389"/>
    <n v="51"/>
  </r>
  <r>
    <x v="42"/>
    <s v="SRB"/>
    <s v="UEFA"/>
    <n v="43"/>
    <n v="21"/>
    <x v="25"/>
    <n v="39"/>
    <n v="1502.133186"/>
    <n v="1508.650488"/>
    <n v="54"/>
  </r>
  <r>
    <x v="43"/>
    <s v="CMR"/>
    <s v="CAF"/>
    <n v="44"/>
    <n v="43"/>
    <x v="9"/>
    <n v="45"/>
    <n v="1481.2352450000001"/>
    <n v="1481.2352450000001"/>
    <n v="63"/>
  </r>
  <r>
    <x v="44"/>
    <s v="COD"/>
    <s v="CAF"/>
    <n v="45"/>
    <n v="73"/>
    <x v="26"/>
    <n v="46"/>
    <n v="1479.6841219999999"/>
    <n v="1478.350424"/>
    <n v="62"/>
  </r>
  <r>
    <x v="45"/>
    <s v="TUN"/>
    <s v="CAF"/>
    <n v="46"/>
    <n v="30"/>
    <x v="27"/>
    <n v="44"/>
    <n v="1476.405088"/>
    <n v="1483.0518709999999"/>
    <n v="70"/>
  </r>
  <r>
    <x v="46"/>
    <s v="SVK"/>
    <s v="UEFA"/>
    <n v="47"/>
    <n v="55"/>
    <x v="28"/>
    <n v="48"/>
    <n v="1473.660727"/>
    <n v="1473.938441"/>
    <n v="52"/>
  </r>
  <r>
    <x v="47"/>
    <s v="GRE"/>
    <s v="UEFA"/>
    <n v="48"/>
    <n v="52"/>
    <x v="3"/>
    <n v="47"/>
    <n v="1473.1873049999999"/>
    <n v="1475.819913"/>
    <n v="48"/>
  </r>
  <r>
    <x v="48"/>
    <s v="VEN"/>
    <s v="CONMEBOL"/>
    <n v="49"/>
    <n v="57"/>
    <x v="28"/>
    <n v="49"/>
    <n v="1464.303811"/>
    <n v="1468.046323"/>
    <n v="51"/>
  </r>
  <r>
    <x v="49"/>
    <s v="UZB"/>
    <s v="AFC"/>
    <n v="50"/>
    <n v="77"/>
    <x v="29"/>
    <n v="50"/>
    <n v="1461.208132"/>
    <n v="1465.3425339999999"/>
    <n v="52"/>
  </r>
  <r>
    <x v="50"/>
    <s v="PER"/>
    <s v="CONMEBOL"/>
    <n v="51"/>
    <n v="23"/>
    <x v="30"/>
    <n v="53"/>
    <n v="1459.3905549999999"/>
    <n v="1455.8726449999999"/>
    <n v="52"/>
  </r>
  <r>
    <x v="51"/>
    <s v="CRC"/>
    <s v="CONCACAF"/>
    <n v="52"/>
    <n v="31"/>
    <x v="31"/>
    <n v="51"/>
    <n v="1457.0022799999999"/>
    <n v="1459.903309"/>
    <n v="60"/>
  </r>
  <r>
    <x v="52"/>
    <s v="ROU"/>
    <s v="UEFA"/>
    <n v="53"/>
    <n v="53"/>
    <x v="6"/>
    <n v="56"/>
    <n v="1455.8946570000001"/>
    <n v="1451.1610069999999"/>
    <n v="52"/>
  </r>
  <r>
    <x v="53"/>
    <s v="MLI"/>
    <s v="CAF"/>
    <n v="54"/>
    <n v="46"/>
    <x v="32"/>
    <n v="52"/>
    <n v="1455.5866590000001"/>
    <n v="1459.125074"/>
    <n v="61"/>
  </r>
  <r>
    <x v="54"/>
    <s v="CHI"/>
    <s v="CONMEBOL"/>
    <n v="55"/>
    <n v="29"/>
    <x v="33"/>
    <n v="54"/>
    <n v="1452.939983"/>
    <n v="1455.283124"/>
    <n v="53"/>
  </r>
  <r>
    <x v="55"/>
    <s v="IRQ"/>
    <s v="AFC"/>
    <n v="56"/>
    <n v="68"/>
    <x v="34"/>
    <n v="57"/>
    <n v="1451.153466"/>
    <n v="1447.135319"/>
    <n v="65"/>
  </r>
  <r>
    <x v="56"/>
    <s v="QAT"/>
    <s v="AFC"/>
    <n v="57"/>
    <n v="50"/>
    <x v="7"/>
    <n v="55"/>
    <n v="1450.3077290000001"/>
    <n v="1454.9585870000001"/>
    <n v="71"/>
  </r>
  <r>
    <x v="57"/>
    <s v="IRL"/>
    <s v="UEFA"/>
    <n v="58"/>
    <n v="49"/>
    <x v="35"/>
    <n v="59"/>
    <n v="1441.0969009999999"/>
    <n v="1436.6302740000001"/>
    <n v="49"/>
  </r>
  <r>
    <x v="58"/>
    <s v="SVN"/>
    <s v="UEFA"/>
    <n v="59"/>
    <n v="63"/>
    <x v="3"/>
    <n v="58"/>
    <n v="1441.087158"/>
    <n v="1446.439067"/>
    <n v="52"/>
  </r>
  <r>
    <x v="59"/>
    <s v="RSA"/>
    <s v="CAF"/>
    <n v="60"/>
    <n v="67"/>
    <x v="24"/>
    <n v="60"/>
    <n v="1428.3792820000001"/>
    <n v="1429.728396"/>
    <n v="74"/>
  </r>
  <r>
    <x v="60"/>
    <s v="KSA"/>
    <s v="AFC"/>
    <n v="61"/>
    <n v="51"/>
    <x v="21"/>
    <n v="61"/>
    <n v="1421.538339"/>
    <n v="1421.427596"/>
    <n v="75"/>
  </r>
  <r>
    <x v="61"/>
    <s v="BFA"/>
    <s v="CAF"/>
    <n v="62"/>
    <n v="54"/>
    <x v="32"/>
    <n v="62"/>
    <n v="1408.5419649999999"/>
    <n v="1412.494766"/>
    <n v="66"/>
  </r>
  <r>
    <x v="62"/>
    <s v="JOR"/>
    <s v="AFC"/>
    <n v="63"/>
    <n v="84"/>
    <x v="16"/>
    <n v="63"/>
    <n v="1387.738222"/>
    <n v="1391.4544000000001"/>
    <n v="62"/>
  </r>
  <r>
    <x v="63"/>
    <s v="BIH"/>
    <s v="UEFA"/>
    <n v="64"/>
    <n v="58"/>
    <x v="8"/>
    <n v="65"/>
    <n v="1387.2157709999999"/>
    <n v="1385.8387230000001"/>
    <n v="46"/>
  </r>
  <r>
    <x v="64"/>
    <s v="HON"/>
    <s v="CONCACAF"/>
    <n v="65"/>
    <n v="80"/>
    <x v="5"/>
    <n v="66"/>
    <n v="1378.9703010000001"/>
    <n v="1380.2737970000001"/>
    <n v="61"/>
  </r>
  <r>
    <x v="65"/>
    <s v="ALB"/>
    <s v="UEFA"/>
    <n v="66"/>
    <n v="66"/>
    <x v="6"/>
    <n v="64"/>
    <n v="1376.033234"/>
    <n v="1388.0583610000001"/>
    <n v="50"/>
  </r>
  <r>
    <x v="66"/>
    <s v="CPV"/>
    <s v="CAF"/>
    <n v="67"/>
    <n v="71"/>
    <x v="3"/>
    <n v="69"/>
    <n v="1371.10798"/>
    <n v="1366.1254779999999"/>
    <n v="55"/>
  </r>
  <r>
    <x v="67"/>
    <s v="UAE"/>
    <s v="AFC"/>
    <n v="68"/>
    <n v="70"/>
    <x v="0"/>
    <n v="68"/>
    <n v="1370.4694340000001"/>
    <n v="1370.4694340000001"/>
    <n v="62"/>
  </r>
  <r>
    <x v="68"/>
    <s v="MKD"/>
    <s v="UEFA"/>
    <n v="69"/>
    <n v="65"/>
    <x v="13"/>
    <n v="67"/>
    <n v="1369.1593170000001"/>
    <n v="1372.043897"/>
    <n v="48"/>
  </r>
  <r>
    <x v="69"/>
    <s v="NIR"/>
    <s v="UEFA"/>
    <n v="70"/>
    <n v="59"/>
    <x v="14"/>
    <n v="70"/>
    <n v="1366.564198"/>
    <n v="1362.1576829999999"/>
    <n v="45"/>
  </r>
  <r>
    <x v="70"/>
    <s v="JAM"/>
    <s v="CONCACAF"/>
    <n v="71"/>
    <n v="64"/>
    <x v="7"/>
    <n v="71"/>
    <n v="1357.840144"/>
    <n v="1357.9965580000001"/>
    <n v="67"/>
  </r>
  <r>
    <x v="71"/>
    <s v="GEO"/>
    <s v="UEFA"/>
    <n v="72"/>
    <n v="78"/>
    <x v="12"/>
    <n v="72"/>
    <n v="1355.2616869999999"/>
    <n v="1350.1841549999999"/>
    <n v="50"/>
  </r>
  <r>
    <x v="72"/>
    <s v="GHA"/>
    <s v="CAF"/>
    <n v="73"/>
    <n v="61"/>
    <x v="36"/>
    <n v="74"/>
    <n v="1346.8812049999999"/>
    <n v="1346.3117219999999"/>
    <n v="66"/>
  </r>
  <r>
    <x v="73"/>
    <s v="ISL"/>
    <s v="UEFA"/>
    <n v="74"/>
    <n v="62"/>
    <x v="36"/>
    <n v="75"/>
    <n v="1343.9202009999999"/>
    <n v="1345.068497"/>
    <n v="56"/>
  </r>
  <r>
    <x v="74"/>
    <s v="FIN"/>
    <s v="UEFA"/>
    <n v="75"/>
    <n v="56"/>
    <x v="37"/>
    <n v="73"/>
    <n v="1341.9224079999999"/>
    <n v="1346.408799"/>
    <n v="50"/>
  </r>
  <r>
    <x v="75"/>
    <s v="ISR"/>
    <s v="UEFA"/>
    <n v="76"/>
    <n v="76"/>
    <x v="6"/>
    <n v="77"/>
    <n v="1333.9040070000001"/>
    <n v="1328.333496"/>
    <n v="44"/>
  </r>
  <r>
    <x v="76"/>
    <s v="BOL"/>
    <s v="CONMEBOL"/>
    <n v="77"/>
    <n v="82"/>
    <x v="1"/>
    <n v="76"/>
    <n v="1325.995377"/>
    <n v="1329.4155089999999"/>
    <n v="53"/>
  </r>
  <r>
    <x v="77"/>
    <s v="KOS"/>
    <s v="UEFA"/>
    <n v="78"/>
    <n v="107"/>
    <x v="38"/>
    <n v="78"/>
    <n v="1319.1209240000001"/>
    <n v="1318.82527"/>
    <n v="47"/>
  </r>
  <r>
    <x v="78"/>
    <s v="OMA"/>
    <s v="AFC"/>
    <n v="79"/>
    <n v="75"/>
    <x v="13"/>
    <n v="79"/>
    <n v="1306.901717"/>
    <n v="1313.4649449999999"/>
    <n v="69"/>
  </r>
  <r>
    <x v="79"/>
    <s v="MNE"/>
    <s v="UEFA"/>
    <n v="80"/>
    <n v="69"/>
    <x v="14"/>
    <n v="81"/>
    <n v="1301.9771909999999"/>
    <n v="1295.518644"/>
    <n v="48"/>
  </r>
  <r>
    <x v="80"/>
    <s v="GUI"/>
    <s v="CAF"/>
    <n v="81"/>
    <n v="83"/>
    <x v="0"/>
    <n v="80"/>
    <n v="1295.598845"/>
    <n v="1300.0053600000001"/>
    <n v="60"/>
  </r>
  <r>
    <x v="81"/>
    <s v="CUW"/>
    <s v="CONCACAF"/>
    <n v="82"/>
    <n v="86"/>
    <x v="3"/>
    <n v="82"/>
    <n v="1294.76909"/>
    <n v="1294.652918"/>
    <n v="36"/>
  </r>
  <r>
    <x v="82"/>
    <s v="HAI"/>
    <s v="CONCACAF"/>
    <n v="83"/>
    <n v="87"/>
    <x v="3"/>
    <n v="83"/>
    <n v="1293.096585"/>
    <n v="1291.711814"/>
    <n v="36"/>
  </r>
  <r>
    <x v="83"/>
    <s v="SYR"/>
    <s v="AFC"/>
    <n v="84"/>
    <n v="90"/>
    <x v="12"/>
    <n v="84"/>
    <n v="1283.0519019999999"/>
    <n v="1288.556135"/>
    <n v="50"/>
  </r>
  <r>
    <x v="84"/>
    <s v="NZL"/>
    <s v="OFC"/>
    <n v="85"/>
    <n v="105"/>
    <x v="39"/>
    <n v="85"/>
    <n v="1275.581062"/>
    <n v="1281.566939"/>
    <n v="47"/>
  </r>
  <r>
    <x v="85"/>
    <s v="GAB"/>
    <s v="CAF"/>
    <n v="86"/>
    <n v="81"/>
    <x v="4"/>
    <n v="87"/>
    <n v="1272.508139"/>
    <n v="1272.508139"/>
    <n v="45"/>
  </r>
  <r>
    <x v="86"/>
    <s v="BUL"/>
    <s v="UEFA"/>
    <n v="87"/>
    <n v="72"/>
    <x v="40"/>
    <n v="86"/>
    <n v="1271.683325"/>
    <n v="1278.9043750000001"/>
    <n v="48"/>
  </r>
  <r>
    <x v="87"/>
    <s v="UGA"/>
    <s v="CAF"/>
    <n v="88"/>
    <n v="89"/>
    <x v="2"/>
    <n v="88"/>
    <n v="1264.0905909999999"/>
    <n v="1264.0905909999999"/>
    <n v="58"/>
  </r>
  <r>
    <x v="88"/>
    <s v="ANG"/>
    <s v="CAF"/>
    <n v="89"/>
    <n v="119"/>
    <x v="41"/>
    <n v="89"/>
    <n v="1262.2196980000001"/>
    <n v="1263.0968109999999"/>
    <n v="68"/>
  </r>
  <r>
    <x v="89"/>
    <s v="BEN"/>
    <s v="CAF"/>
    <n v="90"/>
    <n v="91"/>
    <x v="2"/>
    <n v="90"/>
    <n v="1258.2248529999999"/>
    <n v="1258.9800210000001"/>
    <n v="47"/>
  </r>
  <r>
    <x v="90"/>
    <s v="ZAM"/>
    <s v="CAF"/>
    <n v="91"/>
    <n v="88"/>
    <x v="42"/>
    <n v="92"/>
    <n v="1255.8218460000001"/>
    <n v="1255.8218460000001"/>
    <n v="61"/>
  </r>
  <r>
    <x v="91"/>
    <s v="CHN"/>
    <s v="AFC"/>
    <n v="92"/>
    <n v="79"/>
    <x v="23"/>
    <n v="94"/>
    <n v="1254.848285"/>
    <n v="1251.5978210000001"/>
    <n v="46"/>
  </r>
  <r>
    <x v="92"/>
    <s v="BHR"/>
    <s v="AFC"/>
    <n v="93"/>
    <n v="85"/>
    <x v="32"/>
    <n v="91"/>
    <n v="1254.4067990000001"/>
    <n v="1258.5274919999999"/>
    <n v="63"/>
  </r>
  <r>
    <x v="93"/>
    <s v="THA"/>
    <s v="AFC"/>
    <n v="94"/>
    <n v="111"/>
    <x v="43"/>
    <n v="93"/>
    <n v="1250.7638790000001"/>
    <n v="1252.138301"/>
    <n v="71"/>
  </r>
  <r>
    <x v="94"/>
    <s v="PLE"/>
    <s v="AFC"/>
    <n v="95"/>
    <n v="94"/>
    <x v="9"/>
    <n v="95"/>
    <n v="1244.2164990000001"/>
    <n v="1244.7288020000001"/>
    <n v="38"/>
  </r>
  <r>
    <x v="95"/>
    <s v="BLR"/>
    <s v="UEFA"/>
    <n v="96"/>
    <n v="97"/>
    <x v="2"/>
    <n v="97"/>
    <n v="1241.324607"/>
    <n v="1235.8203739999999"/>
    <n v="47"/>
  </r>
  <r>
    <x v="96"/>
    <s v="GUA"/>
    <s v="CONCACAF"/>
    <n v="97"/>
    <n v="118"/>
    <x v="16"/>
    <n v="96"/>
    <n v="1238.7437500000001"/>
    <n v="1243.4749839999999"/>
    <n v="54"/>
  </r>
  <r>
    <x v="97"/>
    <s v="LUX"/>
    <s v="UEFA"/>
    <n v="98"/>
    <n v="92"/>
    <x v="8"/>
    <n v="98"/>
    <n v="1232.8181500000001"/>
    <n v="1227.7654620000001"/>
    <n v="48"/>
  </r>
  <r>
    <x v="98"/>
    <s v="VIE"/>
    <s v="AFC"/>
    <n v="99"/>
    <n v="96"/>
    <x v="42"/>
    <n v="99"/>
    <n v="1225.6794299999999"/>
    <n v="1225.6794299999999"/>
    <n v="59"/>
  </r>
  <r>
    <x v="99"/>
    <s v="TJK"/>
    <s v="AFC"/>
    <n v="100"/>
    <n v="108"/>
    <x v="28"/>
    <n v="103"/>
    <n v="1225.5189789999999"/>
    <n v="1221.7809500000001"/>
    <n v="45"/>
  </r>
  <r>
    <x v="100"/>
    <s v="SLV"/>
    <s v="CONCACAF"/>
    <n v="101"/>
    <n v="74"/>
    <x v="44"/>
    <n v="100"/>
    <n v="1225.344607"/>
    <n v="1225.2587599999999"/>
    <n v="55"/>
  </r>
  <r>
    <x v="101"/>
    <s v="MOZ"/>
    <s v="CAF"/>
    <n v="102"/>
    <n v="114"/>
    <x v="34"/>
    <n v="101"/>
    <n v="1224.311107"/>
    <n v="1224.311107"/>
    <n v="60"/>
  </r>
  <r>
    <x v="102"/>
    <s v="TRI"/>
    <s v="CONCACAF"/>
    <n v="103"/>
    <n v="104"/>
    <x v="2"/>
    <n v="102"/>
    <n v="1221.9518330000001"/>
    <n v="1222.93812"/>
    <n v="47"/>
  </r>
  <r>
    <x v="103"/>
    <s v="MAD"/>
    <s v="CAF"/>
    <n v="104"/>
    <n v="102"/>
    <x v="11"/>
    <n v="104"/>
    <n v="1202.689766"/>
    <n v="1203.76261"/>
    <n v="59"/>
  </r>
  <r>
    <x v="104"/>
    <s v="EQG"/>
    <s v="CAF"/>
    <n v="105"/>
    <n v="98"/>
    <x v="7"/>
    <n v="105"/>
    <n v="1195.197081"/>
    <n v="1195.197081"/>
    <n v="54"/>
  </r>
  <r>
    <x v="105"/>
    <s v="KGZ"/>
    <s v="AFC"/>
    <n v="106"/>
    <n v="95"/>
    <x v="14"/>
    <n v="107"/>
    <n v="1191.655395"/>
    <n v="1191.143092"/>
    <n v="39"/>
  </r>
  <r>
    <x v="106"/>
    <s v="ARM"/>
    <s v="UEFA"/>
    <n v="107"/>
    <n v="93"/>
    <x v="45"/>
    <n v="106"/>
    <n v="1191.334973"/>
    <n v="1191.4161220000001"/>
    <n v="46"/>
  </r>
  <r>
    <x v="107"/>
    <s v="COM"/>
    <s v="CAF"/>
    <n v="108"/>
    <n v="129"/>
    <x v="16"/>
    <n v="109"/>
    <n v="1187.9109000000001"/>
    <n v="1187.9109000000001"/>
    <n v="62"/>
  </r>
  <r>
    <x v="108"/>
    <s v="KEN"/>
    <s v="CAF"/>
    <n v="109"/>
    <n v="101"/>
    <x v="32"/>
    <n v="111"/>
    <n v="1185.0766309999999"/>
    <n v="1182.230045"/>
    <n v="46"/>
  </r>
  <r>
    <x v="109"/>
    <s v="KAZ"/>
    <s v="UEFA"/>
    <n v="110"/>
    <n v="113"/>
    <x v="10"/>
    <n v="110"/>
    <n v="1183.038315"/>
    <n v="1182.9571659999999"/>
    <n v="48"/>
  </r>
  <r>
    <x v="110"/>
    <s v="LBY"/>
    <s v="CAF"/>
    <n v="111"/>
    <n v="120"/>
    <x v="19"/>
    <n v="112"/>
    <n v="1182.0812639999999"/>
    <n v="1182.0812639999999"/>
    <n v="46"/>
  </r>
  <r>
    <x v="111"/>
    <s v="NIG"/>
    <s v="CAF"/>
    <n v="112"/>
    <n v="121"/>
    <x v="19"/>
    <n v="114"/>
    <n v="1180.416678"/>
    <n v="1179.6615099999999"/>
    <n v="53"/>
  </r>
  <r>
    <x v="112"/>
    <s v="TAN"/>
    <s v="CAF"/>
    <n v="113"/>
    <n v="130"/>
    <x v="43"/>
    <n v="113"/>
    <n v="1180.2678470000001"/>
    <n v="1180.2678470000001"/>
    <n v="54"/>
  </r>
  <r>
    <x v="113"/>
    <s v="LBN"/>
    <s v="AFC"/>
    <n v="114"/>
    <n v="99"/>
    <x v="40"/>
    <n v="108"/>
    <n v="1172.215162"/>
    <n v="1187.960362"/>
    <n v="47"/>
  </r>
  <r>
    <x v="114"/>
    <s v="MTN"/>
    <s v="CAF"/>
    <n v="115"/>
    <n v="103"/>
    <x v="36"/>
    <n v="115"/>
    <n v="1171.5963790000001"/>
    <n v="1170.7192660000001"/>
    <n v="65"/>
  </r>
  <r>
    <x v="115"/>
    <s v="GAM"/>
    <s v="CAF"/>
    <n v="116"/>
    <n v="126"/>
    <x v="17"/>
    <n v="116"/>
    <n v="1159.6378079999999"/>
    <n v="1160.3806850000001"/>
    <n v="48"/>
  </r>
  <r>
    <x v="116"/>
    <s v="SDN"/>
    <s v="CAF"/>
    <n v="117"/>
    <n v="128"/>
    <x v="18"/>
    <n v="117"/>
    <n v="1157.2239010000001"/>
    <n v="1157.2239010000001"/>
    <n v="61"/>
  </r>
  <r>
    <x v="117"/>
    <s v="SLE"/>
    <s v="CAF"/>
    <n v="118"/>
    <n v="117"/>
    <x v="9"/>
    <n v="119"/>
    <n v="1153.309176"/>
    <n v="1148.976347"/>
    <n v="42"/>
  </r>
  <r>
    <x v="118"/>
    <s v="IDN"/>
    <s v="AFC"/>
    <n v="119"/>
    <n v="152"/>
    <x v="46"/>
    <n v="122"/>
    <n v="1151.4481149999999"/>
    <n v="1144.8848869999999"/>
    <n v="65"/>
  </r>
  <r>
    <x v="119"/>
    <s v="PRK"/>
    <s v="AFC"/>
    <n v="120"/>
    <n v="112"/>
    <x v="32"/>
    <n v="118"/>
    <n v="1151.052136"/>
    <n v="1151.052136"/>
    <n v="17"/>
  </r>
  <r>
    <x v="120"/>
    <s v="NAM"/>
    <s v="CAF"/>
    <n v="121"/>
    <n v="115"/>
    <x v="8"/>
    <n v="120"/>
    <n v="1148.8396949999999"/>
    <n v="1148.8396949999999"/>
    <n v="45"/>
  </r>
  <r>
    <x v="121"/>
    <s v="TOG"/>
    <s v="CAF"/>
    <n v="122"/>
    <n v="127"/>
    <x v="1"/>
    <n v="121"/>
    <n v="1146.703618"/>
    <n v="1147.31212"/>
    <n v="41"/>
  </r>
  <r>
    <x v="122"/>
    <s v="CYP"/>
    <s v="UEFA"/>
    <n v="123"/>
    <n v="110"/>
    <x v="23"/>
    <n v="126"/>
    <n v="1133.247165"/>
    <n v="1128.3341190000001"/>
    <n v="48"/>
  </r>
  <r>
    <x v="123"/>
    <s v="SUR"/>
    <s v="CONCACAF"/>
    <n v="124"/>
    <n v="139"/>
    <x v="5"/>
    <n v="125"/>
    <n v="1132.4258950000001"/>
    <n v="1132.4258950000001"/>
    <n v="30"/>
  </r>
  <r>
    <x v="124"/>
    <s v="FRO"/>
    <s v="UEFA"/>
    <n v="125"/>
    <n v="122"/>
    <x v="42"/>
    <n v="123"/>
    <n v="1131.984479"/>
    <n v="1137.138273"/>
    <n v="46"/>
  </r>
  <r>
    <x v="125"/>
    <s v="AZE"/>
    <s v="UEFA"/>
    <n v="126"/>
    <n v="123"/>
    <x v="42"/>
    <n v="124"/>
    <n v="1130.263211"/>
    <n v="1136.6663000000001"/>
    <n v="46"/>
  </r>
  <r>
    <x v="126"/>
    <s v="RWA"/>
    <s v="CAF"/>
    <n v="127"/>
    <n v="137"/>
    <x v="17"/>
    <n v="128"/>
    <n v="1126.6222749999999"/>
    <n v="1126.6222749999999"/>
    <n v="40"/>
  </r>
  <r>
    <x v="127"/>
    <s v="EST"/>
    <s v="UEFA"/>
    <n v="128"/>
    <n v="109"/>
    <x v="37"/>
    <n v="129"/>
    <n v="1126.2569510000001"/>
    <n v="1121.103157"/>
    <n v="51"/>
  </r>
  <r>
    <x v="128"/>
    <s v="MWI"/>
    <s v="CAF"/>
    <n v="129"/>
    <n v="124"/>
    <x v="4"/>
    <n v="127"/>
    <n v="1122.4880820000001"/>
    <n v="1128.0278579999999"/>
    <n v="50"/>
  </r>
  <r>
    <x v="129"/>
    <s v="ZIM"/>
    <s v="CAF"/>
    <n v="130"/>
    <n v="125"/>
    <x v="4"/>
    <n v="130"/>
    <n v="1119.7769499999999"/>
    <n v="1118.1238330000001"/>
    <n v="39"/>
  </r>
  <r>
    <x v="130"/>
    <s v="NCA"/>
    <s v="CONCACAF"/>
    <n v="131"/>
    <n v="142"/>
    <x v="18"/>
    <n v="131"/>
    <n v="1114.634184"/>
    <n v="1115.1314199999999"/>
    <n v="40"/>
  </r>
  <r>
    <x v="131"/>
    <s v="GNB"/>
    <s v="CAF"/>
    <n v="132"/>
    <n v="116"/>
    <x v="27"/>
    <n v="132"/>
    <n v="1108.3815529999999"/>
    <n v="1108.3815529999999"/>
    <n v="48"/>
  </r>
  <r>
    <x v="132"/>
    <s v="KUW"/>
    <s v="AFC"/>
    <n v="133"/>
    <n v="149"/>
    <x v="47"/>
    <n v="134"/>
    <n v="1106.4745869999999"/>
    <n v="1105.1001650000001"/>
    <n v="58"/>
  </r>
  <r>
    <x v="133"/>
    <s v="CGO"/>
    <s v="CAF"/>
    <n v="134"/>
    <n v="100"/>
    <x v="48"/>
    <n v="133"/>
    <n v="1105.964661"/>
    <n v="1105.964661"/>
    <n v="37"/>
  </r>
  <r>
    <x v="134"/>
    <s v="PHI"/>
    <s v="AFC"/>
    <n v="135"/>
    <n v="133"/>
    <x v="11"/>
    <n v="135"/>
    <n v="1096.72639"/>
    <n v="1094.097577"/>
    <n v="46"/>
  </r>
  <r>
    <x v="135"/>
    <s v="LVA"/>
    <s v="UEFA"/>
    <n v="136"/>
    <n v="134"/>
    <x v="11"/>
    <n v="137"/>
    <n v="1090.261315"/>
    <n v="1090.5693530000001"/>
    <n v="47"/>
  </r>
  <r>
    <x v="136"/>
    <s v="MAS"/>
    <s v="AFC"/>
    <n v="137"/>
    <n v="146"/>
    <x v="19"/>
    <n v="138"/>
    <n v="1086.218087"/>
    <n v="1086.218087"/>
    <n v="58"/>
  </r>
  <r>
    <x v="137"/>
    <s v="CTA"/>
    <s v="CAF"/>
    <n v="138"/>
    <n v="132"/>
    <x v="8"/>
    <n v="139"/>
    <n v="1084.1801029999999"/>
    <n v="1083.5716010000001"/>
    <n v="40"/>
  </r>
  <r>
    <x v="138"/>
    <s v="IND"/>
    <s v="AFC"/>
    <n v="139"/>
    <n v="106"/>
    <x v="49"/>
    <n v="136"/>
    <n v="1083.6018939999999"/>
    <n v="1091.027887"/>
    <n v="53"/>
  </r>
  <r>
    <x v="139"/>
    <s v="TKM"/>
    <s v="AFC"/>
    <n v="140"/>
    <n v="135"/>
    <x v="4"/>
    <n v="141"/>
    <n v="1078.6523460000001"/>
    <n v="1078.6523460000001"/>
    <n v="25"/>
  </r>
  <r>
    <x v="140"/>
    <s v="BDI"/>
    <s v="CAF"/>
    <n v="141"/>
    <n v="141"/>
    <x v="6"/>
    <n v="142"/>
    <n v="1078.009468"/>
    <n v="1078.009468"/>
    <n v="36"/>
  </r>
  <r>
    <x v="141"/>
    <s v="ETH"/>
    <s v="CAF"/>
    <n v="142"/>
    <n v="138"/>
    <x v="13"/>
    <n v="144"/>
    <n v="1077.0863079999999"/>
    <n v="1071.5465320000001"/>
    <n v="48"/>
  </r>
  <r>
    <x v="142"/>
    <s v="DOM"/>
    <s v="CONCACAF"/>
    <n v="143"/>
    <n v="153"/>
    <x v="17"/>
    <n v="143"/>
    <n v="1076.498501"/>
    <n v="1077.9540750000001"/>
    <n v="34"/>
  </r>
  <r>
    <x v="143"/>
    <s v="LBR"/>
    <s v="CAF"/>
    <n v="144"/>
    <n v="150"/>
    <x v="12"/>
    <n v="140"/>
    <n v="1074.686684"/>
    <n v="1079.019513"/>
    <n v="41"/>
  </r>
  <r>
    <x v="144"/>
    <s v="YEM"/>
    <s v="AFC"/>
    <n v="145"/>
    <n v="155"/>
    <x v="17"/>
    <n v="149"/>
    <n v="1065.236881"/>
    <n v="1049.491681"/>
    <n v="27"/>
  </r>
  <r>
    <x v="145"/>
    <s v="LES"/>
    <s v="CAF"/>
    <n v="146"/>
    <n v="147"/>
    <x v="2"/>
    <n v="145"/>
    <n v="1064.285838"/>
    <n v="1067.1324239999999"/>
    <n v="49"/>
  </r>
  <r>
    <x v="146"/>
    <s v="BOT"/>
    <s v="CAF"/>
    <n v="147"/>
    <n v="148"/>
    <x v="2"/>
    <n v="146"/>
    <n v="1063.6313680000001"/>
    <n v="1063.6313680000001"/>
    <n v="48"/>
  </r>
  <r>
    <x v="147"/>
    <s v="LTU"/>
    <s v="UEFA"/>
    <n v="148"/>
    <n v="144"/>
    <x v="13"/>
    <n v="148"/>
    <n v="1061.22966"/>
    <n v="1058.4216220000001"/>
    <n v="47"/>
  </r>
  <r>
    <x v="148"/>
    <s v="SGP"/>
    <s v="AFC"/>
    <n v="149"/>
    <n v="160"/>
    <x v="18"/>
    <n v="147"/>
    <n v="1057.950212"/>
    <n v="1059.5304289999999"/>
    <n v="55"/>
  </r>
  <r>
    <x v="149"/>
    <s v="GUY"/>
    <s v="CONCACAF"/>
    <n v="150"/>
    <n v="171"/>
    <x v="16"/>
    <n v="150"/>
    <n v="1049.3202409999999"/>
    <n v="1049.3202409999999"/>
    <n v="30"/>
  </r>
  <r>
    <x v="150"/>
    <s v="NCL"/>
    <s v="OFC"/>
    <n v="151"/>
    <n v="161"/>
    <x v="17"/>
    <n v="151"/>
    <n v="1036.9522529999999"/>
    <n v="1036.9522529999999"/>
    <n v="18"/>
  </r>
  <r>
    <x v="151"/>
    <s v="SKN"/>
    <s v="CONCACAF"/>
    <n v="152"/>
    <n v="140"/>
    <x v="36"/>
    <n v="152"/>
    <n v="1036.334924"/>
    <n v="1036.334924"/>
    <n v="24"/>
  </r>
  <r>
    <x v="152"/>
    <s v="SOL"/>
    <s v="OFC"/>
    <n v="153"/>
    <n v="136"/>
    <x v="50"/>
    <n v="153"/>
    <n v="1031.8941560000001"/>
    <n v="1031.8941560000001"/>
    <n v="32"/>
  </r>
  <r>
    <x v="153"/>
    <s v="HKG"/>
    <s v="AFC"/>
    <n v="154"/>
    <e v="#N/A"/>
    <x v="51"/>
    <n v="155"/>
    <n v="1030.240953"/>
    <n v="1026.628751"/>
    <n v="51"/>
  </r>
  <r>
    <x v="154"/>
    <s v="FIJ"/>
    <s v="OFC"/>
    <n v="155"/>
    <n v="163"/>
    <x v="28"/>
    <n v="154"/>
    <n v="1024.3842179999999"/>
    <n v="1029.697455"/>
    <n v="31"/>
  </r>
  <r>
    <x v="155"/>
    <s v="PUR"/>
    <s v="CONCACAF"/>
    <n v="156"/>
    <n v="170"/>
    <x v="52"/>
    <n v="156"/>
    <n v="1024.2973119999999"/>
    <n v="1026.1058290000001"/>
    <n v="27"/>
  </r>
  <r>
    <x v="156"/>
    <s v="TAH"/>
    <s v="OFC"/>
    <n v="157"/>
    <n v="162"/>
    <x v="1"/>
    <n v="157"/>
    <n v="1019.036032"/>
    <n v="1019.036032"/>
    <n v="14"/>
  </r>
  <r>
    <x v="157"/>
    <s v="MYA"/>
    <s v="AFC"/>
    <n v="158"/>
    <n v="158"/>
    <x v="6"/>
    <n v="158"/>
    <n v="1015.138408"/>
    <n v="1011.876799"/>
    <n v="47"/>
  </r>
  <r>
    <x v="158"/>
    <s v="MDA"/>
    <s v="UEFA"/>
    <n v="159"/>
    <n v="174"/>
    <x v="5"/>
    <n v="159"/>
    <n v="1006.537824"/>
    <n v="1004.157429"/>
    <n v="49"/>
  </r>
  <r>
    <x v="159"/>
    <s v="VAN"/>
    <s v="OFC"/>
    <n v="160"/>
    <n v="164"/>
    <x v="3"/>
    <n v="160"/>
    <n v="1002.318941"/>
    <n v="997.00570400000004"/>
    <n v="27"/>
  </r>
  <r>
    <x v="160"/>
    <s v="MLT"/>
    <s v="UEFA"/>
    <n v="161"/>
    <n v="168"/>
    <x v="24"/>
    <n v="161"/>
    <n v="992.793497"/>
    <n v="987.73058600000002"/>
    <n v="47"/>
  </r>
  <r>
    <x v="161"/>
    <s v="ATG"/>
    <s v="CONCACAF"/>
    <n v="162"/>
    <n v="131"/>
    <x v="53"/>
    <n v="162"/>
    <n v="986.58441400000004"/>
    <n v="986.58441400000004"/>
    <n v="22"/>
  </r>
  <r>
    <x v="162"/>
    <s v="GRN"/>
    <s v="CONCACAF"/>
    <n v="163"/>
    <n v="173"/>
    <x v="17"/>
    <n v="163"/>
    <n v="981.82397300000002"/>
    <n v="982.56893600000001"/>
    <n v="30"/>
  </r>
  <r>
    <x v="163"/>
    <s v="CUB"/>
    <s v="CONCACAF"/>
    <n v="164"/>
    <n v="167"/>
    <x v="10"/>
    <n v="164"/>
    <n v="981.42345499999999"/>
    <n v="981.42345499999999"/>
    <n v="32"/>
  </r>
  <r>
    <x v="164"/>
    <s v="SWZ"/>
    <s v="CAF"/>
    <n v="165"/>
    <n v="143"/>
    <x v="25"/>
    <n v="165"/>
    <n v="979.01393900000005"/>
    <n v="979.01393900000005"/>
    <n v="47"/>
  </r>
  <r>
    <x v="165"/>
    <s v="LCA"/>
    <s v="CONCACAF"/>
    <n v="166"/>
    <n v="172"/>
    <x v="12"/>
    <n v="167"/>
    <n v="976.70899599999996"/>
    <n v="976.70899599999996"/>
    <n v="19"/>
  </r>
  <r>
    <x v="166"/>
    <s v="BER"/>
    <s v="CONCACAF"/>
    <n v="167"/>
    <n v="169"/>
    <x v="0"/>
    <n v="166"/>
    <n v="975.05374600000005"/>
    <n v="976.86909800000001"/>
    <n v="31"/>
  </r>
  <r>
    <x v="167"/>
    <s v="PNG"/>
    <s v="OFC"/>
    <n v="168"/>
    <n v="159"/>
    <x v="35"/>
    <n v="168"/>
    <n v="974.90110000000004"/>
    <n v="974.90110000000004"/>
    <n v="26"/>
  </r>
  <r>
    <x v="168"/>
    <s v="AFG"/>
    <s v="AFC"/>
    <n v="169"/>
    <n v="156"/>
    <x v="23"/>
    <n v="169"/>
    <n v="971.20263499999999"/>
    <n v="972.74578199999996"/>
    <n v="32"/>
  </r>
  <r>
    <x v="169"/>
    <s v="SSD"/>
    <s v="CAF"/>
    <n v="170"/>
    <n v="165"/>
    <x v="4"/>
    <n v="170"/>
    <n v="970.94452699999999"/>
    <n v="970.94452699999999"/>
    <n v="40"/>
  </r>
  <r>
    <x v="170"/>
    <s v="VIN"/>
    <s v="CONCACAF"/>
    <n v="171"/>
    <n v="178"/>
    <x v="24"/>
    <n v="171"/>
    <n v="968.26963799999999"/>
    <n v="968.26963799999999"/>
    <n v="28"/>
  </r>
  <r>
    <x v="171"/>
    <s v="AND"/>
    <s v="UEFA"/>
    <n v="172"/>
    <n v="151"/>
    <x v="31"/>
    <n v="173"/>
    <n v="946.42982600000005"/>
    <n v="945.34193400000004"/>
    <n v="49"/>
  </r>
  <r>
    <x v="172"/>
    <s v="MDV"/>
    <s v="AFC"/>
    <n v="173"/>
    <n v="154"/>
    <x v="37"/>
    <n v="172"/>
    <n v="943.91790100000003"/>
    <n v="954.92834900000003"/>
    <n v="35"/>
  </r>
  <r>
    <x v="173"/>
    <s v="TPE"/>
    <s v="AFC"/>
    <n v="174"/>
    <n v="157"/>
    <x v="50"/>
    <n v="174"/>
    <n v="923.78264300000001"/>
    <n v="923.78264300000001"/>
    <n v="26"/>
  </r>
  <r>
    <x v="174"/>
    <s v="MSR"/>
    <s v="CONCACAF"/>
    <n v="175"/>
    <n v="179"/>
    <x v="3"/>
    <n v="175"/>
    <n v="916.75251000000003"/>
    <n v="916.75251000000003"/>
    <n v="20"/>
  </r>
  <r>
    <x v="175"/>
    <s v="CAM"/>
    <s v="AFC"/>
    <n v="176"/>
    <n v="177"/>
    <x v="2"/>
    <n v="177"/>
    <n v="916.24130400000001"/>
    <n v="911.53827699999999"/>
    <n v="38"/>
  </r>
  <r>
    <x v="176"/>
    <s v="NEP"/>
    <s v="AFC"/>
    <n v="177"/>
    <n v="175"/>
    <x v="11"/>
    <n v="176"/>
    <n v="914.54122400000006"/>
    <n v="914.54122400000006"/>
    <n v="42"/>
  </r>
  <r>
    <x v="177"/>
    <s v="MRI"/>
    <s v="CAF"/>
    <n v="178"/>
    <n v="180"/>
    <x v="0"/>
    <n v="178"/>
    <n v="911.48750099999995"/>
    <n v="911.48750099999995"/>
    <n v="36"/>
  </r>
  <r>
    <x v="178"/>
    <s v="BRB"/>
    <s v="CONCACAF"/>
    <n v="179"/>
    <n v="166"/>
    <x v="23"/>
    <n v="179"/>
    <n v="909.89320799999996"/>
    <n v="909.89320799999996"/>
    <n v="26"/>
  </r>
  <r>
    <x v="179"/>
    <s v="BLZ"/>
    <s v="CONCACAF"/>
    <n v="180"/>
    <n v="176"/>
    <x v="13"/>
    <n v="180"/>
    <n v="907.00121100000001"/>
    <n v="907.00121100000001"/>
    <n v="22"/>
  </r>
  <r>
    <x v="180"/>
    <s v="BAN"/>
    <s v="AFC"/>
    <n v="181"/>
    <n v="192"/>
    <x v="18"/>
    <n v="181"/>
    <n v="902.92965000000004"/>
    <n v="899.53277700000001"/>
    <n v="47"/>
  </r>
  <r>
    <x v="181"/>
    <s v="DMA"/>
    <s v="CONCACAF"/>
    <n v="182"/>
    <n v="184"/>
    <x v="0"/>
    <n v="182"/>
    <n v="897.68643699999996"/>
    <n v="897.68643699999996"/>
    <n v="25"/>
  </r>
  <r>
    <x v="182"/>
    <s v="CHA"/>
    <s v="CAF"/>
    <n v="183"/>
    <n v="181"/>
    <x v="11"/>
    <n v="183"/>
    <n v="896.85281899999995"/>
    <n v="896.85281899999995"/>
    <n v="30"/>
  </r>
  <r>
    <x v="183"/>
    <s v="ERI"/>
    <s v="CAF"/>
    <n v="184"/>
    <n v="200"/>
    <x v="47"/>
    <n v="184"/>
    <n v="887.06334100000004"/>
    <n v="887.06334100000004"/>
    <n v="7"/>
  </r>
  <r>
    <x v="184"/>
    <s v="LAO"/>
    <s v="AFC"/>
    <n v="185"/>
    <n v="187"/>
    <x v="0"/>
    <n v="185"/>
    <n v="885.02889100000004"/>
    <n v="885.02889100000004"/>
    <n v="30"/>
  </r>
  <r>
    <x v="185"/>
    <s v="COK"/>
    <s v="OFC"/>
    <n v="186"/>
    <n v="189"/>
    <x v="10"/>
    <n v="188"/>
    <n v="877.53499499999998"/>
    <n v="877.53499499999998"/>
    <n v="9"/>
  </r>
  <r>
    <x v="186"/>
    <s v="SAM"/>
    <s v="OFC"/>
    <n v="187"/>
    <n v="191"/>
    <x v="3"/>
    <n v="190"/>
    <n v="876.40781200000004"/>
    <n v="876.40781200000004"/>
    <n v="14"/>
  </r>
  <r>
    <x v="187"/>
    <s v="BHU"/>
    <s v="AFC"/>
    <n v="188"/>
    <n v="185"/>
    <x v="42"/>
    <n v="186"/>
    <n v="875.84506099999999"/>
    <n v="880.54808800000001"/>
    <n v="20"/>
  </r>
  <r>
    <x v="188"/>
    <s v="ARU"/>
    <s v="CONCACAF"/>
    <n v="189"/>
    <n v="201"/>
    <x v="34"/>
    <n v="189"/>
    <n v="875.61114999999995"/>
    <n v="877.29707099999996"/>
    <n v="21"/>
  </r>
  <r>
    <x v="189"/>
    <s v="MNG"/>
    <s v="AFC"/>
    <n v="190"/>
    <n v="183"/>
    <x v="7"/>
    <n v="187"/>
    <n v="874.46907399999998"/>
    <n v="879.75152300000002"/>
    <n v="21"/>
  </r>
  <r>
    <x v="190"/>
    <s v="SRI"/>
    <s v="AFC"/>
    <n v="191"/>
    <n v="207"/>
    <x v="47"/>
    <n v="191"/>
    <n v="871.82021499999996"/>
    <n v="871.82021499999996"/>
    <n v="33"/>
  </r>
  <r>
    <x v="191"/>
    <s v="ASA"/>
    <s v="OFC"/>
    <n v="192"/>
    <n v="188"/>
    <x v="13"/>
    <n v="192"/>
    <n v="871.61208099999999"/>
    <n v="871.61208099999999"/>
    <n v="7"/>
  </r>
  <r>
    <x v="192"/>
    <s v="BRU"/>
    <s v="AFC"/>
    <n v="193"/>
    <n v="190"/>
    <x v="42"/>
    <n v="193"/>
    <n v="863.09176000000002"/>
    <n v="863.09176000000002"/>
    <n v="29"/>
  </r>
  <r>
    <x v="193"/>
    <s v="MAC"/>
    <s v="AFC"/>
    <n v="194"/>
    <n v="182"/>
    <x v="36"/>
    <n v="194"/>
    <n v="858.03341999999998"/>
    <n v="858.03341999999998"/>
    <n v="12"/>
  </r>
  <r>
    <x v="194"/>
    <s v="STP"/>
    <s v="CAF"/>
    <n v="195"/>
    <n v="186"/>
    <x v="35"/>
    <n v="196"/>
    <n v="855.43866600000001"/>
    <n v="855.43866600000001"/>
    <n v="22"/>
  </r>
  <r>
    <x v="195"/>
    <s v="DJI"/>
    <s v="CAF"/>
    <n v="196"/>
    <n v="193"/>
    <x v="42"/>
    <n v="197"/>
    <n v="853.58178599999997"/>
    <n v="853.58178599999997"/>
    <n v="31"/>
  </r>
  <r>
    <x v="196"/>
    <s v="CAY"/>
    <s v="CONCACAF"/>
    <n v="197"/>
    <n v="195"/>
    <x v="11"/>
    <n v="195"/>
    <n v="850.06101100000001"/>
    <n v="855.44952799999999"/>
    <n v="22"/>
  </r>
  <r>
    <x v="197"/>
    <s v="SOM"/>
    <s v="CAF"/>
    <n v="198"/>
    <n v="203"/>
    <x v="1"/>
    <n v="198"/>
    <n v="839.16969700000004"/>
    <n v="839.16969700000004"/>
    <n v="21"/>
  </r>
  <r>
    <x v="198"/>
    <s v="PAK"/>
    <s v="AFC"/>
    <n v="199"/>
    <n v="194"/>
    <x v="4"/>
    <n v="202"/>
    <n v="837.15159300000005"/>
    <n v="824.59799799999996"/>
    <n v="24"/>
  </r>
  <r>
    <x v="199"/>
    <s v="TGA"/>
    <s v="OFC"/>
    <n v="200"/>
    <n v="197"/>
    <x v="42"/>
    <n v="199"/>
    <n v="835.64241000000004"/>
    <n v="835.64241000000004"/>
    <n v="7"/>
  </r>
  <r>
    <x v="200"/>
    <s v="TLS"/>
    <s v="AFC"/>
    <n v="201"/>
    <n v="198"/>
    <x v="42"/>
    <n v="200"/>
    <n v="825.63998400000003"/>
    <n v="825.63998400000003"/>
    <n v="26"/>
  </r>
  <r>
    <x v="201"/>
    <s v="GIB"/>
    <s v="UEFA"/>
    <n v="202"/>
    <n v="204"/>
    <x v="0"/>
    <n v="203"/>
    <n v="820.26081799999997"/>
    <n v="810.14071000000001"/>
    <n v="48"/>
  </r>
  <r>
    <x v="202"/>
    <s v="GUM"/>
    <s v="AFC"/>
    <n v="203"/>
    <n v="205"/>
    <x v="0"/>
    <n v="201"/>
    <n v="819.54057499999999"/>
    <n v="825.43099700000005"/>
    <n v="10"/>
  </r>
  <r>
    <x v="203"/>
    <s v="SEY"/>
    <s v="CAF"/>
    <n v="204"/>
    <n v="199"/>
    <x v="4"/>
    <n v="204"/>
    <n v="804.16150900000002"/>
    <n v="804.16150900000002"/>
    <n v="35"/>
  </r>
  <r>
    <x v="204"/>
    <s v="TCA"/>
    <s v="CONCACAF"/>
    <n v="205"/>
    <n v="206"/>
    <x v="2"/>
    <n v="205"/>
    <n v="803.98001499999998"/>
    <n v="803.98001499999998"/>
    <n v="12"/>
  </r>
  <r>
    <x v="205"/>
    <s v="LIE"/>
    <s v="UEFA"/>
    <n v="206"/>
    <n v="196"/>
    <x v="21"/>
    <n v="206"/>
    <n v="797.701009"/>
    <n v="803.57014900000001"/>
    <n v="47"/>
  </r>
  <r>
    <x v="206"/>
    <s v="BAH"/>
    <s v="CONCACAF"/>
    <n v="207"/>
    <n v="202"/>
    <x v="4"/>
    <n v="207"/>
    <n v="786.81621700000005"/>
    <n v="786.81621700000005"/>
    <n v="23"/>
  </r>
  <r>
    <x v="207"/>
    <s v="VIR"/>
    <s v="CONCACAF"/>
    <n v="208"/>
    <n v="208"/>
    <x v="6"/>
    <n v="209"/>
    <n v="779.76426600000002"/>
    <n v="779.76426600000002"/>
    <n v="15"/>
  </r>
  <r>
    <x v="208"/>
    <s v="VGB"/>
    <s v="CONCACAF"/>
    <n v="209"/>
    <n v="209"/>
    <x v="6"/>
    <n v="208"/>
    <n v="777.40573400000005"/>
    <n v="782.13732500000003"/>
    <n v="24"/>
  </r>
  <r>
    <x v="209"/>
    <s v="AIA"/>
    <s v="CONCACAF"/>
    <n v="210"/>
    <n v="210"/>
    <x v="6"/>
    <n v="210"/>
    <n v="760.25185199999999"/>
    <n v="760.25185199999999"/>
    <n v="18"/>
  </r>
  <r>
    <x v="210"/>
    <s v="SMR"/>
    <s v="UEFA"/>
    <n v="211"/>
    <n v="211"/>
    <x v="6"/>
    <n v="211"/>
    <n v="722.93372799999997"/>
    <n v="726.330601"/>
    <n v="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4DA6B5-EE1C-C84A-9225-D20F3357A7F6}" name="PivotTable2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2:H118" firstHeaderRow="0" firstDataRow="1" firstDataCol="1"/>
  <pivotFields count="10">
    <pivotField axis="axisRow" showAll="0" measureFilter="1" sortType="ascending">
      <items count="212">
        <item x="168"/>
        <item x="65"/>
        <item x="27"/>
        <item x="191"/>
        <item x="171"/>
        <item x="88"/>
        <item x="209"/>
        <item x="161"/>
        <item x="0"/>
        <item x="106"/>
        <item x="188"/>
        <item x="26"/>
        <item x="23"/>
        <item x="125"/>
        <item x="206"/>
        <item x="92"/>
        <item x="180"/>
        <item x="178"/>
        <item x="95"/>
        <item x="8"/>
        <item x="179"/>
        <item x="89"/>
        <item x="166"/>
        <item x="187"/>
        <item x="76"/>
        <item x="63"/>
        <item x="146"/>
        <item x="5"/>
        <item x="208"/>
        <item x="192"/>
        <item x="86"/>
        <item x="61"/>
        <item x="140"/>
        <item x="66"/>
        <item x="175"/>
        <item x="43"/>
        <item x="29"/>
        <item x="196"/>
        <item x="137"/>
        <item x="182"/>
        <item x="54"/>
        <item x="91"/>
        <item x="173"/>
        <item x="12"/>
        <item x="107"/>
        <item x="133"/>
        <item x="44"/>
        <item x="185"/>
        <item x="51"/>
        <item x="32"/>
        <item x="10"/>
        <item x="163"/>
        <item x="81"/>
        <item x="122"/>
        <item x="38"/>
        <item x="20"/>
        <item x="195"/>
        <item x="181"/>
        <item x="142"/>
        <item x="22"/>
        <item x="28"/>
        <item x="100"/>
        <item x="3"/>
        <item x="104"/>
        <item x="183"/>
        <item x="127"/>
        <item x="164"/>
        <item x="141"/>
        <item x="124"/>
        <item x="154"/>
        <item x="74"/>
        <item x="2"/>
        <item x="85"/>
        <item x="71"/>
        <item x="9"/>
        <item x="72"/>
        <item x="201"/>
        <item x="47"/>
        <item x="162"/>
        <item x="202"/>
        <item x="96"/>
        <item x="80"/>
        <item x="131"/>
        <item x="149"/>
        <item x="82"/>
        <item x="64"/>
        <item x="153"/>
        <item x="40"/>
        <item x="73"/>
        <item x="138"/>
        <item x="118"/>
        <item x="19"/>
        <item x="55"/>
        <item x="75"/>
        <item x="11"/>
        <item x="70"/>
        <item x="17"/>
        <item x="62"/>
        <item x="109"/>
        <item x="108"/>
        <item x="119"/>
        <item x="24"/>
        <item x="77"/>
        <item x="132"/>
        <item x="105"/>
        <item x="184"/>
        <item x="135"/>
        <item x="113"/>
        <item x="145"/>
        <item x="143"/>
        <item x="110"/>
        <item x="205"/>
        <item x="147"/>
        <item x="97"/>
        <item x="193"/>
        <item x="103"/>
        <item x="128"/>
        <item x="136"/>
        <item x="172"/>
        <item x="53"/>
        <item x="160"/>
        <item x="114"/>
        <item x="177"/>
        <item x="13"/>
        <item x="158"/>
        <item x="189"/>
        <item x="79"/>
        <item x="174"/>
        <item x="6"/>
        <item x="101"/>
        <item x="157"/>
        <item x="120"/>
        <item x="176"/>
        <item x="7"/>
        <item x="150"/>
        <item x="84"/>
        <item x="130"/>
        <item x="111"/>
        <item x="25"/>
        <item x="68"/>
        <item x="69"/>
        <item x="30"/>
        <item x="78"/>
        <item x="198"/>
        <item x="94"/>
        <item x="33"/>
        <item x="167"/>
        <item x="39"/>
        <item x="50"/>
        <item x="134"/>
        <item x="35"/>
        <item x="4"/>
        <item x="155"/>
        <item x="56"/>
        <item x="57"/>
        <item x="52"/>
        <item x="34"/>
        <item x="126"/>
        <item x="186"/>
        <item x="210"/>
        <item x="194"/>
        <item x="60"/>
        <item x="41"/>
        <item x="14"/>
        <item x="42"/>
        <item x="203"/>
        <item x="117"/>
        <item x="148"/>
        <item x="46"/>
        <item x="58"/>
        <item x="152"/>
        <item x="197"/>
        <item x="59"/>
        <item x="169"/>
        <item x="1"/>
        <item x="190"/>
        <item x="151"/>
        <item x="165"/>
        <item x="170"/>
        <item x="116"/>
        <item x="123"/>
        <item x="37"/>
        <item x="18"/>
        <item x="83"/>
        <item x="156"/>
        <item x="99"/>
        <item x="112"/>
        <item x="93"/>
        <item x="115"/>
        <item x="200"/>
        <item x="121"/>
        <item x="199"/>
        <item x="102"/>
        <item x="45"/>
        <item x="21"/>
        <item x="139"/>
        <item x="204"/>
        <item x="87"/>
        <item x="31"/>
        <item x="67"/>
        <item x="15"/>
        <item x="207"/>
        <item x="16"/>
        <item x="49"/>
        <item x="159"/>
        <item x="48"/>
        <item x="98"/>
        <item x="36"/>
        <item x="144"/>
        <item x="90"/>
        <item x="12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sortType="ascending">
      <items count="55">
        <item x="48"/>
        <item x="49"/>
        <item x="53"/>
        <item x="30"/>
        <item x="44"/>
        <item x="33"/>
        <item x="25"/>
        <item x="31"/>
        <item x="37"/>
        <item x="22"/>
        <item x="50"/>
        <item x="27"/>
        <item x="40"/>
        <item x="45"/>
        <item x="23"/>
        <item x="36"/>
        <item x="14"/>
        <item x="21"/>
        <item x="35"/>
        <item x="32"/>
        <item x="7"/>
        <item x="8"/>
        <item x="4"/>
        <item x="13"/>
        <item x="42"/>
        <item x="11"/>
        <item x="9"/>
        <item x="6"/>
        <item x="2"/>
        <item x="0"/>
        <item x="10"/>
        <item x="3"/>
        <item x="1"/>
        <item x="12"/>
        <item x="24"/>
        <item x="28"/>
        <item x="19"/>
        <item x="17"/>
        <item x="18"/>
        <item x="34"/>
        <item x="52"/>
        <item x="5"/>
        <item x="47"/>
        <item x="43"/>
        <item x="39"/>
        <item x="16"/>
        <item x="15"/>
        <item x="20"/>
        <item x="29"/>
        <item x="26"/>
        <item x="38"/>
        <item x="41"/>
        <item x="46"/>
        <item x="51"/>
        <item t="default"/>
      </items>
    </pivotField>
    <pivotField showAll="0"/>
    <pivotField showAll="0"/>
    <pivotField showAll="0"/>
    <pivotField showAll="0"/>
  </pivotFields>
  <rowFields count="1">
    <field x="0"/>
  </rowFields>
  <rowItems count="6">
    <i>
      <x v="8"/>
    </i>
    <i>
      <x v="174"/>
    </i>
    <i>
      <x v="71"/>
    </i>
    <i>
      <x v="62"/>
    </i>
    <i>
      <x v="151"/>
    </i>
    <i t="grand">
      <x/>
    </i>
  </rowItems>
  <colFields count="1">
    <field x="-2"/>
  </colFields>
  <colItems count="2">
    <i>
      <x/>
    </i>
    <i i="1">
      <x v="1"/>
    </i>
  </colItems>
  <dataFields count="2">
    <dataField name="Max of 2026_rank" fld="3" subtotal="max" baseField="0" baseItem="0"/>
    <dataField name="Max of 2022_rank" fld="4" subtotal="max" baseField="0" baseItem="0"/>
  </dataField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DA79B2-415A-DF4D-9E61-EC867B8F5CF5}" name="PivotTable2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J16" firstHeaderRow="0" firstDataRow="1" firstDataCol="1"/>
  <pivotFields count="45">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3">
        <item x="0"/>
        <item x="11"/>
        <item x="7"/>
        <item x="9"/>
        <item x="5"/>
        <item x="10"/>
        <item x="3"/>
        <item x="4"/>
        <item x="6"/>
        <item x="8"/>
        <item x="2"/>
        <item x="1"/>
        <item t="default"/>
      </items>
    </pivotField>
    <pivotField numFmtId="14" showAll="0">
      <items count="379">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18">
        <item x="11"/>
        <item x="2"/>
        <item x="13"/>
        <item x="12"/>
        <item x="6"/>
        <item x="4"/>
        <item x="8"/>
        <item x="5"/>
        <item x="9"/>
        <item x="0"/>
        <item x="1"/>
        <item x="3"/>
        <item x="10"/>
        <item x="14"/>
        <item x="15"/>
        <item x="7"/>
        <item x="1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5"/>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Average of home_score" fld="2" subtotal="average" baseField="0" baseItem="0"/>
    <dataField name="Average of away_score" fld="5" subtotal="average" baseField="0" baseItem="0"/>
    <dataField name="Sum of Total Goals" fld="44" baseField="0" baseItem="0"/>
  </dataFields>
  <formats count="2">
    <format dxfId="12">
      <pivotArea collapsedLevelsAreSubtotals="1" fieldPosition="0">
        <references count="1">
          <reference field="15" count="1">
            <x v="0"/>
          </reference>
        </references>
      </pivotArea>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5809FC-3735-9240-8013-219C406D3172}" name="PivotTable2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85:N108" firstHeaderRow="1" firstDataRow="1" firstDataCol="1"/>
  <pivotFields count="12">
    <pivotField axis="axisRow" showAll="0">
      <items count="23">
        <item x="19"/>
        <item x="21"/>
        <item x="20"/>
        <item x="15"/>
        <item x="18"/>
        <item x="17"/>
        <item x="16"/>
        <item x="9"/>
        <item x="6"/>
        <item x="1"/>
        <item x="10"/>
        <item x="13"/>
        <item x="7"/>
        <item x="4"/>
        <item x="0"/>
        <item x="12"/>
        <item x="14"/>
        <item x="5"/>
        <item x="8"/>
        <item x="2"/>
        <item x="11"/>
        <item x="3"/>
        <item t="default"/>
      </items>
    </pivotField>
    <pivotField showAll="0">
      <items count="18">
        <item x="8"/>
        <item x="2"/>
        <item x="13"/>
        <item x="7"/>
        <item x="10"/>
        <item x="1"/>
        <item x="4"/>
        <item x="12"/>
        <item x="5"/>
        <item x="3"/>
        <item x="9"/>
        <item x="6"/>
        <item x="11"/>
        <item x="14"/>
        <item x="15"/>
        <item x="0"/>
        <item x="16"/>
        <item t="default"/>
      </items>
    </pivotField>
    <pivotField showAll="0"/>
    <pivotField showAll="0"/>
    <pivotField showAll="0">
      <items count="6">
        <item x="4"/>
        <item x="3"/>
        <item x="1"/>
        <item x="0"/>
        <item x="2"/>
        <item t="default"/>
      </items>
    </pivotField>
    <pivotField showAll="0"/>
    <pivotField showAll="0"/>
    <pivotField showAll="0"/>
    <pivotField showAll="0"/>
    <pivotField numFmtId="165" showAll="0"/>
    <pivotField dataField="1" showAll="0"/>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AttendanceAvg" fld="10" subtotal="average"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210A01-FD8B-564C-8D94-572E270AFAD7}" name="PivotTable18"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86:H94" firstHeaderRow="1" firstDataRow="1" firstDataCol="1"/>
  <pivotFields count="12">
    <pivotField showAll="0">
      <items count="23">
        <item x="19"/>
        <item x="21"/>
        <item x="20"/>
        <item x="15"/>
        <item x="18"/>
        <item x="17"/>
        <item x="16"/>
        <item x="9"/>
        <item x="6"/>
        <item x="1"/>
        <item x="10"/>
        <item x="13"/>
        <item x="7"/>
        <item x="4"/>
        <item x="0"/>
        <item x="12"/>
        <item x="14"/>
        <item x="5"/>
        <item x="8"/>
        <item x="2"/>
        <item x="11"/>
        <item x="3"/>
        <item t="default"/>
      </items>
    </pivotField>
    <pivotField showAll="0">
      <items count="18">
        <item x="8"/>
        <item x="2"/>
        <item x="13"/>
        <item x="7"/>
        <item x="10"/>
        <item x="1"/>
        <item x="4"/>
        <item x="12"/>
        <item x="5"/>
        <item x="3"/>
        <item x="9"/>
        <item x="6"/>
        <item x="11"/>
        <item x="14"/>
        <item x="15"/>
        <item x="0"/>
        <item x="16"/>
        <item t="default"/>
      </items>
    </pivotField>
    <pivotField showAll="0"/>
    <pivotField showAll="0"/>
    <pivotField showAll="0">
      <items count="6">
        <item x="4"/>
        <item x="3"/>
        <item x="1"/>
        <item x="0"/>
        <item x="2"/>
        <item t="default"/>
      </items>
    </pivotField>
    <pivotField axis="axisRow" dataField="1" showAll="0" measureFilter="1" sortType="descending">
      <items count="10">
        <item x="3"/>
        <item x="0"/>
        <item x="6"/>
        <item x="7"/>
        <item x="2"/>
        <item x="4"/>
        <item x="5"/>
        <item x="8"/>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showAll="0"/>
    <pivotField showAll="0"/>
  </pivotFields>
  <rowFields count="1">
    <field x="5"/>
  </rowFields>
  <rowItems count="8">
    <i>
      <x v="1"/>
    </i>
    <i>
      <x v="5"/>
    </i>
    <i>
      <x/>
    </i>
    <i>
      <x v="7"/>
    </i>
    <i>
      <x v="8"/>
    </i>
    <i>
      <x v="3"/>
    </i>
    <i>
      <x v="4"/>
    </i>
    <i t="grand">
      <x/>
    </i>
  </rowItems>
  <colItems count="1">
    <i/>
  </colItems>
  <dataFields count="1">
    <dataField name="Count of Champion" fld="5" subtotal="count" baseField="0" baseItem="0"/>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6EC091-3591-6A4B-9CA3-C164EBA1843D}" name="PivotTable1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2:C118" firstHeaderRow="0" firstDataRow="1" firstDataCol="1"/>
  <pivotFields count="10">
    <pivotField axis="axisRow" showAll="0" measureFilter="1" sortType="ascending">
      <items count="212">
        <item x="168"/>
        <item x="65"/>
        <item x="27"/>
        <item x="191"/>
        <item x="171"/>
        <item x="88"/>
        <item x="209"/>
        <item x="161"/>
        <item x="0"/>
        <item x="106"/>
        <item x="188"/>
        <item x="26"/>
        <item x="23"/>
        <item x="125"/>
        <item x="206"/>
        <item x="92"/>
        <item x="180"/>
        <item x="178"/>
        <item x="95"/>
        <item x="8"/>
        <item x="179"/>
        <item x="89"/>
        <item x="166"/>
        <item x="187"/>
        <item x="76"/>
        <item x="63"/>
        <item x="146"/>
        <item x="5"/>
        <item x="208"/>
        <item x="192"/>
        <item x="86"/>
        <item x="61"/>
        <item x="140"/>
        <item x="66"/>
        <item x="175"/>
        <item x="43"/>
        <item x="29"/>
        <item x="196"/>
        <item x="137"/>
        <item x="182"/>
        <item x="54"/>
        <item x="91"/>
        <item x="173"/>
        <item x="12"/>
        <item x="107"/>
        <item x="133"/>
        <item x="44"/>
        <item x="185"/>
        <item x="51"/>
        <item x="32"/>
        <item x="10"/>
        <item x="163"/>
        <item x="81"/>
        <item x="122"/>
        <item x="38"/>
        <item x="20"/>
        <item x="195"/>
        <item x="181"/>
        <item x="142"/>
        <item x="22"/>
        <item x="28"/>
        <item x="100"/>
        <item x="3"/>
        <item x="104"/>
        <item x="183"/>
        <item x="127"/>
        <item x="164"/>
        <item x="141"/>
        <item x="124"/>
        <item x="154"/>
        <item x="74"/>
        <item x="2"/>
        <item x="85"/>
        <item x="71"/>
        <item x="9"/>
        <item x="72"/>
        <item x="201"/>
        <item x="47"/>
        <item x="162"/>
        <item x="202"/>
        <item x="96"/>
        <item x="80"/>
        <item x="131"/>
        <item x="149"/>
        <item x="82"/>
        <item x="64"/>
        <item x="153"/>
        <item x="40"/>
        <item x="73"/>
        <item x="138"/>
        <item x="118"/>
        <item x="19"/>
        <item x="55"/>
        <item x="75"/>
        <item x="11"/>
        <item x="70"/>
        <item x="17"/>
        <item x="62"/>
        <item x="109"/>
        <item x="108"/>
        <item x="119"/>
        <item x="24"/>
        <item x="77"/>
        <item x="132"/>
        <item x="105"/>
        <item x="184"/>
        <item x="135"/>
        <item x="113"/>
        <item x="145"/>
        <item x="143"/>
        <item x="110"/>
        <item x="205"/>
        <item x="147"/>
        <item x="97"/>
        <item x="193"/>
        <item x="103"/>
        <item x="128"/>
        <item x="136"/>
        <item x="172"/>
        <item x="53"/>
        <item x="160"/>
        <item x="114"/>
        <item x="177"/>
        <item x="13"/>
        <item x="158"/>
        <item x="189"/>
        <item x="79"/>
        <item x="174"/>
        <item x="6"/>
        <item x="101"/>
        <item x="157"/>
        <item x="120"/>
        <item x="176"/>
        <item x="7"/>
        <item x="150"/>
        <item x="84"/>
        <item x="130"/>
        <item x="111"/>
        <item x="25"/>
        <item x="68"/>
        <item x="69"/>
        <item x="30"/>
        <item x="78"/>
        <item x="198"/>
        <item x="94"/>
        <item x="33"/>
        <item x="167"/>
        <item x="39"/>
        <item x="50"/>
        <item x="134"/>
        <item x="35"/>
        <item x="4"/>
        <item x="155"/>
        <item x="56"/>
        <item x="57"/>
        <item x="52"/>
        <item x="34"/>
        <item x="126"/>
        <item x="186"/>
        <item x="210"/>
        <item x="194"/>
        <item x="60"/>
        <item x="41"/>
        <item x="14"/>
        <item x="42"/>
        <item x="203"/>
        <item x="117"/>
        <item x="148"/>
        <item x="46"/>
        <item x="58"/>
        <item x="152"/>
        <item x="197"/>
        <item x="59"/>
        <item x="169"/>
        <item x="1"/>
        <item x="190"/>
        <item x="151"/>
        <item x="165"/>
        <item x="170"/>
        <item x="116"/>
        <item x="123"/>
        <item x="37"/>
        <item x="18"/>
        <item x="83"/>
        <item x="156"/>
        <item x="99"/>
        <item x="112"/>
        <item x="93"/>
        <item x="115"/>
        <item x="200"/>
        <item x="121"/>
        <item x="199"/>
        <item x="102"/>
        <item x="45"/>
        <item x="21"/>
        <item x="139"/>
        <item x="204"/>
        <item x="87"/>
        <item x="31"/>
        <item x="67"/>
        <item x="15"/>
        <item x="207"/>
        <item x="16"/>
        <item x="49"/>
        <item x="159"/>
        <item x="48"/>
        <item x="98"/>
        <item x="36"/>
        <item x="144"/>
        <item x="90"/>
        <item x="12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sortType="ascending">
      <items count="55">
        <item x="48"/>
        <item x="49"/>
        <item x="53"/>
        <item x="30"/>
        <item x="44"/>
        <item x="33"/>
        <item x="25"/>
        <item x="31"/>
        <item x="37"/>
        <item x="22"/>
        <item x="50"/>
        <item x="27"/>
        <item x="40"/>
        <item x="45"/>
        <item x="23"/>
        <item x="36"/>
        <item x="14"/>
        <item x="21"/>
        <item x="35"/>
        <item x="32"/>
        <item x="7"/>
        <item x="8"/>
        <item x="4"/>
        <item x="13"/>
        <item x="42"/>
        <item x="11"/>
        <item x="9"/>
        <item x="6"/>
        <item x="2"/>
        <item x="0"/>
        <item x="10"/>
        <item x="3"/>
        <item x="1"/>
        <item x="12"/>
        <item x="24"/>
        <item x="28"/>
        <item x="19"/>
        <item x="17"/>
        <item x="18"/>
        <item x="34"/>
        <item x="52"/>
        <item x="5"/>
        <item x="47"/>
        <item x="43"/>
        <item x="39"/>
        <item x="16"/>
        <item x="15"/>
        <item x="20"/>
        <item x="29"/>
        <item x="26"/>
        <item x="38"/>
        <item x="41"/>
        <item x="46"/>
        <item x="51"/>
        <item t="default"/>
      </items>
    </pivotField>
    <pivotField showAll="0"/>
    <pivotField showAll="0"/>
    <pivotField showAll="0"/>
    <pivotField showAll="0"/>
  </pivotFields>
  <rowFields count="1">
    <field x="0"/>
  </rowFields>
  <rowItems count="6">
    <i>
      <x v="8"/>
    </i>
    <i>
      <x v="174"/>
    </i>
    <i>
      <x v="71"/>
    </i>
    <i>
      <x v="62"/>
    </i>
    <i>
      <x v="151"/>
    </i>
    <i t="grand">
      <x/>
    </i>
  </rowItems>
  <colFields count="1">
    <field x="-2"/>
  </colFields>
  <colItems count="2">
    <i>
      <x/>
    </i>
    <i i="1">
      <x v="1"/>
    </i>
  </colItems>
  <dataFields count="2">
    <dataField name="Max of 2026_rank" fld="3" subtotal="max" baseField="0" baseItem="0"/>
    <dataField name="Max of 2022_rank" fld="4" subtotal="max" baseField="0" baseItem="0"/>
  </dataField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191808-10D9-0848-97E9-223BE87CEA6A}" name="PivotTable1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5:B91" firstHeaderRow="1" firstDataRow="1" firstDataCol="1"/>
  <pivotFields count="12">
    <pivotField showAll="0"/>
    <pivotField axis="axisRow" showAll="0" measureFilter="1" sortType="descending">
      <items count="18">
        <item x="8"/>
        <item x="2"/>
        <item x="13"/>
        <item x="7"/>
        <item x="10"/>
        <item x="1"/>
        <item x="4"/>
        <item x="12"/>
        <item x="5"/>
        <item x="3"/>
        <item x="9"/>
        <item x="6"/>
        <item x="11"/>
        <item x="14"/>
        <item x="15"/>
        <item x="0"/>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4"/>
        <item x="3"/>
        <item x="1"/>
        <item x="0"/>
        <item x="2"/>
        <item t="default"/>
      </items>
    </pivotField>
    <pivotField showAll="0"/>
    <pivotField showAll="0"/>
    <pivotField showAll="0"/>
    <pivotField showAll="0"/>
    <pivotField dataField="1" numFmtId="165" showAll="0"/>
    <pivotField showAll="0"/>
    <pivotField showAll="0"/>
  </pivotFields>
  <rowFields count="1">
    <field x="1"/>
  </rowFields>
  <rowItems count="6">
    <i>
      <x v="5"/>
    </i>
    <i>
      <x v="8"/>
    </i>
    <i>
      <x v="1"/>
    </i>
    <i>
      <x v="15"/>
    </i>
    <i>
      <x v="6"/>
    </i>
    <i t="grand">
      <x/>
    </i>
  </rowItems>
  <colItems count="1">
    <i/>
  </colItems>
  <dataFields count="1">
    <dataField name="Sum of Propularity" fld="9" showDataAs="percentOfTotal" baseField="0" baseItem="0" numFmtId="10"/>
  </dataFields>
  <chartFormats count="2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5"/>
          </reference>
        </references>
      </pivotArea>
    </chartFormat>
    <chartFormat chart="2" format="2">
      <pivotArea type="data" outline="0" fieldPosition="0">
        <references count="2">
          <reference field="4294967294" count="1" selected="0">
            <x v="0"/>
          </reference>
          <reference field="1" count="1" selected="0">
            <x v="8"/>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15"/>
          </reference>
        </references>
      </pivotArea>
    </chartFormat>
    <chartFormat chart="2" format="5">
      <pivotArea type="data" outline="0" fieldPosition="0">
        <references count="2">
          <reference field="4294967294" count="1" selected="0">
            <x v="0"/>
          </reference>
          <reference field="1" count="1" selected="0">
            <x v="6"/>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2" format="7">
      <pivotArea type="data" outline="0" fieldPosition="0">
        <references count="2">
          <reference field="4294967294" count="1" selected="0">
            <x v="0"/>
          </reference>
          <reference field="1" count="1" selected="0">
            <x v="9"/>
          </reference>
        </references>
      </pivotArea>
    </chartFormat>
    <chartFormat chart="2" format="8">
      <pivotArea type="data" outline="0" fieldPosition="0">
        <references count="2">
          <reference field="4294967294" count="1" selected="0">
            <x v="0"/>
          </reference>
          <reference field="1" count="1" selected="0">
            <x v="11"/>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0"/>
          </reference>
        </references>
      </pivotArea>
    </chartFormat>
    <chartFormat chart="2" format="12">
      <pivotArea type="data" outline="0" fieldPosition="0">
        <references count="2">
          <reference field="4294967294" count="1" selected="0">
            <x v="0"/>
          </reference>
          <reference field="1" count="1" selected="0">
            <x v="12"/>
          </reference>
        </references>
      </pivotArea>
    </chartFormat>
    <chartFormat chart="2" format="13">
      <pivotArea type="data" outline="0" fieldPosition="0">
        <references count="2">
          <reference field="4294967294" count="1" selected="0">
            <x v="0"/>
          </reference>
          <reference field="1" count="1" selected="0">
            <x v="7"/>
          </reference>
        </references>
      </pivotArea>
    </chartFormat>
    <chartFormat chart="2" format="14">
      <pivotArea type="data" outline="0" fieldPosition="0">
        <references count="2">
          <reference field="4294967294" count="1" selected="0">
            <x v="0"/>
          </reference>
          <reference field="1" count="1" selected="0">
            <x v="2"/>
          </reference>
        </references>
      </pivotArea>
    </chartFormat>
    <chartFormat chart="2" format="15">
      <pivotArea type="data" outline="0" fieldPosition="0">
        <references count="2">
          <reference field="4294967294" count="1" selected="0">
            <x v="0"/>
          </reference>
          <reference field="1" count="1" selected="0">
            <x v="13"/>
          </reference>
        </references>
      </pivotArea>
    </chartFormat>
    <chartFormat chart="2" format="16">
      <pivotArea type="data" outline="0" fieldPosition="0">
        <references count="2">
          <reference field="4294967294" count="1" selected="0">
            <x v="0"/>
          </reference>
          <reference field="1" count="1" selected="0">
            <x v="14"/>
          </reference>
        </references>
      </pivotArea>
    </chartFormat>
    <chartFormat chart="2" format="17">
      <pivotArea type="data" outline="0" fieldPosition="0">
        <references count="2">
          <reference field="4294967294" count="1" selected="0">
            <x v="0"/>
          </reference>
          <reference field="1" count="1" selected="0">
            <x v="16"/>
          </reference>
        </references>
      </pivotArea>
    </chartFormat>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1" count="1" selected="0">
            <x v="5"/>
          </reference>
        </references>
      </pivotArea>
    </chartFormat>
    <chartFormat chart="5" format="26">
      <pivotArea type="data" outline="0" fieldPosition="0">
        <references count="2">
          <reference field="4294967294" count="1" selected="0">
            <x v="0"/>
          </reference>
          <reference field="1" count="1" selected="0">
            <x v="8"/>
          </reference>
        </references>
      </pivotArea>
    </chartFormat>
    <chartFormat chart="5" format="27">
      <pivotArea type="data" outline="0" fieldPosition="0">
        <references count="2">
          <reference field="4294967294" count="1" selected="0">
            <x v="0"/>
          </reference>
          <reference field="1" count="1" selected="0">
            <x v="1"/>
          </reference>
        </references>
      </pivotArea>
    </chartFormat>
    <chartFormat chart="5" format="28">
      <pivotArea type="data" outline="0" fieldPosition="0">
        <references count="2">
          <reference field="4294967294" count="1" selected="0">
            <x v="0"/>
          </reference>
          <reference field="1" count="1" selected="0">
            <x v="15"/>
          </reference>
        </references>
      </pivotArea>
    </chartFormat>
    <chartFormat chart="5" format="29">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B31433-477D-0B4D-B437-AF47D81B0976}" name="PivotTable1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2:C79" firstHeaderRow="1" firstDataRow="1" firstDataCol="0"/>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1"/>
        <item x="7"/>
        <item x="9"/>
        <item x="5"/>
        <item x="10"/>
        <item x="3"/>
        <item x="4"/>
        <item x="6"/>
        <item x="8"/>
        <item x="2"/>
        <item x="1"/>
        <item t="default"/>
      </items>
    </pivotField>
    <pivotField numFmtId="14" showAll="0">
      <items count="379">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18">
        <item x="11"/>
        <item x="2"/>
        <item x="13"/>
        <item x="12"/>
        <item x="6"/>
        <item x="4"/>
        <item x="8"/>
        <item x="5"/>
        <item x="9"/>
        <item x="0"/>
        <item x="1"/>
        <item x="3"/>
        <item x="10"/>
        <item x="14"/>
        <item x="15"/>
        <item x="7"/>
        <item x="1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formats count="2">
    <format dxfId="269">
      <pivotArea outline="0" collapsedLevelsAreSubtotals="1" fieldPosition="0"/>
    </format>
    <format dxfId="27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D059EE-F933-AD4F-9479-BBCB1EC347FA}" name="PivotTable10"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9:B52" firstHeaderRow="1" firstDataRow="1"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1"/>
        <item x="7"/>
        <item x="9"/>
        <item x="5"/>
        <item x="10"/>
        <item x="3"/>
        <item x="4"/>
        <item x="6"/>
        <item x="8"/>
        <item x="2"/>
        <item x="1"/>
        <item t="default"/>
      </items>
    </pivotField>
    <pivotField numFmtId="14" showAll="0">
      <items count="379">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18">
        <item x="11"/>
        <item x="2"/>
        <item x="13"/>
        <item x="12"/>
        <item x="6"/>
        <item x="4"/>
        <item x="8"/>
        <item x="5"/>
        <item x="9"/>
        <item x="0"/>
        <item x="1"/>
        <item x="3"/>
        <item x="10"/>
        <item x="14"/>
        <item x="15"/>
        <item x="7"/>
        <item x="1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5"/>
  </rowFields>
  <rowItems count="13">
    <i>
      <x/>
    </i>
    <i>
      <x v="1"/>
    </i>
    <i>
      <x v="2"/>
    </i>
    <i>
      <x v="3"/>
    </i>
    <i>
      <x v="4"/>
    </i>
    <i>
      <x v="5"/>
    </i>
    <i>
      <x v="6"/>
    </i>
    <i>
      <x v="7"/>
    </i>
    <i>
      <x v="8"/>
    </i>
    <i>
      <x v="9"/>
    </i>
    <i>
      <x v="10"/>
    </i>
    <i>
      <x v="11"/>
    </i>
    <i t="grand">
      <x/>
    </i>
  </rowItems>
  <colItems count="1">
    <i/>
  </colItems>
  <dataFields count="1">
    <dataField name="Sum of Total Goals" fld="44" baseField="0" baseItem="0"/>
  </dataFields>
  <formats count="3">
    <format dxfId="274">
      <pivotArea outline="0" collapsedLevelsAreSubtotals="1" fieldPosition="0"/>
    </format>
    <format dxfId="273">
      <pivotArea collapsedLevelsAreSubtotals="1" fieldPosition="0">
        <references count="1">
          <reference field="15" count="0"/>
        </references>
      </pivotArea>
    </format>
    <format dxfId="27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C32622-46AE-694D-8443-D009511F634E}" name="PivotTable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33" firstHeaderRow="1" firstDataRow="1"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0"/>
        <item x="11"/>
        <item x="7"/>
        <item x="9"/>
        <item x="5"/>
        <item x="10"/>
        <item x="3"/>
        <item x="4"/>
        <item x="6"/>
        <item x="8"/>
        <item x="2"/>
        <item x="1"/>
        <item t="default"/>
      </items>
    </pivotField>
    <pivotField numFmtId="14" showAll="0">
      <items count="379">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18">
        <item x="11"/>
        <item x="2"/>
        <item x="13"/>
        <item x="12"/>
        <item x="6"/>
        <item x="4"/>
        <item x="8"/>
        <item x="5"/>
        <item x="9"/>
        <item x="0"/>
        <item x="1"/>
        <item x="3"/>
        <item x="10"/>
        <item x="14"/>
        <item x="15"/>
        <item x="7"/>
        <item x="16"/>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21"/>
  </rowFields>
  <rowItems count="10">
    <i>
      <x v="1"/>
    </i>
    <i>
      <x v="3"/>
    </i>
    <i>
      <x v="4"/>
    </i>
    <i>
      <x v="5"/>
    </i>
    <i>
      <x v="6"/>
    </i>
    <i>
      <x v="7"/>
    </i>
    <i>
      <x v="8"/>
    </i>
    <i>
      <x v="9"/>
    </i>
    <i>
      <x v="10"/>
    </i>
    <i t="grand">
      <x/>
    </i>
  </rowItems>
  <colItems count="1">
    <i/>
  </colItems>
  <dataFields count="1">
    <dataField name="Sum of Total Goals" fld="44" baseField="0" baseItem="0"/>
  </dataFields>
  <formats count="3">
    <format dxfId="276">
      <pivotArea outline="0" collapsedLevelsAreSubtotals="1" fieldPosition="0"/>
    </format>
    <format dxfId="275">
      <pivotArea collapsedLevelsAreSubtotals="1" fieldPosition="0">
        <references count="1">
          <reference field="21" count="0"/>
        </references>
      </pivotArea>
    </format>
    <format dxfId="27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DE0822-3F88-6E49-887F-12ABB5EBA0EE}" name="PivotTable8"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pivotFields count="45">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3">
        <item x="0"/>
        <item x="11"/>
        <item x="7"/>
        <item x="9"/>
        <item x="5"/>
        <item x="10"/>
        <item x="3"/>
        <item x="4"/>
        <item x="6"/>
        <item x="8"/>
        <item x="2"/>
        <item x="1"/>
        <item t="default"/>
      </items>
    </pivotField>
    <pivotField numFmtId="14" showAll="0">
      <items count="379">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18">
        <item x="11"/>
        <item x="2"/>
        <item x="13"/>
        <item x="12"/>
        <item x="6"/>
        <item x="4"/>
        <item x="8"/>
        <item x="5"/>
        <item x="9"/>
        <item x="0"/>
        <item x="1"/>
        <item x="3"/>
        <item x="10"/>
        <item x="14"/>
        <item x="15"/>
        <item x="7"/>
        <item x="16"/>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5"/>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Average of home_score" fld="2" subtotal="average" baseField="0" baseItem="0"/>
    <dataField name="Average of away_score" fld="5" subtotal="average" baseField="0" baseItem="0"/>
    <dataField name="Sum of Total Goals" fld="44" baseField="0" baseItem="0"/>
  </dataFields>
  <formats count="2">
    <format dxfId="278">
      <pivotArea collapsedLevelsAreSubtotals="1" fieldPosition="0">
        <references count="1">
          <reference field="15" count="1">
            <x v="0"/>
          </reference>
        </references>
      </pivotArea>
    </format>
    <format dxfId="2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F58FEE-A6C4-6245-87C9-2AE1E45AC88B}" name="PivotTable16"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ams">
  <location ref="I23:K31" firstHeaderRow="0" firstDataRow="1" firstDataCol="1"/>
  <pivotFields count="10">
    <pivotField axis="axisRow" showAll="0" measureFilter="1" sortType="ascending">
      <items count="212">
        <item x="168"/>
        <item x="65"/>
        <item x="27"/>
        <item x="191"/>
        <item x="171"/>
        <item x="88"/>
        <item x="209"/>
        <item x="161"/>
        <item x="0"/>
        <item x="106"/>
        <item x="188"/>
        <item x="26"/>
        <item x="23"/>
        <item x="125"/>
        <item x="206"/>
        <item x="92"/>
        <item x="180"/>
        <item x="178"/>
        <item x="95"/>
        <item x="8"/>
        <item x="179"/>
        <item x="89"/>
        <item x="166"/>
        <item x="187"/>
        <item x="76"/>
        <item x="63"/>
        <item x="146"/>
        <item x="5"/>
        <item x="208"/>
        <item x="192"/>
        <item x="86"/>
        <item x="61"/>
        <item x="140"/>
        <item x="66"/>
        <item x="175"/>
        <item x="43"/>
        <item x="29"/>
        <item x="196"/>
        <item x="137"/>
        <item x="182"/>
        <item x="54"/>
        <item x="91"/>
        <item x="173"/>
        <item x="12"/>
        <item x="107"/>
        <item x="133"/>
        <item x="44"/>
        <item x="185"/>
        <item x="51"/>
        <item x="32"/>
        <item x="10"/>
        <item x="163"/>
        <item x="81"/>
        <item x="122"/>
        <item x="38"/>
        <item x="20"/>
        <item x="195"/>
        <item x="181"/>
        <item x="142"/>
        <item x="22"/>
        <item x="28"/>
        <item x="100"/>
        <item x="3"/>
        <item x="104"/>
        <item x="183"/>
        <item x="127"/>
        <item x="164"/>
        <item x="141"/>
        <item x="124"/>
        <item x="154"/>
        <item x="74"/>
        <item x="2"/>
        <item x="85"/>
        <item x="71"/>
        <item x="9"/>
        <item x="72"/>
        <item x="201"/>
        <item x="47"/>
        <item x="162"/>
        <item x="202"/>
        <item x="96"/>
        <item x="80"/>
        <item x="131"/>
        <item x="149"/>
        <item x="82"/>
        <item x="64"/>
        <item x="153"/>
        <item x="40"/>
        <item x="73"/>
        <item x="138"/>
        <item x="118"/>
        <item x="19"/>
        <item x="55"/>
        <item x="75"/>
        <item x="11"/>
        <item x="70"/>
        <item x="17"/>
        <item x="62"/>
        <item x="109"/>
        <item x="108"/>
        <item x="119"/>
        <item x="24"/>
        <item x="77"/>
        <item x="132"/>
        <item x="105"/>
        <item x="184"/>
        <item x="135"/>
        <item x="113"/>
        <item x="145"/>
        <item x="143"/>
        <item x="110"/>
        <item x="205"/>
        <item x="147"/>
        <item x="97"/>
        <item x="193"/>
        <item x="103"/>
        <item x="128"/>
        <item x="136"/>
        <item x="172"/>
        <item x="53"/>
        <item x="160"/>
        <item x="114"/>
        <item x="177"/>
        <item x="13"/>
        <item x="158"/>
        <item x="189"/>
        <item x="79"/>
        <item x="174"/>
        <item x="6"/>
        <item x="101"/>
        <item x="157"/>
        <item x="120"/>
        <item x="176"/>
        <item x="7"/>
        <item x="150"/>
        <item x="84"/>
        <item x="130"/>
        <item x="111"/>
        <item x="25"/>
        <item x="68"/>
        <item x="69"/>
        <item x="30"/>
        <item x="78"/>
        <item x="198"/>
        <item x="94"/>
        <item x="33"/>
        <item x="167"/>
        <item x="39"/>
        <item x="50"/>
        <item x="134"/>
        <item x="35"/>
        <item x="4"/>
        <item x="155"/>
        <item x="56"/>
        <item x="57"/>
        <item x="52"/>
        <item x="34"/>
        <item x="126"/>
        <item x="186"/>
        <item x="210"/>
        <item x="194"/>
        <item x="60"/>
        <item x="41"/>
        <item x="14"/>
        <item x="42"/>
        <item x="203"/>
        <item x="117"/>
        <item x="148"/>
        <item x="46"/>
        <item x="58"/>
        <item x="152"/>
        <item x="197"/>
        <item x="59"/>
        <item x="169"/>
        <item x="1"/>
        <item x="190"/>
        <item x="151"/>
        <item x="165"/>
        <item x="170"/>
        <item x="116"/>
        <item x="123"/>
        <item x="37"/>
        <item x="18"/>
        <item x="83"/>
        <item x="156"/>
        <item x="99"/>
        <item x="112"/>
        <item x="93"/>
        <item x="115"/>
        <item x="200"/>
        <item x="121"/>
        <item x="199"/>
        <item x="102"/>
        <item x="45"/>
        <item x="21"/>
        <item x="139"/>
        <item x="204"/>
        <item x="87"/>
        <item x="31"/>
        <item x="67"/>
        <item x="15"/>
        <item x="207"/>
        <item x="16"/>
        <item x="49"/>
        <item x="159"/>
        <item x="48"/>
        <item x="98"/>
        <item x="36"/>
        <item x="144"/>
        <item x="90"/>
        <item x="12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sortType="ascending">
      <items count="55">
        <item x="48"/>
        <item x="49"/>
        <item x="53"/>
        <item x="30"/>
        <item x="44"/>
        <item x="33"/>
        <item x="25"/>
        <item x="31"/>
        <item x="37"/>
        <item x="22"/>
        <item x="50"/>
        <item x="27"/>
        <item x="40"/>
        <item x="45"/>
        <item x="23"/>
        <item x="36"/>
        <item x="14"/>
        <item x="21"/>
        <item x="35"/>
        <item x="32"/>
        <item x="7"/>
        <item x="8"/>
        <item x="4"/>
        <item x="13"/>
        <item x="42"/>
        <item x="11"/>
        <item x="9"/>
        <item x="6"/>
        <item x="2"/>
        <item x="0"/>
        <item x="10"/>
        <item x="3"/>
        <item x="1"/>
        <item x="12"/>
        <item x="24"/>
        <item x="28"/>
        <item x="19"/>
        <item x="17"/>
        <item x="18"/>
        <item x="34"/>
        <item x="52"/>
        <item x="5"/>
        <item x="47"/>
        <item x="43"/>
        <item x="39"/>
        <item x="16"/>
        <item x="15"/>
        <item x="20"/>
        <item x="29"/>
        <item x="26"/>
        <item x="38"/>
        <item x="41"/>
        <item x="46"/>
        <item x="51"/>
        <item t="default"/>
      </items>
    </pivotField>
    <pivotField showAll="0"/>
    <pivotField showAll="0"/>
    <pivotField showAll="0"/>
    <pivotField showAll="0"/>
  </pivotFields>
  <rowFields count="1">
    <field x="0"/>
  </rowFields>
  <rowItems count="8">
    <i>
      <x v="8"/>
    </i>
    <i>
      <x v="174"/>
    </i>
    <i>
      <x v="71"/>
    </i>
    <i>
      <x v="62"/>
    </i>
    <i>
      <x v="151"/>
    </i>
    <i>
      <x v="27"/>
    </i>
    <i>
      <x v="128"/>
    </i>
    <i t="grand">
      <x/>
    </i>
  </rowItems>
  <colFields count="1">
    <field x="-2"/>
  </colFields>
  <colItems count="2">
    <i>
      <x/>
    </i>
    <i i="1">
      <x v="1"/>
    </i>
  </colItems>
  <dataFields count="2">
    <dataField name="Top Rank 2026" fld="3" subtotal="max" baseField="0" baseItem="0"/>
    <dataField name="Top Rank 2022" fld="4" subtotal="max" baseField="0" baseItem="0"/>
  </dataFields>
  <formats count="12">
    <format dxfId="263">
      <pivotArea dataOnly="0" labelOnly="1" outline="0" fieldPosition="0">
        <references count="1">
          <reference field="4294967294" count="1">
            <x v="0"/>
          </reference>
        </references>
      </pivotArea>
    </format>
    <format dxfId="264">
      <pivotArea dataOnly="0" labelOnly="1" outline="0" fieldPosition="0">
        <references count="1">
          <reference field="4294967294" count="1">
            <x v="1"/>
          </reference>
        </references>
      </pivotArea>
    </format>
    <format dxfId="265">
      <pivotArea field="0" type="button" dataOnly="0" labelOnly="1" outline="0" axis="axisRow" fieldPosition="0"/>
    </format>
    <format dxfId="266">
      <pivotArea dataOnly="0" labelOnly="1" outline="0" fieldPosition="0">
        <references count="1">
          <reference field="4294967294" count="2">
            <x v="0"/>
            <x v="1"/>
          </reference>
        </references>
      </pivotArea>
    </format>
    <format dxfId="267">
      <pivotArea field="0" type="button" dataOnly="0" labelOnly="1" outline="0" axis="axisRow" fieldPosition="0"/>
    </format>
    <format dxfId="268">
      <pivotArea dataOnly="0" labelOnly="1" outline="0" fieldPosition="0">
        <references count="1">
          <reference field="4294967294" count="2">
            <x v="0"/>
            <x v="1"/>
          </reference>
        </references>
      </pivotArea>
    </format>
    <format dxfId="261">
      <pivotArea type="all" dataOnly="0" outline="0" fieldPosition="0"/>
    </format>
    <format dxfId="260">
      <pivotArea outline="0" collapsedLevelsAreSubtotals="1" fieldPosition="0"/>
    </format>
    <format dxfId="259">
      <pivotArea field="0" type="button" dataOnly="0" labelOnly="1" outline="0" axis="axisRow" fieldPosition="0"/>
    </format>
    <format dxfId="258">
      <pivotArea dataOnly="0" labelOnly="1" fieldPosition="0">
        <references count="1">
          <reference field="0" count="7">
            <x v="8"/>
            <x v="27"/>
            <x v="62"/>
            <x v="71"/>
            <x v="128"/>
            <x v="151"/>
            <x v="174"/>
          </reference>
        </references>
      </pivotArea>
    </format>
    <format dxfId="257">
      <pivotArea dataOnly="0" labelOnly="1" grandRow="1" outline="0" fieldPosition="0"/>
    </format>
    <format dxfId="25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0" type="count" evalOrder="-1" id="11" iMeasureFld="0">
      <autoFilter ref="A1">
        <filterColumn colId="0">
          <top10 top="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FEFA9D67-BEA0-C44C-A6F6-8925CE3390F8}" autoFormatId="16" applyNumberFormats="0" applyBorderFormats="0" applyFontFormats="0" applyPatternFormats="0" applyAlignmentFormats="0" applyWidthHeightFormats="0">
  <queryTableRefresh nextId="13">
    <queryTableFields count="12">
      <queryTableField id="1" name="Timestamp" tableColumnId="1"/>
      <queryTableField id="2" name="Which country are you from?" tableColumnId="2"/>
      <queryTableField id="3" name="What is your gender?" tableColumnId="3"/>
      <queryTableField id="9" dataBound="0" tableColumnId="9"/>
      <queryTableField id="8" dataBound="0" tableColumnId="8"/>
      <queryTableField id="10" dataBound="0" tableColumnId="10"/>
      <queryTableField id="11" dataBound="0" tableColumnId="11"/>
      <queryTableField id="4" name="What is your age?" tableColumnId="4"/>
      <queryTableField id="12" dataBound="0" tableColumnId="12"/>
      <queryTableField id="5" name="Which country is your favorite in ongoing FIFA worldcup?" tableColumnId="5"/>
      <queryTableField id="6" name="Which country do you think will win?" tableColumnId="6"/>
      <queryTableField id="7" name="What is your  name (nickname) ? I will use it to call you in the clas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F999C665-CFE5-A540-B10B-F70DF453B5C0}" autoFormatId="16" applyNumberFormats="0" applyBorderFormats="0" applyFontFormats="0" applyPatternFormats="0" applyAlignmentFormats="0" applyWidthHeightFormats="0">
  <queryTableRefresh nextId="13">
    <queryTableFields count="12">
      <queryTableField id="1" name="Year" tableColumnId="1"/>
      <queryTableField id="2" name="Host" tableColumnId="2"/>
      <queryTableField id="11" dataBound="0" tableColumnId="11"/>
      <queryTableField id="12" dataBound="0" tableColumnId="12"/>
      <queryTableField id="3" name="Teams" tableColumnId="3"/>
      <queryTableField id="4" name="Champion" tableColumnId="4"/>
      <queryTableField id="5" name="Runner-Up" tableColumnId="5"/>
      <queryTableField id="6" name="TopScorrer" tableColumnId="6"/>
      <queryTableField id="7" name="Attendance" tableColumnId="7"/>
      <queryTableField id="10" dataBound="0" tableColumnId="10"/>
      <queryTableField id="8" name="AttendanceAvg" tableColumnId="8"/>
      <queryTableField id="9" name="Matche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C649535-02BD-544F-9235-7DBDF092086D}" autoFormatId="16" applyNumberFormats="0" applyBorderFormats="0" applyFontFormats="0" applyPatternFormats="0" applyAlignmentFormats="0" applyWidthHeightFormats="0">
  <queryTableRefresh nextId="12">
    <queryTableFields count="10">
      <queryTableField id="1" name="team" tableColumnId="1"/>
      <queryTableField id="2" name="team_code" tableColumnId="2"/>
      <queryTableField id="3" name="association" tableColumnId="3"/>
      <queryTableField id="4" name="rank" tableColumnId="4"/>
      <queryTableField id="9" dataBound="0" tableColumnId="9"/>
      <queryTableField id="11" dataBound="0" tableColumnId="10"/>
      <queryTableField id="5" name="previous_rank" tableColumnId="5"/>
      <queryTableField id="6" name="points" tableColumnId="6"/>
      <queryTableField id="7" name="previous_points" tableColumnId="7"/>
      <queryTableField id="8" name="rated_matches"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F3610F65-1BF9-7B43-BB59-D21DBD66A04B}" autoFormatId="16" applyNumberFormats="0" applyBorderFormats="0" applyFontFormats="0" applyPatternFormats="0" applyAlignmentFormats="0" applyWidthHeightFormats="0">
  <queryTableRefresh nextId="8">
    <queryTableFields count="7">
      <queryTableField id="1" name="team" tableColumnId="1"/>
      <queryTableField id="2" name="team_code" tableColumnId="2"/>
      <queryTableField id="3" name="association" tableColumnId="3"/>
      <queryTableField id="4" name="rank" tableColumnId="4"/>
      <queryTableField id="5" name="previous_rank" tableColumnId="5"/>
      <queryTableField id="6" name="points" tableColumnId="6"/>
      <queryTableField id="7" name="previous_points"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18907EA8-13AE-6D44-8C0B-9AB435D45EDA}" autoFormatId="16" applyNumberFormats="0" applyBorderFormats="0" applyFontFormats="0" applyPatternFormats="0" applyAlignmentFormats="0" applyWidthHeightFormats="0">
  <queryTableRefresh nextId="45">
    <queryTableFields count="44">
      <queryTableField id="1" name="home_team" tableColumnId="1"/>
      <queryTableField id="2" name="away_team" tableColumnId="2"/>
      <queryTableField id="3" name="home_score" tableColumnId="3"/>
      <queryTableField id="4" name="home_xg" tableColumnId="4"/>
      <queryTableField id="5" name="home_penalty" tableColumnId="5"/>
      <queryTableField id="6" name="away_score" tableColumnId="6"/>
      <queryTableField id="7" name="away_xg" tableColumnId="7"/>
      <queryTableField id="8" name="away_penalty" tableColumnId="8"/>
      <queryTableField id="9" name="home_manager" tableColumnId="9"/>
      <queryTableField id="10" name="home_captain" tableColumnId="10"/>
      <queryTableField id="11" name="away_manager" tableColumnId="11"/>
      <queryTableField id="12" name="away_captain" tableColumnId="12"/>
      <queryTableField id="13" name="Attendance" tableColumnId="13"/>
      <queryTableField id="14" name="Venue" tableColumnId="14"/>
      <queryTableField id="15" name="Officials" tableColumnId="15"/>
      <queryTableField id="16" name="Round" tableColumnId="16"/>
      <queryTableField id="17" name="Date" tableColumnId="17"/>
      <queryTableField id="18" name="Score" tableColumnId="18"/>
      <queryTableField id="19" name="Referee" tableColumnId="19"/>
      <queryTableField id="20" name="Notes" tableColumnId="20"/>
      <queryTableField id="21" name="Host" tableColumnId="21"/>
      <queryTableField id="22" name="Year" tableColumnId="22"/>
      <queryTableField id="23" name="home_goal" tableColumnId="23"/>
      <queryTableField id="24" name="away_goal" tableColumnId="24"/>
      <queryTableField id="25" name="home_goal_long" tableColumnId="25"/>
      <queryTableField id="26" name="away_goal_long" tableColumnId="26"/>
      <queryTableField id="27" name="home_own_goal" tableColumnId="27"/>
      <queryTableField id="28" name="away_own_goal" tableColumnId="28"/>
      <queryTableField id="29" name="home_penalty_goal" tableColumnId="29"/>
      <queryTableField id="30" name="away_penalty_goal" tableColumnId="30"/>
      <queryTableField id="31" name="home_penalty_miss_long" tableColumnId="31"/>
      <queryTableField id="32" name="away_penalty_miss_long" tableColumnId="32"/>
      <queryTableField id="33" name="home_penalty_shootout_goal_long" tableColumnId="33"/>
      <queryTableField id="34" name="away_penalty_shootout_goal_long" tableColumnId="34"/>
      <queryTableField id="35" name="home_penalty_shootout_miss_long" tableColumnId="35"/>
      <queryTableField id="36" name="away_penalty_shootout_miss_long" tableColumnId="36"/>
      <queryTableField id="37" name="home_red_card" tableColumnId="37"/>
      <queryTableField id="38" name="away_red_card" tableColumnId="38"/>
      <queryTableField id="39" name="home_yellow_red_card" tableColumnId="39"/>
      <queryTableField id="40" name="away_yellow_red_card" tableColumnId="40"/>
      <queryTableField id="41" name="home_yellow_card_long" tableColumnId="41"/>
      <queryTableField id="42" name="away_yellow_card_long" tableColumnId="42"/>
      <queryTableField id="43" name="home_substitute_in_long" tableColumnId="43"/>
      <queryTableField id="44" name="away_substitute_in_long"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t1" xr10:uid="{4F313178-96AD-9742-B814-E476188C2AC1}" sourceName="Host">
  <pivotTables>
    <pivotTable tabId="9" name="PivotTable8"/>
    <pivotTable tabId="9" name="PivotTable10"/>
    <pivotTable tabId="9" name="PivotTable11"/>
    <pivotTable tabId="9" name="PivotTable9"/>
    <pivotTable tabId="9" name="PivotTable22"/>
  </pivotTables>
  <data>
    <tabular pivotCacheId="88440331">
      <items count="17">
        <i x="11" s="1"/>
        <i x="2" s="1"/>
        <i x="13" s="1"/>
        <i x="12" s="1"/>
        <i x="6" s="1"/>
        <i x="4" s="1"/>
        <i x="8" s="1"/>
        <i x="5" s="1"/>
        <i x="9" s="1"/>
        <i x="0" s="1"/>
        <i x="1" s="1"/>
        <i x="3" s="1"/>
        <i x="10" s="1"/>
        <i x="14" s="1"/>
        <i x="15" s="1"/>
        <i x="7"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77C1764-6CC1-DB49-9319-B19CDB464B78}" sourceName="Year">
  <pivotTables>
    <pivotTable tabId="9" name="PivotTable21"/>
  </pivotTables>
  <data>
    <tabular pivotCacheId="253164209">
      <items count="22">
        <i x="19" s="1"/>
        <i x="21" s="1"/>
        <i x="20" s="1"/>
        <i x="15" s="1"/>
        <i x="18" s="1"/>
        <i x="17" s="1"/>
        <i x="16" s="1"/>
        <i x="9" s="1"/>
        <i x="6" s="1"/>
        <i x="1" s="1"/>
        <i x="10" s="1"/>
        <i x="13" s="1"/>
        <i x="7" s="1"/>
        <i x="4" s="1"/>
        <i x="0" s="1"/>
        <i x="12" s="1"/>
        <i x="14" s="1"/>
        <i x="5" s="1"/>
        <i x="8" s="1"/>
        <i x="2" s="1"/>
        <i x="1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2711E7A-D319-6242-98A9-477980A4B3D8}" cache="Slicer_Year" caption="Yea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t 1" xr10:uid="{2C4089CA-2AA1-A341-847F-65AB4648EA67}" cache="Slicer_Host1" caption="Points,Ranking" startItem="4" rowHeight="251883"/>
  <slicer name="Year 1" xr10:uid="{177F174F-83CF-8E49-93F7-9DC1B391C848}" cache="Slicer_Year" caption="Year"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219D4F-71CF-5E41-A5B5-3EC8476381B1}" name="survey" displayName="survey" ref="A1:L27" tableType="queryTable" totalsRowShown="0">
  <autoFilter ref="A1:L27" xr:uid="{CD219D4F-71CF-5E41-A5B5-3EC8476381B1}"/>
  <tableColumns count="12">
    <tableColumn id="1" xr3:uid="{731948EA-F520-6D47-8939-65826D01EF36}" uniqueName="1" name="Timestamp" queryTableFieldId="1" dataDxfId="340"/>
    <tableColumn id="2" xr3:uid="{2A3E1991-EF84-4045-84B6-9DAC2786C541}" uniqueName="2" name="Which country are you from?" queryTableFieldId="2" dataDxfId="339"/>
    <tableColumn id="3" xr3:uid="{91D3A701-304F-F84F-87E2-8068DA48EBC7}" uniqueName="3" name="What is your gender?" queryTableFieldId="3" dataDxfId="338"/>
    <tableColumn id="9" xr3:uid="{705310BD-965A-8F48-A2D2-3CB8594616F5}" uniqueName="9" name="Trim_Gender" queryTableFieldId="9" dataDxfId="337">
      <calculatedColumnFormula>TRIM(survey[[#This Row],[What is your gender?]])</calculatedColumnFormula>
    </tableColumn>
    <tableColumn id="8" xr3:uid="{75F9517A-74DB-8342-BB4C-2C8E05D0F3D6}" uniqueName="8" name="Proper_Gender" queryTableFieldId="8" dataDxfId="336">
      <calculatedColumnFormula>PROPER(survey[[#This Row],[Trim_Gender]])</calculatedColumnFormula>
    </tableColumn>
    <tableColumn id="10" xr3:uid="{E533734E-0AAD-8C4D-B4B5-21B6C86863E9}" uniqueName="10" name="Left_gender" queryTableFieldId="10" dataDxfId="335">
      <calculatedColumnFormula>LEFT(survey[[#This Row],[Proper_Gender]],1)</calculatedColumnFormula>
    </tableColumn>
    <tableColumn id="11" xr3:uid="{BF3D8A16-EE14-BE4D-BBF7-3EA6881E69D0}" uniqueName="11" name="Gender" queryTableFieldId="11" dataDxfId="334">
      <calculatedColumnFormula>LEFT(PROPER(TRIM(survey[[#This Row],[What is your gender?]])),1)</calculatedColumnFormula>
    </tableColumn>
    <tableColumn id="4" xr3:uid="{9EDCA8E2-0B81-BE43-A777-110A4E825E67}" uniqueName="4" name="age" queryTableFieldId="4"/>
    <tableColumn id="12" xr3:uid="{97E2C87E-63DA-3A4E-9AD7-67F8B3CDF043}" uniqueName="12" name="age_bracket" queryTableFieldId="12" dataDxfId="333">
      <calculatedColumnFormula array="1">_xlfn.IFS(survey[[#This Row],[age]]&lt; 25,"20-25",survey[[#This Row],[age]] &lt;30,"25-30",survey[[#This Row],[age]]&lt;35,"30-35",survey[[#This Row],[age]]&lt;40,"35-40")</calculatedColumnFormula>
    </tableColumn>
    <tableColumn id="5" xr3:uid="{A6531A8B-DDA4-0441-8AE3-0FCAC36C8566}" uniqueName="5" name="Which country is your favorite in ongoing FIFA worldcup?" queryTableFieldId="5" dataDxfId="332"/>
    <tableColumn id="6" xr3:uid="{4293CF80-2118-B348-9BA9-B3058DDABE76}" uniqueName="6" name="Which country do you think will win?" queryTableFieldId="6" dataDxfId="331"/>
    <tableColumn id="7" xr3:uid="{279299E4-C412-DC47-8B0C-D18E0F980A62}" uniqueName="7" name="What is your  name (nickname) ? I will use it to call you in the class." queryTableFieldId="7" dataDxfId="3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50B075-F791-4646-8A92-AFF50323BD8E}" name="world_cup" displayName="world_cup" ref="A1:L23" tableType="queryTable" totalsRowShown="0">
  <autoFilter ref="A1:L23" xr:uid="{E750B075-F791-4646-8A92-AFF50323BD8E}"/>
  <sortState xmlns:xlrd2="http://schemas.microsoft.com/office/spreadsheetml/2017/richdata2" ref="A2:L23">
    <sortCondition ref="A1:A23"/>
  </sortState>
  <tableColumns count="12">
    <tableColumn id="1" xr3:uid="{472642ED-8946-4242-BAB4-DD523452DDF9}" uniqueName="1" name="Year" queryTableFieldId="1"/>
    <tableColumn id="2" xr3:uid="{E0722ADD-CB95-E343-BF55-A745BAFB2174}" uniqueName="2" name="Host" queryTableFieldId="2" dataDxfId="329"/>
    <tableColumn id="11" xr3:uid="{FC2135D9-AC89-C749-9213-8CB709C7BC85}" uniqueName="11" name="rank Xlookup" queryTableFieldId="11" dataDxfId="321">
      <calculatedColumnFormula>IFERROR(_xlfn.XLOOKUP(world_cup[[#This Row],[Host]],fifa_ranking_2026_06_08[team],fifa_ranking_2026_06_08[2026_rank]),999)</calculatedColumnFormula>
    </tableColumn>
    <tableColumn id="12" xr3:uid="{6D256278-904D-4B47-BBA1-577DB33FC6BB}" uniqueName="12" name="rank Vloolup" queryTableFieldId="12" dataDxfId="320">
      <calculatedColumnFormula>IFERROR(VLOOKUP(world_cup[[#This Row],[Host]],fifa_ranking_2026_06_08[[team]:[previous_rank]],4,FALSE),999)</calculatedColumnFormula>
    </tableColumn>
    <tableColumn id="3" xr3:uid="{F2B5EC5C-D178-D14A-BF67-B8510A0CE664}" uniqueName="3" name="Teams" queryTableFieldId="3"/>
    <tableColumn id="4" xr3:uid="{0F4592F8-0A62-2B46-B5B3-16C4F80A0693}" uniqueName="4" name="Champion" queryTableFieldId="4" dataDxfId="328"/>
    <tableColumn id="5" xr3:uid="{64900AA9-092F-8C4B-961B-96CA90189065}" uniqueName="5" name="Runner-Up" queryTableFieldId="5" dataDxfId="327"/>
    <tableColumn id="6" xr3:uid="{F800F9D4-8EDD-C94F-AEF4-C3C5A74F5F9B}" uniqueName="6" name="TopScorrer" queryTableFieldId="6" dataDxfId="326"/>
    <tableColumn id="7" xr3:uid="{301B592D-EF1B-0D4A-B47F-724551E6CE20}" uniqueName="7" name="Attendance" queryTableFieldId="7"/>
    <tableColumn id="10" xr3:uid="{0E86E3C2-1BA7-9B4A-AF36-151766C705B4}" uniqueName="10" name="Propularity" queryTableFieldId="10" dataDxfId="325" dataCellStyle="Comma">
      <calculatedColumnFormula>world_cup[[#This Row],[Attendance]]/world_cup[[#This Row],[Teams]]</calculatedColumnFormula>
    </tableColumn>
    <tableColumn id="8" xr3:uid="{827FDA11-1568-ED4C-BCAB-76EE5177A9F0}" uniqueName="8" name="AttendanceAvg" queryTableFieldId="8"/>
    <tableColumn id="9" xr3:uid="{F8AB251C-E582-054E-8F7A-286B75779DFF}" uniqueName="9" name="Matches"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B28A4B-AA76-1944-8EFE-E082BE0300C5}" name="fifa_ranking_2026_06_08" displayName="fifa_ranking_2026_06_08" ref="A1:J212" tableType="queryTable" totalsRowShown="0">
  <autoFilter ref="A1:J212" xr:uid="{B9B28A4B-AA76-1944-8EFE-E082BE0300C5}"/>
  <sortState xmlns:xlrd2="http://schemas.microsoft.com/office/spreadsheetml/2017/richdata2" ref="A2:J212">
    <sortCondition ref="D1:D212"/>
  </sortState>
  <tableColumns count="10">
    <tableColumn id="1" xr3:uid="{6DB53D5F-4A25-2047-AA37-785449FA0C46}" uniqueName="1" name="team" queryTableFieldId="1" dataDxfId="324"/>
    <tableColumn id="2" xr3:uid="{1BFC546C-D873-F34E-A0DD-8AA506AE68E8}" uniqueName="2" name="team_code" queryTableFieldId="2" dataDxfId="323"/>
    <tableColumn id="3" xr3:uid="{6FD32F07-D6E2-6049-A265-C89C2DFA2714}" uniqueName="3" name="association" queryTableFieldId="3" dataDxfId="322"/>
    <tableColumn id="4" xr3:uid="{FBF72778-60FC-F045-95B4-12281F0AE9C3}" uniqueName="4" name="2026_rank" queryTableFieldId="4"/>
    <tableColumn id="9" xr3:uid="{0D6B90B1-2175-5E44-8D5A-0718899CF5B3}" uniqueName="9" name="2022_rank" queryTableFieldId="9" dataDxfId="316">
      <calculatedColumnFormula array="1">_xlfn.XLOOKUP(fifa_ranking_2026_06_08[[#This Row],[team]],fifa_ranking_2022_10_06[[#All],[team]],fifa_ranking_2022_10_06[[#All],[rank]])</calculatedColumnFormula>
    </tableColumn>
    <tableColumn id="10" xr3:uid="{3A913C5B-13DA-1C46-A255-43FCC1FEA39A}" uniqueName="10" name="improve_rank" queryTableFieldId="11" dataDxfId="315">
      <calculatedColumnFormula>fifa_ranking_2026_06_08[[#This Row],[2022_rank]]-fifa_ranking_2026_06_08[[#This Row],[2026_rank]]</calculatedColumnFormula>
    </tableColumn>
    <tableColumn id="5" xr3:uid="{1BEDBF94-AD70-F348-8834-A4324B3F53E9}" uniqueName="5" name="previous_rank" queryTableFieldId="5"/>
    <tableColumn id="6" xr3:uid="{37450539-3EE2-C84C-A302-AB9446497524}" uniqueName="6" name="points" queryTableFieldId="6"/>
    <tableColumn id="7" xr3:uid="{C7D96F62-8B35-9145-9C9B-2E5793FC592E}" uniqueName="7" name="previous_points" queryTableFieldId="7"/>
    <tableColumn id="8" xr3:uid="{7403CBA8-3D68-4C4F-A39C-E81E48F49EEA}" uniqueName="8" name="rated_matches"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2DB010-6019-1E4B-A1AF-5BB510FCAC8F}" name="fifa_ranking_2022_10_06" displayName="fifa_ranking_2022_10_06" ref="A1:G212" tableType="queryTable" totalsRowShown="0">
  <autoFilter ref="A1:G212" xr:uid="{E32DB010-6019-1E4B-A1AF-5BB510FCAC8F}"/>
  <tableColumns count="7">
    <tableColumn id="1" xr3:uid="{269DBC06-23EE-1E4A-AD70-D07625564857}" uniqueName="1" name="team" queryTableFieldId="1" dataDxfId="319"/>
    <tableColumn id="2" xr3:uid="{0E0F1AF4-440C-3B4A-8ED8-B52662EE767A}" uniqueName="2" name="team_code" queryTableFieldId="2" dataDxfId="318"/>
    <tableColumn id="3" xr3:uid="{722F2EC7-FA2F-2442-A0ED-E0C10129AEF6}" uniqueName="3" name="association" queryTableFieldId="3" dataDxfId="317"/>
    <tableColumn id="4" xr3:uid="{FAE9224B-737B-244A-923B-0A98DC33992B}" uniqueName="4" name="rank" queryTableFieldId="4"/>
    <tableColumn id="5" xr3:uid="{CD27BE98-3DFF-B24A-94CE-42C244FD911F}" uniqueName="5" name="previous_rank" queryTableFieldId="5"/>
    <tableColumn id="6" xr3:uid="{E20F5CB7-FB28-764F-8B7F-F01978857CC0}" uniqueName="6" name="points" queryTableFieldId="6"/>
    <tableColumn id="7" xr3:uid="{37CEFE26-697B-9249-A928-2D8900443F1F}" uniqueName="7" name="previous_points"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419E67-7204-3640-B3A5-D236337DE715}" name="matches_1930_2022" displayName="matches_1930_2022" ref="A1:AR965" tableType="queryTable" totalsRowShown="0">
  <autoFilter ref="A1:AR965" xr:uid="{3E419E67-7204-3640-B3A5-D236337DE715}"/>
  <tableColumns count="44">
    <tableColumn id="1" xr3:uid="{0ED9F9B5-7BB8-A44F-A4FE-714BA1F08B43}" uniqueName="1" name="home_team" queryTableFieldId="1" dataDxfId="314"/>
    <tableColumn id="2" xr3:uid="{6AFEBDAC-C8EE-2D4E-A71E-AD0F7518A662}" uniqueName="2" name="away_team" queryTableFieldId="2" dataDxfId="313"/>
    <tableColumn id="3" xr3:uid="{A6F605D9-D5F4-DC4E-8CD9-7D276BADDFAE}" uniqueName="3" name="home_score" queryTableFieldId="3"/>
    <tableColumn id="4" xr3:uid="{CDDFF429-FAC3-BC41-823C-7185CAAE08BF}" uniqueName="4" name="home_xg" queryTableFieldId="4"/>
    <tableColumn id="5" xr3:uid="{CDB81CA5-2522-6F46-869E-7993C5699F35}" uniqueName="5" name="home_penalty" queryTableFieldId="5"/>
    <tableColumn id="6" xr3:uid="{C2FBF61A-8E14-574C-8A51-C7AC084A0558}" uniqueName="6" name="away_score" queryTableFieldId="6"/>
    <tableColumn id="7" xr3:uid="{DEB22066-F3A2-9849-91A3-11F5526B4463}" uniqueName="7" name="away_xg" queryTableFieldId="7"/>
    <tableColumn id="8" xr3:uid="{44F4F728-3A2D-7943-A4D3-5A24F29685EB}" uniqueName="8" name="away_penalty" queryTableFieldId="8"/>
    <tableColumn id="9" xr3:uid="{A83699DC-A6F3-AB45-B726-5BA5F9A0ED49}" uniqueName="9" name="home_manager" queryTableFieldId="9" dataDxfId="312"/>
    <tableColumn id="10" xr3:uid="{D5E1F30B-1C3E-6B47-A1C0-FDD438359D94}" uniqueName="10" name="home_captain" queryTableFieldId="10" dataDxfId="311"/>
    <tableColumn id="11" xr3:uid="{34FDDDF1-111E-B64C-9FDE-9DAF1999B844}" uniqueName="11" name="away_manager" queryTableFieldId="11" dataDxfId="310"/>
    <tableColumn id="12" xr3:uid="{31EDD598-54CB-1748-9E13-D6921B25D873}" uniqueName="12" name="away_captain" queryTableFieldId="12" dataDxfId="309"/>
    <tableColumn id="13" xr3:uid="{21C45BA1-C719-ED41-9574-E4AA2F7D628A}" uniqueName="13" name="Attendance" queryTableFieldId="13"/>
    <tableColumn id="14" xr3:uid="{36765EA9-3209-A946-BB96-5BB9664E0D2B}" uniqueName="14" name="Venue" queryTableFieldId="14" dataDxfId="308"/>
    <tableColumn id="15" xr3:uid="{BB4B6355-75D5-DE42-BF49-42621E8FCE9D}" uniqueName="15" name="Officials" queryTableFieldId="15" dataDxfId="307"/>
    <tableColumn id="16" xr3:uid="{C0D378E6-B059-4C4A-8253-52701F695DEB}" uniqueName="16" name="Round" queryTableFieldId="16" dataDxfId="306"/>
    <tableColumn id="17" xr3:uid="{DC3C2F85-B46C-D042-A381-3D9D6D50FE5C}" uniqueName="17" name="Date" queryTableFieldId="17" dataDxfId="305"/>
    <tableColumn id="18" xr3:uid="{D00898D0-7A04-1843-8EBB-D5AB631F4435}" uniqueName="18" name="Score" queryTableFieldId="18" dataDxfId="304"/>
    <tableColumn id="19" xr3:uid="{33E10745-D6BD-9747-9452-4CB7EDD63AE6}" uniqueName="19" name="Referee" queryTableFieldId="19" dataDxfId="303"/>
    <tableColumn id="20" xr3:uid="{1316968D-F066-9C49-AD9E-3B6622F7C0C0}" uniqueName="20" name="Notes" queryTableFieldId="20" dataDxfId="302"/>
    <tableColumn id="21" xr3:uid="{AE90621D-1448-9E46-949B-BF1430030522}" uniqueName="21" name="Host" queryTableFieldId="21" dataDxfId="301"/>
    <tableColumn id="22" xr3:uid="{832BEBD7-CE94-C140-9EE8-6DEB1650AC21}" uniqueName="22" name="Year" queryTableFieldId="22"/>
    <tableColumn id="23" xr3:uid="{94EF4820-0976-9745-BBE9-0551D7344F9F}" uniqueName="23" name="home_goal" queryTableFieldId="23" dataDxfId="300"/>
    <tableColumn id="24" xr3:uid="{60FFD84C-4B3F-8044-B7E1-D67A8DB1423F}" uniqueName="24" name="away_goal" queryTableFieldId="24" dataDxfId="299"/>
    <tableColumn id="25" xr3:uid="{E096ED6C-CFDB-7B42-AE7A-C415A2A7C1E7}" uniqueName="25" name="home_goal_long" queryTableFieldId="25" dataDxfId="298"/>
    <tableColumn id="26" xr3:uid="{D6FC3A2A-49D6-8549-8A8D-0D4CCEB7F51D}" uniqueName="26" name="away_goal_long" queryTableFieldId="26" dataDxfId="297"/>
    <tableColumn id="27" xr3:uid="{80FB66A8-6CB5-DA41-9184-369F44D414D7}" uniqueName="27" name="home_own_goal" queryTableFieldId="27" dataDxfId="296"/>
    <tableColumn id="28" xr3:uid="{ED2BB51E-D2B1-8A4D-B6F2-43E7258D7337}" uniqueName="28" name="away_own_goal" queryTableFieldId="28" dataDxfId="295"/>
    <tableColumn id="29" xr3:uid="{DAFD1DE5-A71D-F247-93FB-CF6CE43F2691}" uniqueName="29" name="home_penalty_goal" queryTableFieldId="29" dataDxfId="294"/>
    <tableColumn id="30" xr3:uid="{4C2DD44F-C51E-6340-B717-A38C963A1914}" uniqueName="30" name="away_penalty_goal" queryTableFieldId="30" dataDxfId="293"/>
    <tableColumn id="31" xr3:uid="{28B3AF79-28AD-DF4C-9AC2-93ECE0DE2DEA}" uniqueName="31" name="home_penalty_miss_long" queryTableFieldId="31" dataDxfId="292"/>
    <tableColumn id="32" xr3:uid="{7E315D60-A2CC-E544-953A-8ACC5C56A0B6}" uniqueName="32" name="away_penalty_miss_long" queryTableFieldId="32" dataDxfId="291"/>
    <tableColumn id="33" xr3:uid="{2B4EE52C-6AEB-644A-92D2-E34695988428}" uniqueName="33" name="home_penalty_shootout_goal_long" queryTableFieldId="33" dataDxfId="290"/>
    <tableColumn id="34" xr3:uid="{05404E1E-AFB9-D142-8DE7-0E03BC6FCAAC}" uniqueName="34" name="away_penalty_shootout_goal_long" queryTableFieldId="34" dataDxfId="289"/>
    <tableColumn id="35" xr3:uid="{85C21DCD-B89E-BB40-ACFA-4AC63E42E733}" uniqueName="35" name="home_penalty_shootout_miss_long" queryTableFieldId="35" dataDxfId="288"/>
    <tableColumn id="36" xr3:uid="{B530A4CA-C41D-8A40-A74E-B1EF933261AC}" uniqueName="36" name="away_penalty_shootout_miss_long" queryTableFieldId="36" dataDxfId="287"/>
    <tableColumn id="37" xr3:uid="{72AB969F-DFFD-1B46-B712-437270222984}" uniqueName="37" name="home_red_card" queryTableFieldId="37" dataDxfId="286"/>
    <tableColumn id="38" xr3:uid="{6590FFA9-0699-B743-AB11-EACB26D352D3}" uniqueName="38" name="away_red_card" queryTableFieldId="38" dataDxfId="285"/>
    <tableColumn id="39" xr3:uid="{ACD1D5B7-9F12-004D-8D15-EBF4812874C8}" uniqueName="39" name="home_yellow_red_card" queryTableFieldId="39" dataDxfId="284"/>
    <tableColumn id="40" xr3:uid="{5F86B82C-74B6-7F4B-9421-C6449B8E877B}" uniqueName="40" name="away_yellow_red_card" queryTableFieldId="40" dataDxfId="283"/>
    <tableColumn id="41" xr3:uid="{32B3C959-56CF-7344-BB28-4455425ECA70}" uniqueName="41" name="home_yellow_card_long" queryTableFieldId="41" dataDxfId="282"/>
    <tableColumn id="42" xr3:uid="{61E03ACE-EC3C-D248-85C0-9CCF8B0F90B6}" uniqueName="42" name="away_yellow_card_long" queryTableFieldId="42" dataDxfId="281"/>
    <tableColumn id="43" xr3:uid="{A9C0BE56-573B-C24C-96FE-B2FD3300A1E5}" uniqueName="43" name="home_substitute_in_long" queryTableFieldId="43" dataDxfId="280"/>
    <tableColumn id="44" xr3:uid="{BB94D946-4D2C-CF48-8F95-9E8C34FED974}" uniqueName="44" name="away_substitute_in_long" queryTableFieldId="44" dataDxfId="27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4E217-E022-3249-AC01-EEEBAEBD9BBC}">
  <dimension ref="A1:O27"/>
  <sheetViews>
    <sheetView topLeftCell="K1" zoomScale="150" workbookViewId="0">
      <pane ySplit="1" topLeftCell="A2" activePane="bottomLeft" state="frozen"/>
      <selection pane="bottomLeft" activeCell="Q15" sqref="Q15"/>
    </sheetView>
  </sheetViews>
  <sheetFormatPr baseColWidth="10" defaultRowHeight="16" x14ac:dyDescent="0.2"/>
  <cols>
    <col min="1" max="1" width="19.6640625" customWidth="1"/>
    <col min="2" max="2" width="27.1640625" bestFit="1" customWidth="1"/>
    <col min="3" max="3" width="20.83203125" bestFit="1" customWidth="1"/>
    <col min="4" max="7" width="20.83203125" customWidth="1"/>
    <col min="8" max="8" width="18" bestFit="1" customWidth="1"/>
    <col min="9" max="9" width="18" customWidth="1"/>
    <col min="10" max="10" width="50.33203125" bestFit="1" customWidth="1"/>
    <col min="11" max="11" width="33.1640625" bestFit="1" customWidth="1"/>
    <col min="12" max="12" width="59" bestFit="1" customWidth="1"/>
  </cols>
  <sheetData>
    <row r="1" spans="1:15" x14ac:dyDescent="0.2">
      <c r="A1" t="s">
        <v>0</v>
      </c>
      <c r="B1" t="s">
        <v>1</v>
      </c>
      <c r="C1" t="s">
        <v>2</v>
      </c>
      <c r="D1" t="s">
        <v>62</v>
      </c>
      <c r="E1" t="s">
        <v>61</v>
      </c>
      <c r="F1" t="s">
        <v>64</v>
      </c>
      <c r="G1" t="s">
        <v>60</v>
      </c>
      <c r="H1" t="s">
        <v>67</v>
      </c>
      <c r="I1" t="s">
        <v>68</v>
      </c>
      <c r="J1" t="s">
        <v>3</v>
      </c>
      <c r="K1" t="s">
        <v>4</v>
      </c>
      <c r="L1" t="s">
        <v>5</v>
      </c>
    </row>
    <row r="2" spans="1:15" x14ac:dyDescent="0.2">
      <c r="A2" s="1">
        <v>46221.547268518516</v>
      </c>
      <c r="B2" t="s">
        <v>6</v>
      </c>
      <c r="C2" t="s">
        <v>7</v>
      </c>
      <c r="D2" t="str">
        <f>TRIM(survey[[#This Row],[What is your gender?]])</f>
        <v>Female</v>
      </c>
      <c r="E2" t="str">
        <f>PROPER(survey[[#This Row],[Trim_Gender]])</f>
        <v>Female</v>
      </c>
      <c r="F2" t="str">
        <f>LEFT(survey[[#This Row],[Proper_Gender]],1)</f>
        <v>F</v>
      </c>
      <c r="G2" t="str">
        <f>LEFT(PROPER(TRIM(survey[[#This Row],[What is your gender?]])),1)</f>
        <v>F</v>
      </c>
      <c r="H2">
        <v>33</v>
      </c>
      <c r="I2" t="str" cm="1">
        <f t="array" ref="I2">_xlfn.IFS(survey[[#This Row],[age]]&lt; 25,"20-25",survey[[#This Row],[age]] &lt;30,"25-30",survey[[#This Row],[age]]&lt;35,"30-35",survey[[#This Row],[age]]&lt;40,"35-40")</f>
        <v>30-35</v>
      </c>
      <c r="J2" t="s">
        <v>66</v>
      </c>
      <c r="K2" t="s">
        <v>8</v>
      </c>
      <c r="L2" t="s">
        <v>9</v>
      </c>
    </row>
    <row r="3" spans="1:15" x14ac:dyDescent="0.2">
      <c r="A3" s="1">
        <v>46221.548078703701</v>
      </c>
      <c r="B3" t="s">
        <v>10</v>
      </c>
      <c r="C3" t="s">
        <v>11</v>
      </c>
      <c r="D3" t="str">
        <f>TRIM(survey[[#This Row],[What is your gender?]])</f>
        <v>Female</v>
      </c>
      <c r="E3" t="str">
        <f>PROPER(survey[[#This Row],[Trim_Gender]])</f>
        <v>Female</v>
      </c>
      <c r="F3" t="str">
        <f>LEFT(survey[[#This Row],[Proper_Gender]],1)</f>
        <v>F</v>
      </c>
      <c r="G3" t="str">
        <f>LEFT(PROPER(TRIM(survey[[#This Row],[What is your gender?]])),1)</f>
        <v>F</v>
      </c>
      <c r="H3">
        <v>28</v>
      </c>
      <c r="I3" t="str" cm="1">
        <f t="array" ref="I3">_xlfn.IFS(survey[[#This Row],[age]]&lt; 25,"20-25",survey[[#This Row],[age]] &lt;30,"25-30",survey[[#This Row],[age]]&lt;35,"30-35",survey[[#This Row],[age]]&lt;40,"35-40")</f>
        <v>25-30</v>
      </c>
      <c r="J3" t="s">
        <v>12</v>
      </c>
      <c r="K3" t="s">
        <v>13</v>
      </c>
      <c r="L3" t="s">
        <v>14</v>
      </c>
    </row>
    <row r="4" spans="1:15" x14ac:dyDescent="0.2">
      <c r="A4" s="1">
        <v>46221.548078703701</v>
      </c>
      <c r="B4" t="s">
        <v>15</v>
      </c>
      <c r="C4" t="s">
        <v>11</v>
      </c>
      <c r="D4" t="str">
        <f>TRIM(survey[[#This Row],[What is your gender?]])</f>
        <v>Female</v>
      </c>
      <c r="E4" t="str">
        <f>PROPER(survey[[#This Row],[Trim_Gender]])</f>
        <v>Female</v>
      </c>
      <c r="F4" t="str">
        <f>LEFT(survey[[#This Row],[Proper_Gender]],1)</f>
        <v>F</v>
      </c>
      <c r="G4" t="str">
        <f>LEFT(PROPER(TRIM(survey[[#This Row],[What is your gender?]])),1)</f>
        <v>F</v>
      </c>
      <c r="H4">
        <v>39</v>
      </c>
      <c r="I4" t="str" cm="1">
        <f t="array" ref="I4">_xlfn.IFS(survey[[#This Row],[age]]&lt; 25,"20-25",survey[[#This Row],[age]] &lt;30,"25-30",survey[[#This Row],[age]]&lt;35,"30-35",survey[[#This Row],[age]]&lt;40,"35-40")</f>
        <v>35-40</v>
      </c>
      <c r="J4" t="s">
        <v>66</v>
      </c>
      <c r="K4" t="s">
        <v>16</v>
      </c>
      <c r="L4" t="s">
        <v>17</v>
      </c>
    </row>
    <row r="5" spans="1:15" x14ac:dyDescent="0.2">
      <c r="A5" s="1">
        <v>46221.548090277778</v>
      </c>
      <c r="B5" t="s">
        <v>18</v>
      </c>
      <c r="C5" t="s">
        <v>11</v>
      </c>
      <c r="D5" t="str">
        <f>TRIM(survey[[#This Row],[What is your gender?]])</f>
        <v>Female</v>
      </c>
      <c r="E5" t="str">
        <f>PROPER(survey[[#This Row],[Trim_Gender]])</f>
        <v>Female</v>
      </c>
      <c r="F5" t="str">
        <f>LEFT(survey[[#This Row],[Proper_Gender]],1)</f>
        <v>F</v>
      </c>
      <c r="G5" t="str">
        <f>LEFT(PROPER(TRIM(survey[[#This Row],[What is your gender?]])),1)</f>
        <v>F</v>
      </c>
      <c r="H5">
        <v>24</v>
      </c>
      <c r="I5" t="str" cm="1">
        <f t="array" ref="I5">_xlfn.IFS(survey[[#This Row],[age]]&lt; 25,"20-25",survey[[#This Row],[age]] &lt;30,"25-30",survey[[#This Row],[age]]&lt;35,"30-35",survey[[#This Row],[age]]&lt;40,"35-40")</f>
        <v>20-25</v>
      </c>
      <c r="J5" t="s">
        <v>19</v>
      </c>
      <c r="K5" t="s">
        <v>20</v>
      </c>
      <c r="L5" t="s">
        <v>21</v>
      </c>
      <c r="N5" s="3" t="s">
        <v>60</v>
      </c>
      <c r="O5" s="3" t="s">
        <v>69</v>
      </c>
    </row>
    <row r="6" spans="1:15" x14ac:dyDescent="0.2">
      <c r="A6" s="1">
        <v>46221.548206018517</v>
      </c>
      <c r="B6" t="s">
        <v>15</v>
      </c>
      <c r="C6" t="s">
        <v>22</v>
      </c>
      <c r="D6" t="str">
        <f>TRIM(survey[[#This Row],[What is your gender?]])</f>
        <v>Male</v>
      </c>
      <c r="E6" t="str">
        <f>PROPER(survey[[#This Row],[Trim_Gender]])</f>
        <v>Male</v>
      </c>
      <c r="F6" t="str">
        <f>LEFT(survey[[#This Row],[Proper_Gender]],1)</f>
        <v>M</v>
      </c>
      <c r="G6" t="str">
        <f>LEFT(PROPER(TRIM(survey[[#This Row],[What is your gender?]])),1)</f>
        <v>M</v>
      </c>
      <c r="H6">
        <v>27</v>
      </c>
      <c r="I6" t="str" cm="1">
        <f t="array" ref="I6">_xlfn.IFS(survey[[#This Row],[age]]&lt; 25,"20-25",survey[[#This Row],[age]] &lt;30,"25-30",survey[[#This Row],[age]]&lt;35,"30-35",survey[[#This Row],[age]]&lt;40,"35-40")</f>
        <v>25-30</v>
      </c>
      <c r="J6" t="s">
        <v>12</v>
      </c>
      <c r="K6" t="s">
        <v>12</v>
      </c>
      <c r="L6" t="s">
        <v>23</v>
      </c>
      <c r="N6" t="s">
        <v>63</v>
      </c>
      <c r="O6">
        <f>COUNTIF(survey[Gender], "F")</f>
        <v>17</v>
      </c>
    </row>
    <row r="7" spans="1:15" x14ac:dyDescent="0.2">
      <c r="A7" s="1">
        <v>46221.548206018517</v>
      </c>
      <c r="B7" t="s">
        <v>15</v>
      </c>
      <c r="C7" t="s">
        <v>22</v>
      </c>
      <c r="D7" t="str">
        <f>TRIM(survey[[#This Row],[What is your gender?]])</f>
        <v>Male</v>
      </c>
      <c r="E7" t="str">
        <f>PROPER(survey[[#This Row],[Trim_Gender]])</f>
        <v>Male</v>
      </c>
      <c r="F7" t="str">
        <f>LEFT(survey[[#This Row],[Proper_Gender]],1)</f>
        <v>M</v>
      </c>
      <c r="G7" t="str">
        <f>LEFT(PROPER(TRIM(survey[[#This Row],[What is your gender?]])),1)</f>
        <v>M</v>
      </c>
      <c r="H7">
        <v>27</v>
      </c>
      <c r="I7" t="str" cm="1">
        <f t="array" ref="I7">_xlfn.IFS(survey[[#This Row],[age]]&lt; 25,"20-25",survey[[#This Row],[age]] &lt;30,"25-30",survey[[#This Row],[age]]&lt;35,"30-35",survey[[#This Row],[age]]&lt;40,"35-40")</f>
        <v>25-30</v>
      </c>
      <c r="J7" t="s">
        <v>20</v>
      </c>
      <c r="K7" t="s">
        <v>20</v>
      </c>
      <c r="L7" t="s">
        <v>24</v>
      </c>
      <c r="N7" t="s">
        <v>65</v>
      </c>
      <c r="O7">
        <f>COUNTIF(survey[Gender], "M")</f>
        <v>9</v>
      </c>
    </row>
    <row r="8" spans="1:15" x14ac:dyDescent="0.2">
      <c r="A8" s="1">
        <v>46221.548391203702</v>
      </c>
      <c r="B8" t="s">
        <v>25</v>
      </c>
      <c r="C8" t="s">
        <v>22</v>
      </c>
      <c r="D8" t="str">
        <f>TRIM(survey[[#This Row],[What is your gender?]])</f>
        <v>Male</v>
      </c>
      <c r="E8" t="str">
        <f>PROPER(survey[[#This Row],[Trim_Gender]])</f>
        <v>Male</v>
      </c>
      <c r="F8" t="str">
        <f>LEFT(survey[[#This Row],[Proper_Gender]],1)</f>
        <v>M</v>
      </c>
      <c r="G8" t="str">
        <f>LEFT(PROPER(TRIM(survey[[#This Row],[What is your gender?]])),1)</f>
        <v>M</v>
      </c>
      <c r="H8">
        <v>23</v>
      </c>
      <c r="I8" t="str" cm="1">
        <f t="array" ref="I8">_xlfn.IFS(survey[[#This Row],[age]]&lt; 25,"20-25",survey[[#This Row],[age]] &lt;30,"25-30",survey[[#This Row],[age]]&lt;35,"30-35",survey[[#This Row],[age]]&lt;40,"35-40")</f>
        <v>20-25</v>
      </c>
      <c r="J8" t="s">
        <v>26</v>
      </c>
      <c r="K8" t="s">
        <v>27</v>
      </c>
      <c r="L8" t="s">
        <v>28</v>
      </c>
      <c r="N8" t="s">
        <v>75</v>
      </c>
      <c r="O8">
        <f>SUM(O6:O7)</f>
        <v>26</v>
      </c>
    </row>
    <row r="9" spans="1:15" x14ac:dyDescent="0.2">
      <c r="A9" s="1">
        <v>46221.548449074071</v>
      </c>
      <c r="B9" t="s">
        <v>15</v>
      </c>
      <c r="C9" t="s">
        <v>22</v>
      </c>
      <c r="D9" t="str">
        <f>TRIM(survey[[#This Row],[What is your gender?]])</f>
        <v>Male</v>
      </c>
      <c r="E9" t="str">
        <f>PROPER(survey[[#This Row],[Trim_Gender]])</f>
        <v>Male</v>
      </c>
      <c r="F9" t="str">
        <f>LEFT(survey[[#This Row],[Proper_Gender]],1)</f>
        <v>M</v>
      </c>
      <c r="G9" t="str">
        <f>LEFT(PROPER(TRIM(survey[[#This Row],[What is your gender?]])),1)</f>
        <v>M</v>
      </c>
      <c r="H9">
        <v>26</v>
      </c>
      <c r="I9" t="str" cm="1">
        <f t="array" ref="I9">_xlfn.IFS(survey[[#This Row],[age]]&lt; 25,"20-25",survey[[#This Row],[age]] &lt;30,"25-30",survey[[#This Row],[age]]&lt;35,"30-35",survey[[#This Row],[age]]&lt;40,"35-40")</f>
        <v>25-30</v>
      </c>
      <c r="J9" t="s">
        <v>19</v>
      </c>
      <c r="K9" t="s">
        <v>20</v>
      </c>
      <c r="L9" t="s">
        <v>29</v>
      </c>
    </row>
    <row r="10" spans="1:15" x14ac:dyDescent="0.2">
      <c r="A10" s="1">
        <v>46221.548506944448</v>
      </c>
      <c r="B10" t="s">
        <v>30</v>
      </c>
      <c r="C10" t="s">
        <v>22</v>
      </c>
      <c r="D10" t="str">
        <f>TRIM(survey[[#This Row],[What is your gender?]])</f>
        <v>Male</v>
      </c>
      <c r="E10" t="str">
        <f>PROPER(survey[[#This Row],[Trim_Gender]])</f>
        <v>Male</v>
      </c>
      <c r="F10" t="str">
        <f>LEFT(survey[[#This Row],[Proper_Gender]],1)</f>
        <v>M</v>
      </c>
      <c r="G10" t="str">
        <f>LEFT(PROPER(TRIM(survey[[#This Row],[What is your gender?]])),1)</f>
        <v>M</v>
      </c>
      <c r="H10">
        <v>37</v>
      </c>
      <c r="I10" t="str" cm="1">
        <f t="array" ref="I10">_xlfn.IFS(survey[[#This Row],[age]]&lt; 25,"20-25",survey[[#This Row],[age]] &lt;30,"25-30",survey[[#This Row],[age]]&lt;35,"30-35",survey[[#This Row],[age]]&lt;40,"35-40")</f>
        <v>35-40</v>
      </c>
      <c r="J10" t="s">
        <v>66</v>
      </c>
      <c r="K10" t="s">
        <v>31</v>
      </c>
      <c r="L10" t="s">
        <v>32</v>
      </c>
    </row>
    <row r="11" spans="1:15" x14ac:dyDescent="0.2">
      <c r="A11" s="1">
        <v>46221.548506944448</v>
      </c>
      <c r="B11" t="s">
        <v>15</v>
      </c>
      <c r="C11" t="s">
        <v>33</v>
      </c>
      <c r="D11" t="str">
        <f>TRIM(survey[[#This Row],[What is your gender?]])</f>
        <v>female</v>
      </c>
      <c r="E11" t="str">
        <f>PROPER(survey[[#This Row],[Trim_Gender]])</f>
        <v>Female</v>
      </c>
      <c r="F11" t="str">
        <f>LEFT(survey[[#This Row],[Proper_Gender]],1)</f>
        <v>F</v>
      </c>
      <c r="G11" t="str">
        <f>LEFT(PROPER(TRIM(survey[[#This Row],[What is your gender?]])),1)</f>
        <v>F</v>
      </c>
      <c r="H11">
        <v>28</v>
      </c>
      <c r="I11" t="str" cm="1">
        <f t="array" ref="I11">_xlfn.IFS(survey[[#This Row],[age]]&lt; 25,"20-25",survey[[#This Row],[age]] &lt;30,"25-30",survey[[#This Row],[age]]&lt;35,"30-35",survey[[#This Row],[age]]&lt;40,"35-40")</f>
        <v>25-30</v>
      </c>
      <c r="J11" t="s">
        <v>20</v>
      </c>
      <c r="K11" t="s">
        <v>20</v>
      </c>
      <c r="L11" t="s">
        <v>34</v>
      </c>
      <c r="N11" s="2" t="s">
        <v>70</v>
      </c>
      <c r="O11" s="2" t="s">
        <v>69</v>
      </c>
    </row>
    <row r="12" spans="1:15" x14ac:dyDescent="0.2">
      <c r="A12" s="1">
        <v>46221.548530092594</v>
      </c>
      <c r="B12" t="s">
        <v>18</v>
      </c>
      <c r="C12" t="s">
        <v>11</v>
      </c>
      <c r="D12" t="str">
        <f>TRIM(survey[[#This Row],[What is your gender?]])</f>
        <v>Female</v>
      </c>
      <c r="E12" t="str">
        <f>PROPER(survey[[#This Row],[Trim_Gender]])</f>
        <v>Female</v>
      </c>
      <c r="F12" t="str">
        <f>LEFT(survey[[#This Row],[Proper_Gender]],1)</f>
        <v>F</v>
      </c>
      <c r="G12" t="str">
        <f>LEFT(PROPER(TRIM(survey[[#This Row],[What is your gender?]])),1)</f>
        <v>F</v>
      </c>
      <c r="H12">
        <v>23</v>
      </c>
      <c r="I12" t="str" cm="1">
        <f t="array" ref="I12">_xlfn.IFS(survey[[#This Row],[age]]&lt; 25,"20-25",survey[[#This Row],[age]] &lt;30,"25-30",survey[[#This Row],[age]]&lt;35,"30-35",survey[[#This Row],[age]]&lt;40,"35-40")</f>
        <v>20-25</v>
      </c>
      <c r="J12" t="s">
        <v>26</v>
      </c>
      <c r="K12" t="s">
        <v>26</v>
      </c>
      <c r="L12" t="s">
        <v>35</v>
      </c>
      <c r="N12" t="s">
        <v>71</v>
      </c>
      <c r="O12">
        <f>COUNTIF(survey[age_bracket], "20-25")</f>
        <v>6</v>
      </c>
    </row>
    <row r="13" spans="1:15" x14ac:dyDescent="0.2">
      <c r="A13" s="1">
        <v>46221.548564814817</v>
      </c>
      <c r="B13" t="s">
        <v>18</v>
      </c>
      <c r="C13" t="s">
        <v>11</v>
      </c>
      <c r="D13" t="str">
        <f>TRIM(survey[[#This Row],[What is your gender?]])</f>
        <v>Female</v>
      </c>
      <c r="E13" t="str">
        <f>PROPER(survey[[#This Row],[Trim_Gender]])</f>
        <v>Female</v>
      </c>
      <c r="F13" t="str">
        <f>LEFT(survey[[#This Row],[Proper_Gender]],1)</f>
        <v>F</v>
      </c>
      <c r="G13" t="str">
        <f>LEFT(PROPER(TRIM(survey[[#This Row],[What is your gender?]])),1)</f>
        <v>F</v>
      </c>
      <c r="H13">
        <v>24</v>
      </c>
      <c r="I13" t="str" cm="1">
        <f t="array" ref="I13">_xlfn.IFS(survey[[#This Row],[age]]&lt; 25,"20-25",survey[[#This Row],[age]] &lt;30,"25-30",survey[[#This Row],[age]]&lt;35,"30-35",survey[[#This Row],[age]]&lt;40,"35-40")</f>
        <v>20-25</v>
      </c>
      <c r="J13" t="s">
        <v>26</v>
      </c>
      <c r="K13" t="s">
        <v>26</v>
      </c>
      <c r="L13" t="s">
        <v>36</v>
      </c>
      <c r="N13" t="s">
        <v>72</v>
      </c>
      <c r="O13">
        <f>COUNTIF(survey[age_bracket], "25-30")</f>
        <v>12</v>
      </c>
    </row>
    <row r="14" spans="1:15" x14ac:dyDescent="0.2">
      <c r="A14" s="1">
        <v>46221.548587962963</v>
      </c>
      <c r="B14" t="s">
        <v>10</v>
      </c>
      <c r="C14" t="s">
        <v>11</v>
      </c>
      <c r="D14" t="str">
        <f>TRIM(survey[[#This Row],[What is your gender?]])</f>
        <v>Female</v>
      </c>
      <c r="E14" t="str">
        <f>PROPER(survey[[#This Row],[Trim_Gender]])</f>
        <v>Female</v>
      </c>
      <c r="F14" t="str">
        <f>LEFT(survey[[#This Row],[Proper_Gender]],1)</f>
        <v>F</v>
      </c>
      <c r="G14" t="str">
        <f>LEFT(PROPER(TRIM(survey[[#This Row],[What is your gender?]])),1)</f>
        <v>F</v>
      </c>
      <c r="H14">
        <v>35</v>
      </c>
      <c r="I14" t="str" cm="1">
        <f t="array" ref="I14">_xlfn.IFS(survey[[#This Row],[age]]&lt; 25,"20-25",survey[[#This Row],[age]] &lt;30,"25-30",survey[[#This Row],[age]]&lt;35,"30-35",survey[[#This Row],[age]]&lt;40,"35-40")</f>
        <v>35-40</v>
      </c>
      <c r="J14" t="s">
        <v>26</v>
      </c>
      <c r="K14" t="s">
        <v>26</v>
      </c>
      <c r="L14" t="s">
        <v>37</v>
      </c>
      <c r="N14" t="s">
        <v>73</v>
      </c>
      <c r="O14">
        <f>COUNTIF(survey[age_bracket], "30-35")</f>
        <v>5</v>
      </c>
    </row>
    <row r="15" spans="1:15" x14ac:dyDescent="0.2">
      <c r="A15" s="1">
        <v>46221.548634259256</v>
      </c>
      <c r="B15" t="s">
        <v>18</v>
      </c>
      <c r="C15" t="s">
        <v>22</v>
      </c>
      <c r="D15" t="str">
        <f>TRIM(survey[[#This Row],[What is your gender?]])</f>
        <v>Male</v>
      </c>
      <c r="E15" t="str">
        <f>PROPER(survey[[#This Row],[Trim_Gender]])</f>
        <v>Male</v>
      </c>
      <c r="F15" t="str">
        <f>LEFT(survey[[#This Row],[Proper_Gender]],1)</f>
        <v>M</v>
      </c>
      <c r="G15" t="str">
        <f>LEFT(PROPER(TRIM(survey[[#This Row],[What is your gender?]])),1)</f>
        <v>M</v>
      </c>
      <c r="H15">
        <v>24</v>
      </c>
      <c r="I15" t="str" cm="1">
        <f t="array" ref="I15">_xlfn.IFS(survey[[#This Row],[age]]&lt; 25,"20-25",survey[[#This Row],[age]] &lt;30,"25-30",survey[[#This Row],[age]]&lt;35,"30-35",survey[[#This Row],[age]]&lt;40,"35-40")</f>
        <v>20-25</v>
      </c>
      <c r="J15" t="s">
        <v>20</v>
      </c>
      <c r="K15" t="s">
        <v>20</v>
      </c>
      <c r="L15" t="s">
        <v>38</v>
      </c>
      <c r="N15" t="s">
        <v>74</v>
      </c>
      <c r="O15">
        <f>COUNTIF(survey[age_bracket], "35-40")</f>
        <v>3</v>
      </c>
    </row>
    <row r="16" spans="1:15" x14ac:dyDescent="0.2">
      <c r="A16" s="1">
        <v>46221.548657407409</v>
      </c>
      <c r="B16" t="s">
        <v>39</v>
      </c>
      <c r="C16" t="s">
        <v>11</v>
      </c>
      <c r="D16" t="str">
        <f>TRIM(survey[[#This Row],[What is your gender?]])</f>
        <v>Female</v>
      </c>
      <c r="E16" t="str">
        <f>PROPER(survey[[#This Row],[Trim_Gender]])</f>
        <v>Female</v>
      </c>
      <c r="F16" t="str">
        <f>LEFT(survey[[#This Row],[Proper_Gender]],1)</f>
        <v>F</v>
      </c>
      <c r="G16" t="str">
        <f>LEFT(PROPER(TRIM(survey[[#This Row],[What is your gender?]])),1)</f>
        <v>F</v>
      </c>
      <c r="H16">
        <v>32</v>
      </c>
      <c r="I16" t="str" cm="1">
        <f t="array" ref="I16">_xlfn.IFS(survey[[#This Row],[age]]&lt; 25,"20-25",survey[[#This Row],[age]] &lt;30,"25-30",survey[[#This Row],[age]]&lt;35,"30-35",survey[[#This Row],[age]]&lt;40,"35-40")</f>
        <v>30-35</v>
      </c>
      <c r="J16" t="s">
        <v>66</v>
      </c>
      <c r="K16" t="s">
        <v>40</v>
      </c>
      <c r="L16" t="s">
        <v>41</v>
      </c>
      <c r="O16">
        <f>SUM(O12:O15)</f>
        <v>26</v>
      </c>
    </row>
    <row r="17" spans="1:15" x14ac:dyDescent="0.2">
      <c r="A17" s="1">
        <v>46221.548680555556</v>
      </c>
      <c r="B17" t="s">
        <v>42</v>
      </c>
      <c r="C17" t="s">
        <v>22</v>
      </c>
      <c r="D17" t="str">
        <f>TRIM(survey[[#This Row],[What is your gender?]])</f>
        <v>Male</v>
      </c>
      <c r="E17" t="str">
        <f>PROPER(survey[[#This Row],[Trim_Gender]])</f>
        <v>Male</v>
      </c>
      <c r="F17" t="str">
        <f>LEFT(survey[[#This Row],[Proper_Gender]],1)</f>
        <v>M</v>
      </c>
      <c r="G17" t="str">
        <f>LEFT(PROPER(TRIM(survey[[#This Row],[What is your gender?]])),1)</f>
        <v>M</v>
      </c>
      <c r="H17">
        <v>30</v>
      </c>
      <c r="I17" t="str" cm="1">
        <f t="array" ref="I17">_xlfn.IFS(survey[[#This Row],[age]]&lt; 25,"20-25",survey[[#This Row],[age]] &lt;30,"25-30",survey[[#This Row],[age]]&lt;35,"30-35",survey[[#This Row],[age]]&lt;40,"35-40")</f>
        <v>30-35</v>
      </c>
      <c r="J17" t="s">
        <v>20</v>
      </c>
      <c r="K17" t="s">
        <v>43</v>
      </c>
      <c r="L17" t="s">
        <v>44</v>
      </c>
    </row>
    <row r="18" spans="1:15" x14ac:dyDescent="0.2">
      <c r="A18" s="1">
        <v>46221.548692129632</v>
      </c>
      <c r="B18" t="s">
        <v>42</v>
      </c>
      <c r="C18" t="s">
        <v>33</v>
      </c>
      <c r="D18" t="str">
        <f>TRIM(survey[[#This Row],[What is your gender?]])</f>
        <v>female</v>
      </c>
      <c r="E18" t="str">
        <f>PROPER(survey[[#This Row],[Trim_Gender]])</f>
        <v>Female</v>
      </c>
      <c r="F18" t="str">
        <f>LEFT(survey[[#This Row],[Proper_Gender]],1)</f>
        <v>F</v>
      </c>
      <c r="G18" t="str">
        <f>LEFT(PROPER(TRIM(survey[[#This Row],[What is your gender?]])),1)</f>
        <v>F</v>
      </c>
      <c r="H18">
        <v>25</v>
      </c>
      <c r="I18" t="str" cm="1">
        <f t="array" ref="I18">_xlfn.IFS(survey[[#This Row],[age]]&lt; 25,"20-25",survey[[#This Row],[age]] &lt;30,"25-30",survey[[#This Row],[age]]&lt;35,"30-35",survey[[#This Row],[age]]&lt;40,"35-40")</f>
        <v>25-30</v>
      </c>
      <c r="J18" t="s">
        <v>66</v>
      </c>
      <c r="K18" t="s">
        <v>45</v>
      </c>
      <c r="L18" t="s">
        <v>46</v>
      </c>
      <c r="N18" t="s">
        <v>76</v>
      </c>
    </row>
    <row r="19" spans="1:15" x14ac:dyDescent="0.2">
      <c r="A19" s="1">
        <v>46221.548854166664</v>
      </c>
      <c r="B19" t="s">
        <v>15</v>
      </c>
      <c r="C19" t="s">
        <v>11</v>
      </c>
      <c r="D19" t="str">
        <f>TRIM(survey[[#This Row],[What is your gender?]])</f>
        <v>Female</v>
      </c>
      <c r="E19" t="str">
        <f>PROPER(survey[[#This Row],[Trim_Gender]])</f>
        <v>Female</v>
      </c>
      <c r="F19" t="str">
        <f>LEFT(survey[[#This Row],[Proper_Gender]],1)</f>
        <v>F</v>
      </c>
      <c r="G19" t="str">
        <f>LEFT(PROPER(TRIM(survey[[#This Row],[What is your gender?]])),1)</f>
        <v>F</v>
      </c>
      <c r="H19">
        <v>27</v>
      </c>
      <c r="I19" t="str" cm="1">
        <f t="array" ref="I19">_xlfn.IFS(survey[[#This Row],[age]]&lt; 25,"20-25",survey[[#This Row],[age]] &lt;30,"25-30",survey[[#This Row],[age]]&lt;35,"30-35",survey[[#This Row],[age]]&lt;40,"35-40")</f>
        <v>25-30</v>
      </c>
      <c r="J19" t="s">
        <v>66</v>
      </c>
      <c r="K19" t="s">
        <v>47</v>
      </c>
      <c r="L19" t="s">
        <v>48</v>
      </c>
    </row>
    <row r="20" spans="1:15" x14ac:dyDescent="0.2">
      <c r="A20" s="1">
        <v>46221.548877314817</v>
      </c>
      <c r="B20" t="s">
        <v>49</v>
      </c>
      <c r="C20" t="s">
        <v>7</v>
      </c>
      <c r="D20" t="str">
        <f>TRIM(survey[[#This Row],[What is your gender?]])</f>
        <v>Female</v>
      </c>
      <c r="E20" t="str">
        <f>PROPER(survey[[#This Row],[Trim_Gender]])</f>
        <v>Female</v>
      </c>
      <c r="F20" t="str">
        <f>LEFT(survey[[#This Row],[Proper_Gender]],1)</f>
        <v>F</v>
      </c>
      <c r="G20" t="str">
        <f>LEFT(PROPER(TRIM(survey[[#This Row],[What is your gender?]])),1)</f>
        <v>F</v>
      </c>
      <c r="H20">
        <v>31</v>
      </c>
      <c r="I20" t="str" cm="1">
        <f t="array" ref="I20">_xlfn.IFS(survey[[#This Row],[age]]&lt; 25,"20-25",survey[[#This Row],[age]] &lt;30,"25-30",survey[[#This Row],[age]]&lt;35,"30-35",survey[[#This Row],[age]]&lt;40,"35-40")</f>
        <v>30-35</v>
      </c>
      <c r="J20" t="s">
        <v>50</v>
      </c>
      <c r="K20" t="s">
        <v>20</v>
      </c>
      <c r="L20" t="s">
        <v>51</v>
      </c>
      <c r="O20">
        <f>COUNTIFS(survey[Gender],"F",survey[Which country is your favorite in ongoing FIFA worldcup?],"Spain")</f>
        <v>2</v>
      </c>
    </row>
    <row r="21" spans="1:15" x14ac:dyDescent="0.2">
      <c r="A21" s="1">
        <v>46221.549178240741</v>
      </c>
      <c r="B21" t="s">
        <v>39</v>
      </c>
      <c r="C21" t="s">
        <v>22</v>
      </c>
      <c r="D21" t="str">
        <f>TRIM(survey[[#This Row],[What is your gender?]])</f>
        <v>Male</v>
      </c>
      <c r="E21" t="str">
        <f>PROPER(survey[[#This Row],[Trim_Gender]])</f>
        <v>Male</v>
      </c>
      <c r="F21" t="str">
        <f>LEFT(survey[[#This Row],[Proper_Gender]],1)</f>
        <v>M</v>
      </c>
      <c r="G21" t="str">
        <f>LEFT(PROPER(TRIM(survey[[#This Row],[What is your gender?]])),1)</f>
        <v>M</v>
      </c>
      <c r="H21">
        <v>32</v>
      </c>
      <c r="I21" t="str" cm="1">
        <f t="array" ref="I21">_xlfn.IFS(survey[[#This Row],[age]]&lt; 25,"20-25",survey[[#This Row],[age]] &lt;30,"25-30",survey[[#This Row],[age]]&lt;35,"30-35",survey[[#This Row],[age]]&lt;40,"35-40")</f>
        <v>30-35</v>
      </c>
      <c r="J21" t="s">
        <v>52</v>
      </c>
      <c r="K21" t="s">
        <v>26</v>
      </c>
      <c r="L21" t="s">
        <v>53</v>
      </c>
    </row>
    <row r="22" spans="1:15" x14ac:dyDescent="0.2">
      <c r="A22" s="1">
        <v>46221.549201388887</v>
      </c>
      <c r="B22" t="s">
        <v>15</v>
      </c>
      <c r="C22" t="s">
        <v>33</v>
      </c>
      <c r="D22" t="str">
        <f>TRIM(survey[[#This Row],[What is your gender?]])</f>
        <v>female</v>
      </c>
      <c r="E22" t="str">
        <f>PROPER(survey[[#This Row],[Trim_Gender]])</f>
        <v>Female</v>
      </c>
      <c r="F22" t="str">
        <f>LEFT(survey[[#This Row],[Proper_Gender]],1)</f>
        <v>F</v>
      </c>
      <c r="G22" t="str">
        <f>LEFT(PROPER(TRIM(survey[[#This Row],[What is your gender?]])),1)</f>
        <v>F</v>
      </c>
      <c r="H22">
        <v>27</v>
      </c>
      <c r="I22" t="str" cm="1">
        <f t="array" ref="I22">_xlfn.IFS(survey[[#This Row],[age]]&lt; 25,"20-25",survey[[#This Row],[age]] &lt;30,"25-30",survey[[#This Row],[age]]&lt;35,"30-35",survey[[#This Row],[age]]&lt;40,"35-40")</f>
        <v>25-30</v>
      </c>
      <c r="J22" t="s">
        <v>26</v>
      </c>
      <c r="K22" t="s">
        <v>26</v>
      </c>
      <c r="L22" t="s">
        <v>54</v>
      </c>
    </row>
    <row r="23" spans="1:15" x14ac:dyDescent="0.2">
      <c r="A23" s="1">
        <v>46221.549293981479</v>
      </c>
      <c r="B23" t="s">
        <v>18</v>
      </c>
      <c r="C23" t="s">
        <v>11</v>
      </c>
      <c r="D23" t="str">
        <f>TRIM(survey[[#This Row],[What is your gender?]])</f>
        <v>Female</v>
      </c>
      <c r="E23" t="str">
        <f>PROPER(survey[[#This Row],[Trim_Gender]])</f>
        <v>Female</v>
      </c>
      <c r="F23" t="str">
        <f>LEFT(survey[[#This Row],[Proper_Gender]],1)</f>
        <v>F</v>
      </c>
      <c r="G23" t="str">
        <f>LEFT(PROPER(TRIM(survey[[#This Row],[What is your gender?]])),1)</f>
        <v>F</v>
      </c>
      <c r="H23">
        <v>23</v>
      </c>
      <c r="I23" t="str" cm="1">
        <f t="array" ref="I23">_xlfn.IFS(survey[[#This Row],[age]]&lt; 25,"20-25",survey[[#This Row],[age]] &lt;30,"25-30",survey[[#This Row],[age]]&lt;35,"30-35",survey[[#This Row],[age]]&lt;40,"35-40")</f>
        <v>20-25</v>
      </c>
      <c r="J23" t="s">
        <v>20</v>
      </c>
      <c r="K23" t="s">
        <v>20</v>
      </c>
      <c r="L23" t="s">
        <v>55</v>
      </c>
    </row>
    <row r="24" spans="1:15" x14ac:dyDescent="0.2">
      <c r="A24" s="1">
        <v>46221.549351851849</v>
      </c>
      <c r="B24" t="s">
        <v>15</v>
      </c>
      <c r="C24" t="s">
        <v>33</v>
      </c>
      <c r="D24" t="str">
        <f>TRIM(survey[[#This Row],[What is your gender?]])</f>
        <v>female</v>
      </c>
      <c r="E24" t="str">
        <f>PROPER(survey[[#This Row],[Trim_Gender]])</f>
        <v>Female</v>
      </c>
      <c r="F24" t="str">
        <f>LEFT(survey[[#This Row],[Proper_Gender]],1)</f>
        <v>F</v>
      </c>
      <c r="G24" t="str">
        <f>LEFT(PROPER(TRIM(survey[[#This Row],[What is your gender?]])),1)</f>
        <v>F</v>
      </c>
      <c r="H24">
        <v>28</v>
      </c>
      <c r="I24" t="str" cm="1">
        <f t="array" ref="I24">_xlfn.IFS(survey[[#This Row],[age]]&lt; 25,"20-25",survey[[#This Row],[age]] &lt;30,"25-30",survey[[#This Row],[age]]&lt;35,"30-35",survey[[#This Row],[age]]&lt;40,"35-40")</f>
        <v>25-30</v>
      </c>
      <c r="J24" t="s">
        <v>66</v>
      </c>
      <c r="K24" t="s">
        <v>26</v>
      </c>
      <c r="L24" t="s">
        <v>56</v>
      </c>
    </row>
    <row r="25" spans="1:15" x14ac:dyDescent="0.2">
      <c r="A25" s="1">
        <v>46221.54959490741</v>
      </c>
      <c r="B25" t="s">
        <v>18</v>
      </c>
      <c r="C25" t="s">
        <v>22</v>
      </c>
      <c r="D25" t="str">
        <f>TRIM(survey[[#This Row],[What is your gender?]])</f>
        <v>Male</v>
      </c>
      <c r="E25" t="str">
        <f>PROPER(survey[[#This Row],[Trim_Gender]])</f>
        <v>Male</v>
      </c>
      <c r="F25" t="str">
        <f>LEFT(survey[[#This Row],[Proper_Gender]],1)</f>
        <v>M</v>
      </c>
      <c r="G25" t="str">
        <f>LEFT(PROPER(TRIM(survey[[#This Row],[What is your gender?]])),1)</f>
        <v>M</v>
      </c>
      <c r="H25">
        <v>26</v>
      </c>
      <c r="I25" t="str" cm="1">
        <f t="array" ref="I25">_xlfn.IFS(survey[[#This Row],[age]]&lt; 25,"20-25",survey[[#This Row],[age]] &lt;30,"25-30",survey[[#This Row],[age]]&lt;35,"30-35",survey[[#This Row],[age]]&lt;40,"35-40")</f>
        <v>25-30</v>
      </c>
      <c r="J25" t="s">
        <v>26</v>
      </c>
      <c r="K25" t="s">
        <v>26</v>
      </c>
      <c r="L25" t="s">
        <v>57</v>
      </c>
    </row>
    <row r="26" spans="1:15" x14ac:dyDescent="0.2">
      <c r="A26" s="1">
        <v>46221.549710648149</v>
      </c>
      <c r="B26" t="s">
        <v>15</v>
      </c>
      <c r="C26" t="s">
        <v>11</v>
      </c>
      <c r="D26" t="str">
        <f>TRIM(survey[[#This Row],[What is your gender?]])</f>
        <v>Female</v>
      </c>
      <c r="E26" t="str">
        <f>PROPER(survey[[#This Row],[Trim_Gender]])</f>
        <v>Female</v>
      </c>
      <c r="F26" t="str">
        <f>LEFT(survey[[#This Row],[Proper_Gender]],1)</f>
        <v>F</v>
      </c>
      <c r="G26" t="str">
        <f>LEFT(PROPER(TRIM(survey[[#This Row],[What is your gender?]])),1)</f>
        <v>F</v>
      </c>
      <c r="H26">
        <v>29</v>
      </c>
      <c r="I26" t="str" cm="1">
        <f t="array" ref="I26">_xlfn.IFS(survey[[#This Row],[age]]&lt; 25,"20-25",survey[[#This Row],[age]] &lt;30,"25-30",survey[[#This Row],[age]]&lt;35,"30-35",survey[[#This Row],[age]]&lt;40,"35-40")</f>
        <v>25-30</v>
      </c>
      <c r="J26" t="s">
        <v>66</v>
      </c>
      <c r="K26" t="s">
        <v>26</v>
      </c>
      <c r="L26" t="s">
        <v>58</v>
      </c>
    </row>
    <row r="27" spans="1:15" x14ac:dyDescent="0.2">
      <c r="A27" s="1">
        <v>46221.550069444442</v>
      </c>
      <c r="B27" t="s">
        <v>18</v>
      </c>
      <c r="C27" t="s">
        <v>11</v>
      </c>
      <c r="D27" t="str">
        <f>TRIM(survey[[#This Row],[What is your gender?]])</f>
        <v>Female</v>
      </c>
      <c r="E27" t="str">
        <f>PROPER(survey[[#This Row],[Trim_Gender]])</f>
        <v>Female</v>
      </c>
      <c r="F27" t="str">
        <f>LEFT(survey[[#This Row],[Proper_Gender]],1)</f>
        <v>F</v>
      </c>
      <c r="G27" t="str">
        <f>LEFT(PROPER(TRIM(survey[[#This Row],[What is your gender?]])),1)</f>
        <v>F</v>
      </c>
      <c r="H27">
        <v>27</v>
      </c>
      <c r="I27" t="str" cm="1">
        <f t="array" ref="I27">_xlfn.IFS(survey[[#This Row],[age]]&lt; 25,"20-25",survey[[#This Row],[age]] &lt;30,"25-30",survey[[#This Row],[age]]&lt;35,"30-35",survey[[#This Row],[age]]&lt;40,"35-40")</f>
        <v>25-30</v>
      </c>
      <c r="J27" t="s">
        <v>66</v>
      </c>
      <c r="K27" t="s">
        <v>26</v>
      </c>
      <c r="L27" t="s">
        <v>59</v>
      </c>
    </row>
  </sheetData>
  <pageMargins left="0.7" right="0.7" top="0.75" bottom="0.75" header="0.3" footer="0.3"/>
  <pageSetup paperSize="9" orientation="portrait" horizontalDpi="0" verticalDpi="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0782D7A-CFD0-5045-9177-7D76D89C63DA}">
          <x14:formula1>
            <xm:f>Control!$A$3:$A$4</xm:f>
          </x14:formula1>
          <xm:sqref>G1:G27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FF2C-5EC6-D74C-B4A1-7763517AFE79}">
  <dimension ref="A1:L23"/>
  <sheetViews>
    <sheetView topLeftCell="H1" zoomScale="200" workbookViewId="0"/>
  </sheetViews>
  <sheetFormatPr baseColWidth="10" defaultRowHeight="16" x14ac:dyDescent="0.2"/>
  <cols>
    <col min="1" max="1" width="7.33203125" bestFit="1" customWidth="1"/>
    <col min="2" max="2" width="19" bestFit="1" customWidth="1"/>
    <col min="3" max="4" width="19" customWidth="1"/>
    <col min="5" max="5" width="9.1640625" bestFit="1" customWidth="1"/>
    <col min="6" max="6" width="13" bestFit="1" customWidth="1"/>
    <col min="7" max="7" width="13.83203125" bestFit="1" customWidth="1"/>
    <col min="8" max="8" width="30.83203125" bestFit="1" customWidth="1"/>
    <col min="9" max="9" width="13.1640625" bestFit="1" customWidth="1"/>
    <col min="10" max="10" width="13.1640625" style="5" customWidth="1"/>
    <col min="11" max="11" width="16.1640625" bestFit="1" customWidth="1"/>
  </cols>
  <sheetData>
    <row r="1" spans="1:12" x14ac:dyDescent="0.2">
      <c r="A1" t="s">
        <v>77</v>
      </c>
      <c r="B1" t="s">
        <v>78</v>
      </c>
      <c r="C1" t="s">
        <v>536</v>
      </c>
      <c r="D1" t="s">
        <v>537</v>
      </c>
      <c r="E1" t="s">
        <v>79</v>
      </c>
      <c r="F1" t="s">
        <v>80</v>
      </c>
      <c r="G1" t="s">
        <v>81</v>
      </c>
      <c r="H1" t="s">
        <v>82</v>
      </c>
      <c r="I1" t="s">
        <v>83</v>
      </c>
      <c r="J1" s="5" t="s">
        <v>126</v>
      </c>
      <c r="K1" t="s">
        <v>84</v>
      </c>
      <c r="L1" t="s">
        <v>85</v>
      </c>
    </row>
    <row r="2" spans="1:12" x14ac:dyDescent="0.2">
      <c r="A2">
        <v>1930</v>
      </c>
      <c r="B2" s="4" t="s">
        <v>121</v>
      </c>
      <c r="C2" s="4">
        <f>IFERROR(_xlfn.XLOOKUP(world_cup[[#This Row],[Host]],fifa_ranking_2026_06_08[team],fifa_ranking_2026_06_08[2026_rank]),999)</f>
        <v>16</v>
      </c>
      <c r="D2" s="4">
        <f>IFERROR(VLOOKUP(world_cup[[#This Row],[Host]],fifa_ranking_2026_06_08[[team]:[previous_rank]],4,FALSE),999)</f>
        <v>16</v>
      </c>
      <c r="E2">
        <v>13</v>
      </c>
      <c r="F2" s="4" t="s">
        <v>121</v>
      </c>
      <c r="G2" s="4" t="s">
        <v>26</v>
      </c>
      <c r="H2" s="4" t="s">
        <v>125</v>
      </c>
      <c r="I2">
        <v>590549</v>
      </c>
      <c r="J2" s="5">
        <f>world_cup[[#This Row],[Attendance]]/world_cup[[#This Row],[Teams]]</f>
        <v>45426.846153846156</v>
      </c>
      <c r="K2">
        <v>32808</v>
      </c>
      <c r="L2">
        <v>18</v>
      </c>
    </row>
    <row r="3" spans="1:12" x14ac:dyDescent="0.2">
      <c r="A3">
        <v>1934</v>
      </c>
      <c r="B3" s="4" t="s">
        <v>97</v>
      </c>
      <c r="C3" s="4">
        <f>IFERROR(_xlfn.XLOOKUP(world_cup[[#This Row],[Host]],fifa_ranking_2026_06_08[team],fifa_ranking_2026_06_08[2026_rank]),999)</f>
        <v>12</v>
      </c>
      <c r="D3" s="4">
        <f>IFERROR(VLOOKUP(world_cup[[#This Row],[Host]],fifa_ranking_2026_06_08[[team]:[previous_rank]],4,FALSE),999)</f>
        <v>12</v>
      </c>
      <c r="E3">
        <v>16</v>
      </c>
      <c r="F3" s="4" t="s">
        <v>97</v>
      </c>
      <c r="G3" s="4" t="s">
        <v>114</v>
      </c>
      <c r="H3" s="4" t="s">
        <v>124</v>
      </c>
      <c r="I3">
        <v>363000</v>
      </c>
      <c r="J3" s="5">
        <f>world_cup[[#This Row],[Attendance]]/world_cup[[#This Row],[Teams]]</f>
        <v>22687.5</v>
      </c>
      <c r="K3">
        <v>21353</v>
      </c>
      <c r="L3">
        <v>17</v>
      </c>
    </row>
    <row r="4" spans="1:12" x14ac:dyDescent="0.2">
      <c r="A4">
        <v>1938</v>
      </c>
      <c r="B4" s="4" t="s">
        <v>87</v>
      </c>
      <c r="C4" s="4">
        <f>IFERROR(_xlfn.XLOOKUP(world_cup[[#This Row],[Host]],fifa_ranking_2026_06_08[team],fifa_ranking_2026_06_08[2026_rank]),999)</f>
        <v>3</v>
      </c>
      <c r="D4" s="4">
        <f>IFERROR(VLOOKUP(world_cup[[#This Row],[Host]],fifa_ranking_2026_06_08[[team]:[previous_rank]],4,FALSE),999)</f>
        <v>3</v>
      </c>
      <c r="E4">
        <v>16</v>
      </c>
      <c r="F4" s="4" t="s">
        <v>97</v>
      </c>
      <c r="G4" s="4" t="s">
        <v>119</v>
      </c>
      <c r="H4" s="4" t="s">
        <v>123</v>
      </c>
      <c r="I4">
        <v>375700</v>
      </c>
      <c r="J4" s="5">
        <f>world_cup[[#This Row],[Attendance]]/world_cup[[#This Row],[Teams]]</f>
        <v>23481.25</v>
      </c>
      <c r="K4">
        <v>20872</v>
      </c>
      <c r="L4">
        <v>18</v>
      </c>
    </row>
    <row r="5" spans="1:12" x14ac:dyDescent="0.2">
      <c r="A5">
        <v>1950</v>
      </c>
      <c r="B5" s="4" t="s">
        <v>12</v>
      </c>
      <c r="C5" s="4">
        <f>IFERROR(_xlfn.XLOOKUP(world_cup[[#This Row],[Host]],fifa_ranking_2026_06_08[team],fifa_ranking_2026_06_08[2026_rank]),999)</f>
        <v>6</v>
      </c>
      <c r="D5" s="4">
        <f>IFERROR(VLOOKUP(world_cup[[#This Row],[Host]],fifa_ranking_2026_06_08[[team]:[previous_rank]],4,FALSE),999)</f>
        <v>6</v>
      </c>
      <c r="E5">
        <v>15</v>
      </c>
      <c r="F5" s="4" t="s">
        <v>121</v>
      </c>
      <c r="G5" s="4" t="s">
        <v>12</v>
      </c>
      <c r="H5" s="4" t="s">
        <v>122</v>
      </c>
      <c r="I5">
        <v>1045246</v>
      </c>
      <c r="J5" s="5">
        <f>world_cup[[#This Row],[Attendance]]/world_cup[[#This Row],[Teams]]</f>
        <v>69683.066666666666</v>
      </c>
      <c r="K5">
        <v>47511</v>
      </c>
      <c r="L5">
        <v>22</v>
      </c>
    </row>
    <row r="6" spans="1:12" x14ac:dyDescent="0.2">
      <c r="A6">
        <v>1954</v>
      </c>
      <c r="B6" s="4" t="s">
        <v>118</v>
      </c>
      <c r="C6" s="4">
        <f>IFERROR(_xlfn.XLOOKUP(world_cup[[#This Row],[Host]],fifa_ranking_2026_06_08[team],fifa_ranking_2026_06_08[2026_rank]),999)</f>
        <v>19</v>
      </c>
      <c r="D6" s="4">
        <f>IFERROR(VLOOKUP(world_cup[[#This Row],[Host]],fifa_ranking_2026_06_08[[team]:[previous_rank]],4,FALSE),999)</f>
        <v>19</v>
      </c>
      <c r="E6">
        <v>16</v>
      </c>
      <c r="F6" s="4" t="s">
        <v>92</v>
      </c>
      <c r="G6" s="4" t="s">
        <v>119</v>
      </c>
      <c r="H6" s="4" t="s">
        <v>120</v>
      </c>
      <c r="I6">
        <v>768607</v>
      </c>
      <c r="J6" s="5">
        <f>world_cup[[#This Row],[Attendance]]/world_cup[[#This Row],[Teams]]</f>
        <v>48037.9375</v>
      </c>
      <c r="K6">
        <v>29562</v>
      </c>
      <c r="L6">
        <v>26</v>
      </c>
    </row>
    <row r="7" spans="1:12" x14ac:dyDescent="0.2">
      <c r="A7">
        <v>1958</v>
      </c>
      <c r="B7" s="4" t="s">
        <v>116</v>
      </c>
      <c r="C7" s="4">
        <f>IFERROR(_xlfn.XLOOKUP(world_cup[[#This Row],[Host]],fifa_ranking_2026_06_08[team],fifa_ranking_2026_06_08[2026_rank]),999)</f>
        <v>38</v>
      </c>
      <c r="D7" s="4">
        <f>IFERROR(VLOOKUP(world_cup[[#This Row],[Host]],fifa_ranking_2026_06_08[[team]:[previous_rank]],4,FALSE),999)</f>
        <v>38</v>
      </c>
      <c r="E7">
        <v>16</v>
      </c>
      <c r="F7" s="4" t="s">
        <v>12</v>
      </c>
      <c r="G7" s="4" t="s">
        <v>116</v>
      </c>
      <c r="H7" s="4" t="s">
        <v>117</v>
      </c>
      <c r="I7">
        <v>819810</v>
      </c>
      <c r="J7" s="5">
        <f>world_cup[[#This Row],[Attendance]]/world_cup[[#This Row],[Teams]]</f>
        <v>51238.125</v>
      </c>
      <c r="K7">
        <v>23423</v>
      </c>
      <c r="L7">
        <v>35</v>
      </c>
    </row>
    <row r="8" spans="1:12" x14ac:dyDescent="0.2">
      <c r="A8">
        <v>1962</v>
      </c>
      <c r="B8" s="4" t="s">
        <v>113</v>
      </c>
      <c r="C8" s="4">
        <f>IFERROR(_xlfn.XLOOKUP(world_cup[[#This Row],[Host]],fifa_ranking_2026_06_08[team],fifa_ranking_2026_06_08[2026_rank]),999)</f>
        <v>55</v>
      </c>
      <c r="D8" s="4">
        <f>IFERROR(VLOOKUP(world_cup[[#This Row],[Host]],fifa_ranking_2026_06_08[[team]:[previous_rank]],4,FALSE),999)</f>
        <v>55</v>
      </c>
      <c r="E8">
        <v>16</v>
      </c>
      <c r="F8" s="4" t="s">
        <v>12</v>
      </c>
      <c r="G8" s="4" t="s">
        <v>114</v>
      </c>
      <c r="H8" s="4" t="s">
        <v>115</v>
      </c>
      <c r="I8">
        <v>893172</v>
      </c>
      <c r="J8" s="5">
        <f>world_cup[[#This Row],[Attendance]]/world_cup[[#This Row],[Teams]]</f>
        <v>55823.25</v>
      </c>
      <c r="K8">
        <v>27912</v>
      </c>
      <c r="L8">
        <v>32</v>
      </c>
    </row>
    <row r="9" spans="1:12" x14ac:dyDescent="0.2">
      <c r="A9">
        <v>1966</v>
      </c>
      <c r="B9" s="4" t="s">
        <v>52</v>
      </c>
      <c r="C9" s="4">
        <f>IFERROR(_xlfn.XLOOKUP(world_cup[[#This Row],[Host]],fifa_ranking_2026_06_08[team],fifa_ranking_2026_06_08[2026_rank]),999)</f>
        <v>4</v>
      </c>
      <c r="D9" s="4">
        <f>IFERROR(VLOOKUP(world_cup[[#This Row],[Host]],fifa_ranking_2026_06_08[[team]:[previous_rank]],4,FALSE),999)</f>
        <v>4</v>
      </c>
      <c r="E9">
        <v>16</v>
      </c>
      <c r="F9" s="4" t="s">
        <v>52</v>
      </c>
      <c r="G9" s="4" t="s">
        <v>104</v>
      </c>
      <c r="H9" s="4" t="s">
        <v>112</v>
      </c>
      <c r="I9">
        <v>1563135</v>
      </c>
      <c r="J9" s="5">
        <f>world_cup[[#This Row],[Attendance]]/world_cup[[#This Row],[Teams]]</f>
        <v>97695.9375</v>
      </c>
      <c r="K9">
        <v>48848</v>
      </c>
      <c r="L9">
        <v>32</v>
      </c>
    </row>
    <row r="10" spans="1:12" x14ac:dyDescent="0.2">
      <c r="A10">
        <v>1970</v>
      </c>
      <c r="B10" s="4" t="s">
        <v>106</v>
      </c>
      <c r="C10" s="4">
        <f>IFERROR(_xlfn.XLOOKUP(world_cup[[#This Row],[Host]],fifa_ranking_2026_06_08[team],fifa_ranking_2026_06_08[2026_rank]),999)</f>
        <v>14</v>
      </c>
      <c r="D10" s="4">
        <f>IFERROR(VLOOKUP(world_cup[[#This Row],[Host]],fifa_ranking_2026_06_08[[team]:[previous_rank]],4,FALSE),999)</f>
        <v>14</v>
      </c>
      <c r="E10">
        <v>16</v>
      </c>
      <c r="F10" s="4" t="s">
        <v>12</v>
      </c>
      <c r="G10" s="4" t="s">
        <v>97</v>
      </c>
      <c r="H10" s="4" t="s">
        <v>111</v>
      </c>
      <c r="I10">
        <v>1603975</v>
      </c>
      <c r="J10" s="5">
        <f>world_cup[[#This Row],[Attendance]]/world_cup[[#This Row],[Teams]]</f>
        <v>100248.4375</v>
      </c>
      <c r="K10">
        <v>50124</v>
      </c>
      <c r="L10">
        <v>32</v>
      </c>
    </row>
    <row r="11" spans="1:12" x14ac:dyDescent="0.2">
      <c r="A11">
        <v>1974</v>
      </c>
      <c r="B11" s="4" t="s">
        <v>92</v>
      </c>
      <c r="C11" s="4">
        <f>IFERROR(_xlfn.XLOOKUP(world_cup[[#This Row],[Host]],fifa_ranking_2026_06_08[team],fifa_ranking_2026_06_08[2026_rank]),999)</f>
        <v>10</v>
      </c>
      <c r="D11" s="4">
        <f>IFERROR(VLOOKUP(world_cup[[#This Row],[Host]],fifa_ranking_2026_06_08[[team]:[previous_rank]],4,FALSE),999)</f>
        <v>10</v>
      </c>
      <c r="E11">
        <v>16</v>
      </c>
      <c r="F11" s="4" t="s">
        <v>104</v>
      </c>
      <c r="G11" s="4" t="s">
        <v>95</v>
      </c>
      <c r="H11" s="4" t="s">
        <v>110</v>
      </c>
      <c r="I11">
        <v>1865753</v>
      </c>
      <c r="J11" s="5">
        <f>world_cup[[#This Row],[Attendance]]/world_cup[[#This Row],[Teams]]</f>
        <v>116609.5625</v>
      </c>
      <c r="K11">
        <v>49099</v>
      </c>
      <c r="L11">
        <v>38</v>
      </c>
    </row>
    <row r="12" spans="1:12" x14ac:dyDescent="0.2">
      <c r="A12">
        <v>1978</v>
      </c>
      <c r="B12" s="4" t="s">
        <v>26</v>
      </c>
      <c r="C12" s="4">
        <f>IFERROR(_xlfn.XLOOKUP(world_cup[[#This Row],[Host]],fifa_ranking_2026_06_08[team],fifa_ranking_2026_06_08[2026_rank]),999)</f>
        <v>1</v>
      </c>
      <c r="D12" s="4">
        <f>IFERROR(VLOOKUP(world_cup[[#This Row],[Host]],fifa_ranking_2026_06_08[[team]:[previous_rank]],4,FALSE),999)</f>
        <v>1</v>
      </c>
      <c r="E12">
        <v>16</v>
      </c>
      <c r="F12" s="4" t="s">
        <v>26</v>
      </c>
      <c r="G12" s="4" t="s">
        <v>95</v>
      </c>
      <c r="H12" s="4" t="s">
        <v>109</v>
      </c>
      <c r="I12">
        <v>1545791</v>
      </c>
      <c r="J12" s="5">
        <f>world_cup[[#This Row],[Attendance]]/world_cup[[#This Row],[Teams]]</f>
        <v>96611.9375</v>
      </c>
      <c r="K12">
        <v>40679</v>
      </c>
      <c r="L12">
        <v>38</v>
      </c>
    </row>
    <row r="13" spans="1:12" x14ac:dyDescent="0.2">
      <c r="A13">
        <v>1982</v>
      </c>
      <c r="B13" s="4" t="s">
        <v>20</v>
      </c>
      <c r="C13" s="4">
        <f>IFERROR(_xlfn.XLOOKUP(world_cup[[#This Row],[Host]],fifa_ranking_2026_06_08[team],fifa_ranking_2026_06_08[2026_rank]),999)</f>
        <v>2</v>
      </c>
      <c r="D13" s="4">
        <f>IFERROR(VLOOKUP(world_cup[[#This Row],[Host]],fifa_ranking_2026_06_08[[team]:[previous_rank]],4,FALSE),999)</f>
        <v>2</v>
      </c>
      <c r="E13">
        <v>24</v>
      </c>
      <c r="F13" s="4" t="s">
        <v>97</v>
      </c>
      <c r="G13" s="4" t="s">
        <v>104</v>
      </c>
      <c r="H13" s="4" t="s">
        <v>108</v>
      </c>
      <c r="I13">
        <v>2109723</v>
      </c>
      <c r="J13" s="5">
        <f>world_cup[[#This Row],[Attendance]]/world_cup[[#This Row],[Teams]]</f>
        <v>87905.125</v>
      </c>
      <c r="K13">
        <v>40572</v>
      </c>
      <c r="L13">
        <v>52</v>
      </c>
    </row>
    <row r="14" spans="1:12" x14ac:dyDescent="0.2">
      <c r="A14">
        <v>1986</v>
      </c>
      <c r="B14" s="4" t="s">
        <v>106</v>
      </c>
      <c r="C14" s="4">
        <f>IFERROR(_xlfn.XLOOKUP(world_cup[[#This Row],[Host]],fifa_ranking_2026_06_08[team],fifa_ranking_2026_06_08[2026_rank]),999)</f>
        <v>14</v>
      </c>
      <c r="D14" s="4">
        <f>IFERROR(VLOOKUP(world_cup[[#This Row],[Host]],fifa_ranking_2026_06_08[[team]:[previous_rank]],4,FALSE),999)</f>
        <v>14</v>
      </c>
      <c r="E14">
        <v>24</v>
      </c>
      <c r="F14" s="4" t="s">
        <v>26</v>
      </c>
      <c r="G14" s="4" t="s">
        <v>104</v>
      </c>
      <c r="H14" s="4" t="s">
        <v>107</v>
      </c>
      <c r="I14">
        <v>2394031</v>
      </c>
      <c r="J14" s="5">
        <f>world_cup[[#This Row],[Attendance]]/world_cup[[#This Row],[Teams]]</f>
        <v>99751.291666666672</v>
      </c>
      <c r="K14">
        <v>46039</v>
      </c>
      <c r="L14">
        <v>52</v>
      </c>
    </row>
    <row r="15" spans="1:12" x14ac:dyDescent="0.2">
      <c r="A15">
        <v>1990</v>
      </c>
      <c r="B15" s="4" t="s">
        <v>97</v>
      </c>
      <c r="C15" s="4">
        <f>IFERROR(_xlfn.XLOOKUP(world_cup[[#This Row],[Host]],fifa_ranking_2026_06_08[team],fifa_ranking_2026_06_08[2026_rank]),999)</f>
        <v>12</v>
      </c>
      <c r="D15" s="4">
        <f>IFERROR(VLOOKUP(world_cup[[#This Row],[Host]],fifa_ranking_2026_06_08[[team]:[previous_rank]],4,FALSE),999)</f>
        <v>12</v>
      </c>
      <c r="E15">
        <v>24</v>
      </c>
      <c r="F15" s="4" t="s">
        <v>104</v>
      </c>
      <c r="G15" s="4" t="s">
        <v>26</v>
      </c>
      <c r="H15" s="4" t="s">
        <v>105</v>
      </c>
      <c r="I15">
        <v>2516215</v>
      </c>
      <c r="J15" s="5">
        <f>world_cup[[#This Row],[Attendance]]/world_cup[[#This Row],[Teams]]</f>
        <v>104842.29166666667</v>
      </c>
      <c r="K15">
        <v>48389</v>
      </c>
      <c r="L15">
        <v>52</v>
      </c>
    </row>
    <row r="16" spans="1:12" x14ac:dyDescent="0.2">
      <c r="A16">
        <v>1994</v>
      </c>
      <c r="B16" s="4" t="s">
        <v>102</v>
      </c>
      <c r="C16" s="4">
        <f>IFERROR(_xlfn.XLOOKUP(world_cup[[#This Row],[Host]],fifa_ranking_2026_06_08[team],fifa_ranking_2026_06_08[2026_rank]),999)</f>
        <v>999</v>
      </c>
      <c r="D16" s="4">
        <f>IFERROR(VLOOKUP(world_cup[[#This Row],[Host]],fifa_ranking_2026_06_08[[team]:[previous_rank]],4,FALSE),999)</f>
        <v>999</v>
      </c>
      <c r="E16">
        <v>24</v>
      </c>
      <c r="F16" s="4" t="s">
        <v>12</v>
      </c>
      <c r="G16" s="4" t="s">
        <v>97</v>
      </c>
      <c r="H16" s="4" t="s">
        <v>103</v>
      </c>
      <c r="I16">
        <v>3587538</v>
      </c>
      <c r="J16" s="5">
        <f>world_cup[[#This Row],[Attendance]]/world_cup[[#This Row],[Teams]]</f>
        <v>149480.75</v>
      </c>
      <c r="K16">
        <v>68991</v>
      </c>
      <c r="L16">
        <v>52</v>
      </c>
    </row>
    <row r="17" spans="1:12" x14ac:dyDescent="0.2">
      <c r="A17">
        <v>1998</v>
      </c>
      <c r="B17" s="4" t="s">
        <v>87</v>
      </c>
      <c r="C17" s="4">
        <f>IFERROR(_xlfn.XLOOKUP(world_cup[[#This Row],[Host]],fifa_ranking_2026_06_08[team],fifa_ranking_2026_06_08[2026_rank]),999)</f>
        <v>3</v>
      </c>
      <c r="D17" s="4">
        <f>IFERROR(VLOOKUP(world_cup[[#This Row],[Host]],fifa_ranking_2026_06_08[[team]:[previous_rank]],4,FALSE),999)</f>
        <v>3</v>
      </c>
      <c r="E17">
        <v>32</v>
      </c>
      <c r="F17" s="4" t="s">
        <v>87</v>
      </c>
      <c r="G17" s="4" t="s">
        <v>12</v>
      </c>
      <c r="H17" s="4" t="s">
        <v>101</v>
      </c>
      <c r="I17">
        <v>2903477</v>
      </c>
      <c r="J17" s="5">
        <f>world_cup[[#This Row],[Attendance]]/world_cup[[#This Row],[Teams]]</f>
        <v>90733.65625</v>
      </c>
      <c r="K17">
        <v>45367</v>
      </c>
      <c r="L17">
        <v>64</v>
      </c>
    </row>
    <row r="18" spans="1:12" x14ac:dyDescent="0.2">
      <c r="A18">
        <v>2002</v>
      </c>
      <c r="B18" s="4" t="s">
        <v>99</v>
      </c>
      <c r="C18" s="4">
        <f>IFERROR(_xlfn.XLOOKUP(world_cup[[#This Row],[Host]],fifa_ranking_2026_06_08[team],fifa_ranking_2026_06_08[2026_rank]),999)</f>
        <v>999</v>
      </c>
      <c r="D18" s="4">
        <f>IFERROR(VLOOKUP(world_cup[[#This Row],[Host]],fifa_ranking_2026_06_08[[team]:[previous_rank]],4,FALSE),999)</f>
        <v>999</v>
      </c>
      <c r="E18">
        <v>32</v>
      </c>
      <c r="F18" s="4" t="s">
        <v>12</v>
      </c>
      <c r="G18" s="4" t="s">
        <v>92</v>
      </c>
      <c r="H18" s="4" t="s">
        <v>100</v>
      </c>
      <c r="I18">
        <v>2705337</v>
      </c>
      <c r="J18" s="5">
        <f>world_cup[[#This Row],[Attendance]]/world_cup[[#This Row],[Teams]]</f>
        <v>84541.78125</v>
      </c>
      <c r="K18">
        <v>42271</v>
      </c>
      <c r="L18">
        <v>64</v>
      </c>
    </row>
    <row r="19" spans="1:12" x14ac:dyDescent="0.2">
      <c r="A19">
        <v>2006</v>
      </c>
      <c r="B19" s="4" t="s">
        <v>92</v>
      </c>
      <c r="C19" s="4">
        <f>IFERROR(_xlfn.XLOOKUP(world_cup[[#This Row],[Host]],fifa_ranking_2026_06_08[team],fifa_ranking_2026_06_08[2026_rank]),999)</f>
        <v>10</v>
      </c>
      <c r="D19" s="4">
        <f>IFERROR(VLOOKUP(world_cup[[#This Row],[Host]],fifa_ranking_2026_06_08[[team]:[previous_rank]],4,FALSE),999)</f>
        <v>10</v>
      </c>
      <c r="E19">
        <v>32</v>
      </c>
      <c r="F19" s="4" t="s">
        <v>97</v>
      </c>
      <c r="G19" s="4" t="s">
        <v>87</v>
      </c>
      <c r="H19" s="4" t="s">
        <v>98</v>
      </c>
      <c r="I19">
        <v>3352605</v>
      </c>
      <c r="J19" s="5">
        <f>world_cup[[#This Row],[Attendance]]/world_cup[[#This Row],[Teams]]</f>
        <v>104768.90625</v>
      </c>
      <c r="K19">
        <v>52384</v>
      </c>
      <c r="L19">
        <v>64</v>
      </c>
    </row>
    <row r="20" spans="1:12" x14ac:dyDescent="0.2">
      <c r="A20">
        <v>2010</v>
      </c>
      <c r="B20" s="4" t="s">
        <v>94</v>
      </c>
      <c r="C20" s="4">
        <f>IFERROR(_xlfn.XLOOKUP(world_cup[[#This Row],[Host]],fifa_ranking_2026_06_08[team],fifa_ranking_2026_06_08[2026_rank]),999)</f>
        <v>60</v>
      </c>
      <c r="D20" s="4">
        <f>IFERROR(VLOOKUP(world_cup[[#This Row],[Host]],fifa_ranking_2026_06_08[[team]:[previous_rank]],4,FALSE),999)</f>
        <v>60</v>
      </c>
      <c r="E20">
        <v>32</v>
      </c>
      <c r="F20" s="4" t="s">
        <v>20</v>
      </c>
      <c r="G20" s="4" t="s">
        <v>95</v>
      </c>
      <c r="H20" s="4" t="s">
        <v>96</v>
      </c>
      <c r="I20">
        <v>3178856</v>
      </c>
      <c r="J20" s="5">
        <f>world_cup[[#This Row],[Attendance]]/world_cup[[#This Row],[Teams]]</f>
        <v>99339.25</v>
      </c>
      <c r="K20">
        <v>49670</v>
      </c>
      <c r="L20">
        <v>64</v>
      </c>
    </row>
    <row r="21" spans="1:12" x14ac:dyDescent="0.2">
      <c r="A21">
        <v>2014</v>
      </c>
      <c r="B21" s="4" t="s">
        <v>12</v>
      </c>
      <c r="C21" s="4">
        <f>IFERROR(_xlfn.XLOOKUP(world_cup[[#This Row],[Host]],fifa_ranking_2026_06_08[team],fifa_ranking_2026_06_08[2026_rank]),999)</f>
        <v>6</v>
      </c>
      <c r="D21" s="4">
        <f>IFERROR(VLOOKUP(world_cup[[#This Row],[Host]],fifa_ranking_2026_06_08[[team]:[previous_rank]],4,FALSE),999)</f>
        <v>6</v>
      </c>
      <c r="E21">
        <v>32</v>
      </c>
      <c r="F21" s="4" t="s">
        <v>92</v>
      </c>
      <c r="G21" s="4" t="s">
        <v>26</v>
      </c>
      <c r="H21" s="4" t="s">
        <v>93</v>
      </c>
      <c r="I21">
        <v>3429873</v>
      </c>
      <c r="J21" s="5">
        <f>world_cup[[#This Row],[Attendance]]/world_cup[[#This Row],[Teams]]</f>
        <v>107183.53125</v>
      </c>
      <c r="K21">
        <v>53592</v>
      </c>
      <c r="L21">
        <v>64</v>
      </c>
    </row>
    <row r="22" spans="1:12" x14ac:dyDescent="0.2">
      <c r="A22">
        <v>2018</v>
      </c>
      <c r="B22" s="4" t="s">
        <v>89</v>
      </c>
      <c r="C22" s="4">
        <f>IFERROR(_xlfn.XLOOKUP(world_cup[[#This Row],[Host]],fifa_ranking_2026_06_08[team],fifa_ranking_2026_06_08[2026_rank]),999)</f>
        <v>35</v>
      </c>
      <c r="D22" s="4">
        <f>IFERROR(VLOOKUP(world_cup[[#This Row],[Host]],fifa_ranking_2026_06_08[[team]:[previous_rank]],4,FALSE),999)</f>
        <v>35</v>
      </c>
      <c r="E22">
        <v>32</v>
      </c>
      <c r="F22" s="4" t="s">
        <v>87</v>
      </c>
      <c r="G22" s="4" t="s">
        <v>90</v>
      </c>
      <c r="H22" s="4" t="s">
        <v>91</v>
      </c>
      <c r="I22">
        <v>3031768</v>
      </c>
      <c r="J22" s="5">
        <f>world_cup[[#This Row],[Attendance]]/world_cup[[#This Row],[Teams]]</f>
        <v>94742.75</v>
      </c>
      <c r="K22">
        <v>47371</v>
      </c>
      <c r="L22">
        <v>64</v>
      </c>
    </row>
    <row r="23" spans="1:12" x14ac:dyDescent="0.2">
      <c r="A23">
        <v>2022</v>
      </c>
      <c r="B23" s="4" t="s">
        <v>86</v>
      </c>
      <c r="C23" s="4">
        <f>IFERROR(_xlfn.XLOOKUP(world_cup[[#This Row],[Host]],fifa_ranking_2026_06_08[team],fifa_ranking_2026_06_08[2026_rank]),999)</f>
        <v>57</v>
      </c>
      <c r="D23" s="4">
        <f>IFERROR(VLOOKUP(world_cup[[#This Row],[Host]],fifa_ranking_2026_06_08[[team]:[previous_rank]],4,FALSE),999)</f>
        <v>57</v>
      </c>
      <c r="E23">
        <v>32</v>
      </c>
      <c r="F23" s="4" t="s">
        <v>26</v>
      </c>
      <c r="G23" s="4" t="s">
        <v>87</v>
      </c>
      <c r="H23" s="4" t="s">
        <v>88</v>
      </c>
      <c r="I23">
        <v>3404252</v>
      </c>
      <c r="J23" s="5">
        <f>world_cup[[#This Row],[Attendance]]/world_cup[[#This Row],[Teams]]</f>
        <v>106382.875</v>
      </c>
      <c r="K23">
        <v>53191</v>
      </c>
      <c r="L23">
        <v>64</v>
      </c>
    </row>
  </sheetData>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21D3-1F96-6F45-8B72-7E70F0B1C3D3}">
  <dimension ref="A1:J212"/>
  <sheetViews>
    <sheetView zoomScale="177" workbookViewId="0">
      <selection activeCell="G12" sqref="G12"/>
    </sheetView>
  </sheetViews>
  <sheetFormatPr baseColWidth="10" defaultRowHeight="16" x14ac:dyDescent="0.2"/>
  <cols>
    <col min="1" max="1" width="25.6640625" bestFit="1" customWidth="1"/>
    <col min="2" max="2" width="12.83203125" bestFit="1" customWidth="1"/>
    <col min="3" max="3" width="13.33203125" bestFit="1" customWidth="1"/>
    <col min="4" max="4" width="11.33203125" customWidth="1"/>
    <col min="5" max="5" width="16.6640625" bestFit="1" customWidth="1"/>
    <col min="6" max="6" width="16.6640625" customWidth="1"/>
    <col min="7" max="7" width="15.1640625" bestFit="1" customWidth="1"/>
    <col min="8" max="8" width="12.1640625" bestFit="1" customWidth="1"/>
    <col min="10" max="10" width="16.1640625" bestFit="1" customWidth="1"/>
  </cols>
  <sheetData>
    <row r="1" spans="1:10" x14ac:dyDescent="0.2">
      <c r="A1" t="s">
        <v>127</v>
      </c>
      <c r="B1" t="s">
        <v>128</v>
      </c>
      <c r="C1" t="s">
        <v>129</v>
      </c>
      <c r="D1" t="s">
        <v>544</v>
      </c>
      <c r="E1" t="s">
        <v>543</v>
      </c>
      <c r="F1" t="s">
        <v>545</v>
      </c>
      <c r="G1" t="s">
        <v>131</v>
      </c>
      <c r="H1" t="s">
        <v>132</v>
      </c>
      <c r="I1" t="s">
        <v>133</v>
      </c>
      <c r="J1" t="s">
        <v>134</v>
      </c>
    </row>
    <row r="2" spans="1:10" x14ac:dyDescent="0.2">
      <c r="A2" s="4" t="s">
        <v>26</v>
      </c>
      <c r="B2" s="4" t="s">
        <v>135</v>
      </c>
      <c r="C2" s="4" t="s">
        <v>136</v>
      </c>
      <c r="D2">
        <v>1</v>
      </c>
      <c r="E2" cm="1">
        <f t="array" ref="E2">_xlfn.XLOOKUP(fifa_ranking_2026_06_08[[#This Row],[team]],fifa_ranking_2022_10_06[[#All],[team]],fifa_ranking_2022_10_06[[#All],[rank]])</f>
        <v>3</v>
      </c>
      <c r="F2">
        <f>fifa_ranking_2026_06_08[[#This Row],[2022_rank]]-fifa_ranking_2026_06_08[[#This Row],[2026_rank]]</f>
        <v>2</v>
      </c>
      <c r="G2">
        <v>3</v>
      </c>
      <c r="H2">
        <v>1876.1183309999999</v>
      </c>
      <c r="I2">
        <v>1874.8148349999999</v>
      </c>
      <c r="J2">
        <v>59</v>
      </c>
    </row>
    <row r="3" spans="1:10" x14ac:dyDescent="0.2">
      <c r="A3" s="4" t="s">
        <v>20</v>
      </c>
      <c r="B3" s="4" t="s">
        <v>137</v>
      </c>
      <c r="C3" s="4" t="s">
        <v>138</v>
      </c>
      <c r="D3">
        <v>2</v>
      </c>
      <c r="E3" cm="1">
        <f t="array" ref="E3">_xlfn.XLOOKUP(fifa_ranking_2026_06_08[[#This Row],[team]],fifa_ranking_2022_10_06[[#All],[team]],fifa_ranking_2022_10_06[[#All],[rank]])</f>
        <v>7</v>
      </c>
      <c r="F3">
        <f>fifa_ranking_2026_06_08[[#This Row],[2022_rank]]-fifa_ranking_2026_06_08[[#This Row],[2026_rank]]</f>
        <v>5</v>
      </c>
      <c r="G3">
        <v>2</v>
      </c>
      <c r="H3">
        <v>1873.013187</v>
      </c>
      <c r="I3">
        <v>1876.395199</v>
      </c>
      <c r="J3">
        <v>56</v>
      </c>
    </row>
    <row r="4" spans="1:10" x14ac:dyDescent="0.2">
      <c r="A4" s="4" t="s">
        <v>87</v>
      </c>
      <c r="B4" s="4" t="s">
        <v>139</v>
      </c>
      <c r="C4" s="4" t="s">
        <v>138</v>
      </c>
      <c r="D4">
        <v>3</v>
      </c>
      <c r="E4" cm="1">
        <f t="array" ref="E4">_xlfn.XLOOKUP(fifa_ranking_2026_06_08[[#This Row],[team]],fifa_ranking_2022_10_06[[#All],[team]],fifa_ranking_2022_10_06[[#All],[rank]])</f>
        <v>4</v>
      </c>
      <c r="F4">
        <f>fifa_ranking_2026_06_08[[#This Row],[2022_rank]]-fifa_ranking_2026_06_08[[#This Row],[2026_rank]]</f>
        <v>1</v>
      </c>
      <c r="G4">
        <v>1</v>
      </c>
      <c r="H4">
        <v>1869.428449</v>
      </c>
      <c r="I4">
        <v>1877.322731</v>
      </c>
      <c r="J4">
        <v>57</v>
      </c>
    </row>
    <row r="5" spans="1:10" x14ac:dyDescent="0.2">
      <c r="A5" s="4" t="s">
        <v>52</v>
      </c>
      <c r="B5" s="4" t="s">
        <v>140</v>
      </c>
      <c r="C5" s="4" t="s">
        <v>138</v>
      </c>
      <c r="D5">
        <v>4</v>
      </c>
      <c r="E5" cm="1">
        <f t="array" ref="E5">_xlfn.XLOOKUP(fifa_ranking_2026_06_08[[#This Row],[team]],fifa_ranking_2022_10_06[[#All],[team]],fifa_ranking_2022_10_06[[#All],[rank]])</f>
        <v>5</v>
      </c>
      <c r="F5">
        <f>fifa_ranking_2026_06_08[[#This Row],[2022_rank]]-fifa_ranking_2026_06_08[[#This Row],[2026_rank]]</f>
        <v>1</v>
      </c>
      <c r="G5">
        <v>4</v>
      </c>
      <c r="H5">
        <v>1827.0486780000001</v>
      </c>
      <c r="I5">
        <v>1825.9654820000001</v>
      </c>
      <c r="J5">
        <v>57</v>
      </c>
    </row>
    <row r="6" spans="1:10" x14ac:dyDescent="0.2">
      <c r="A6" s="4" t="s">
        <v>141</v>
      </c>
      <c r="B6" s="4" t="s">
        <v>142</v>
      </c>
      <c r="C6" s="4" t="s">
        <v>138</v>
      </c>
      <c r="D6">
        <v>5</v>
      </c>
      <c r="E6" cm="1">
        <f t="array" ref="E6">_xlfn.XLOOKUP(fifa_ranking_2026_06_08[[#This Row],[team]],fifa_ranking_2022_10_06[[#All],[team]],fifa_ranking_2022_10_06[[#All],[rank]])</f>
        <v>9</v>
      </c>
      <c r="F6">
        <f>fifa_ranking_2026_06_08[[#This Row],[2022_rank]]-fifa_ranking_2026_06_08[[#This Row],[2026_rank]]</f>
        <v>4</v>
      </c>
      <c r="G6">
        <v>5</v>
      </c>
      <c r="H6">
        <v>1766.177547</v>
      </c>
      <c r="I6">
        <v>1763.8344059999999</v>
      </c>
      <c r="J6">
        <v>56</v>
      </c>
    </row>
    <row r="7" spans="1:10" x14ac:dyDescent="0.2">
      <c r="A7" s="4" t="s">
        <v>12</v>
      </c>
      <c r="B7" s="4" t="s">
        <v>143</v>
      </c>
      <c r="C7" s="4" t="s">
        <v>136</v>
      </c>
      <c r="D7">
        <v>6</v>
      </c>
      <c r="E7" cm="1">
        <f t="array" ref="E7">_xlfn.XLOOKUP(fifa_ranking_2026_06_08[[#This Row],[team]],fifa_ranking_2022_10_06[[#All],[team]],fifa_ranking_2022_10_06[[#All],[rank]])</f>
        <v>1</v>
      </c>
      <c r="F7">
        <f>fifa_ranking_2026_06_08[[#This Row],[2022_rank]]-fifa_ranking_2026_06_08[[#This Row],[2026_rank]]</f>
        <v>-5</v>
      </c>
      <c r="G7">
        <v>6</v>
      </c>
      <c r="H7">
        <v>1765.856297</v>
      </c>
      <c r="I7">
        <v>1761.16093</v>
      </c>
      <c r="J7">
        <v>55</v>
      </c>
    </row>
    <row r="8" spans="1:10" x14ac:dyDescent="0.2">
      <c r="A8" s="4" t="s">
        <v>144</v>
      </c>
      <c r="B8" s="4" t="s">
        <v>145</v>
      </c>
      <c r="C8" s="4" t="s">
        <v>146</v>
      </c>
      <c r="D8">
        <v>7</v>
      </c>
      <c r="E8" cm="1">
        <f t="array" ref="E8">_xlfn.XLOOKUP(fifa_ranking_2026_06_08[[#This Row],[team]],fifa_ranking_2022_10_06[[#All],[team]],fifa_ranking_2022_10_06[[#All],[rank]])</f>
        <v>22</v>
      </c>
      <c r="F8">
        <f>fifa_ranking_2026_06_08[[#This Row],[2022_rank]]-fifa_ranking_2026_06_08[[#This Row],[2026_rank]]</f>
        <v>15</v>
      </c>
      <c r="G8">
        <v>8</v>
      </c>
      <c r="H8">
        <v>1755.100232</v>
      </c>
      <c r="I8">
        <v>1755.86841</v>
      </c>
      <c r="J8">
        <v>87</v>
      </c>
    </row>
    <row r="9" spans="1:10" x14ac:dyDescent="0.2">
      <c r="A9" s="4" t="s">
        <v>95</v>
      </c>
      <c r="B9" s="4" t="s">
        <v>147</v>
      </c>
      <c r="C9" s="4" t="s">
        <v>138</v>
      </c>
      <c r="D9">
        <v>8</v>
      </c>
      <c r="E9" cm="1">
        <f t="array" ref="E9">_xlfn.XLOOKUP(fifa_ranking_2026_06_08[[#This Row],[team]],fifa_ranking_2022_10_06[[#All],[team]],fifa_ranking_2022_10_06[[#All],[rank]])</f>
        <v>8</v>
      </c>
      <c r="F9">
        <f>fifa_ranking_2026_06_08[[#This Row],[2022_rank]]-fifa_ranking_2026_06_08[[#This Row],[2026_rank]]</f>
        <v>0</v>
      </c>
      <c r="G9">
        <v>7</v>
      </c>
      <c r="H9">
        <v>1751.097835</v>
      </c>
      <c r="I9">
        <v>1757.8744280000001</v>
      </c>
      <c r="J9">
        <v>56</v>
      </c>
    </row>
    <row r="10" spans="1:10" x14ac:dyDescent="0.2">
      <c r="A10" s="4" t="s">
        <v>148</v>
      </c>
      <c r="B10" s="4" t="s">
        <v>149</v>
      </c>
      <c r="C10" s="4" t="s">
        <v>138</v>
      </c>
      <c r="D10">
        <v>9</v>
      </c>
      <c r="E10" cm="1">
        <f t="array" ref="E10">_xlfn.XLOOKUP(fifa_ranking_2026_06_08[[#This Row],[team]],fifa_ranking_2022_10_06[[#All],[team]],fifa_ranking_2022_10_06[[#All],[rank]])</f>
        <v>2</v>
      </c>
      <c r="F10">
        <f>fifa_ranking_2026_06_08[[#This Row],[2022_rank]]-fifa_ranking_2026_06_08[[#This Row],[2026_rank]]</f>
        <v>-7</v>
      </c>
      <c r="G10">
        <v>9</v>
      </c>
      <c r="H10">
        <v>1742.2359449999999</v>
      </c>
      <c r="I10">
        <v>1734.7148319999999</v>
      </c>
      <c r="J10">
        <v>54</v>
      </c>
    </row>
    <row r="11" spans="1:10" x14ac:dyDescent="0.2">
      <c r="A11" s="4" t="s">
        <v>92</v>
      </c>
      <c r="B11" s="4" t="s">
        <v>150</v>
      </c>
      <c r="C11" s="4" t="s">
        <v>138</v>
      </c>
      <c r="D11">
        <v>10</v>
      </c>
      <c r="E11" cm="1">
        <f t="array" ref="E11">_xlfn.XLOOKUP(fifa_ranking_2026_06_08[[#This Row],[team]],fifa_ranking_2022_10_06[[#All],[team]],fifa_ranking_2022_10_06[[#All],[rank]])</f>
        <v>11</v>
      </c>
      <c r="F11">
        <f>fifa_ranking_2026_06_08[[#This Row],[2022_rank]]-fifa_ranking_2026_06_08[[#This Row],[2026_rank]]</f>
        <v>1</v>
      </c>
      <c r="G11">
        <v>10</v>
      </c>
      <c r="H11">
        <v>1735.771984</v>
      </c>
      <c r="I11">
        <v>1730.3713600000001</v>
      </c>
      <c r="J11">
        <v>55</v>
      </c>
    </row>
    <row r="12" spans="1:10" x14ac:dyDescent="0.2">
      <c r="A12" s="4" t="s">
        <v>90</v>
      </c>
      <c r="B12" s="4" t="s">
        <v>151</v>
      </c>
      <c r="C12" s="4" t="s">
        <v>138</v>
      </c>
      <c r="D12">
        <v>11</v>
      </c>
      <c r="E12" cm="1">
        <f t="array" ref="E12">_xlfn.XLOOKUP(fifa_ranking_2026_06_08[[#This Row],[team]],fifa_ranking_2022_10_06[[#All],[team]],fifa_ranking_2022_10_06[[#All],[rank]])</f>
        <v>12</v>
      </c>
      <c r="F12">
        <f>fifa_ranking_2026_06_08[[#This Row],[2022_rank]]-fifa_ranking_2026_06_08[[#This Row],[2026_rank]]</f>
        <v>1</v>
      </c>
      <c r="G12">
        <v>11</v>
      </c>
      <c r="H12">
        <v>1714.8655719999999</v>
      </c>
      <c r="I12">
        <v>1717.0664019999999</v>
      </c>
      <c r="J12">
        <v>57</v>
      </c>
    </row>
    <row r="13" spans="1:10" x14ac:dyDescent="0.2">
      <c r="A13" s="4" t="s">
        <v>97</v>
      </c>
      <c r="B13" s="4" t="s">
        <v>152</v>
      </c>
      <c r="C13" s="4" t="s">
        <v>138</v>
      </c>
      <c r="D13">
        <v>12</v>
      </c>
      <c r="E13" cm="1">
        <f t="array" ref="E13">_xlfn.XLOOKUP(fifa_ranking_2026_06_08[[#This Row],[team]],fifa_ranking_2022_10_06[[#All],[team]],fifa_ranking_2022_10_06[[#All],[rank]])</f>
        <v>6</v>
      </c>
      <c r="F13">
        <f>fifa_ranking_2026_06_08[[#This Row],[2022_rank]]-fifa_ranking_2026_06_08[[#This Row],[2026_rank]]</f>
        <v>-6</v>
      </c>
      <c r="G13">
        <v>12</v>
      </c>
      <c r="H13">
        <v>1704.7338360000001</v>
      </c>
      <c r="I13">
        <v>1700.370754</v>
      </c>
      <c r="J13">
        <v>53</v>
      </c>
    </row>
    <row r="14" spans="1:10" x14ac:dyDescent="0.2">
      <c r="A14" s="4" t="s">
        <v>153</v>
      </c>
      <c r="B14" s="4" t="s">
        <v>154</v>
      </c>
      <c r="C14" s="4" t="s">
        <v>136</v>
      </c>
      <c r="D14">
        <v>13</v>
      </c>
      <c r="E14" cm="1">
        <f t="array" ref="E14">_xlfn.XLOOKUP(fifa_ranking_2026_06_08[[#This Row],[team]],fifa_ranking_2022_10_06[[#All],[team]],fifa_ranking_2022_10_06[[#All],[rank]])</f>
        <v>17</v>
      </c>
      <c r="F14">
        <f>fifa_ranking_2026_06_08[[#This Row],[2022_rank]]-fifa_ranking_2026_06_08[[#This Row],[2026_rank]]</f>
        <v>4</v>
      </c>
      <c r="G14">
        <v>13</v>
      </c>
      <c r="H14">
        <v>1698.351858</v>
      </c>
      <c r="I14">
        <v>1693.0893189999999</v>
      </c>
      <c r="J14">
        <v>57</v>
      </c>
    </row>
    <row r="15" spans="1:10" x14ac:dyDescent="0.2">
      <c r="A15" s="4" t="s">
        <v>106</v>
      </c>
      <c r="B15" s="4" t="s">
        <v>155</v>
      </c>
      <c r="C15" s="4" t="s">
        <v>156</v>
      </c>
      <c r="D15">
        <v>14</v>
      </c>
      <c r="E15" cm="1">
        <f t="array" ref="E15">_xlfn.XLOOKUP(fifa_ranking_2026_06_08[[#This Row],[team]],fifa_ranking_2022_10_06[[#All],[team]],fifa_ranking_2022_10_06[[#All],[rank]])</f>
        <v>13</v>
      </c>
      <c r="F15">
        <f>fifa_ranking_2026_06_08[[#This Row],[2022_rank]]-fifa_ranking_2026_06_08[[#This Row],[2026_rank]]</f>
        <v>-1</v>
      </c>
      <c r="G15">
        <v>15</v>
      </c>
      <c r="H15">
        <v>1687.481759</v>
      </c>
      <c r="I15">
        <v>1681.028247</v>
      </c>
      <c r="J15">
        <v>83</v>
      </c>
    </row>
    <row r="16" spans="1:10" x14ac:dyDescent="0.2">
      <c r="A16" s="4" t="s">
        <v>157</v>
      </c>
      <c r="B16" s="4" t="s">
        <v>158</v>
      </c>
      <c r="C16" s="4" t="s">
        <v>146</v>
      </c>
      <c r="D16">
        <v>15</v>
      </c>
      <c r="E16" cm="1">
        <f t="array" ref="E16">_xlfn.XLOOKUP(fifa_ranking_2026_06_08[[#This Row],[team]],fifa_ranking_2022_10_06[[#All],[team]],fifa_ranking_2022_10_06[[#All],[rank]])</f>
        <v>18</v>
      </c>
      <c r="F16">
        <f>fifa_ranking_2026_06_08[[#This Row],[2022_rank]]-fifa_ranking_2026_06_08[[#This Row],[2026_rank]]</f>
        <v>3</v>
      </c>
      <c r="G16">
        <v>14</v>
      </c>
      <c r="H16">
        <v>1686.412769</v>
      </c>
      <c r="I16">
        <v>1688.9888370000001</v>
      </c>
      <c r="J16">
        <v>85</v>
      </c>
    </row>
    <row r="17" spans="1:10" x14ac:dyDescent="0.2">
      <c r="A17" s="4" t="s">
        <v>121</v>
      </c>
      <c r="B17" s="4" t="s">
        <v>159</v>
      </c>
      <c r="C17" s="4" t="s">
        <v>136</v>
      </c>
      <c r="D17">
        <v>16</v>
      </c>
      <c r="E17" cm="1">
        <f t="array" ref="E17">_xlfn.XLOOKUP(fifa_ranking_2026_06_08[[#This Row],[team]],fifa_ranking_2022_10_06[[#All],[team]],fifa_ranking_2022_10_06[[#All],[rank]])</f>
        <v>14</v>
      </c>
      <c r="F17">
        <f>fifa_ranking_2026_06_08[[#This Row],[2022_rank]]-fifa_ranking_2026_06_08[[#This Row],[2026_rank]]</f>
        <v>-2</v>
      </c>
      <c r="G17">
        <v>17</v>
      </c>
      <c r="H17">
        <v>1673.0686029999999</v>
      </c>
      <c r="I17">
        <v>1673.0686029999999</v>
      </c>
      <c r="J17">
        <v>52</v>
      </c>
    </row>
    <row r="18" spans="1:10" x14ac:dyDescent="0.2">
      <c r="A18" s="4" t="s">
        <v>160</v>
      </c>
      <c r="B18" s="4" t="s">
        <v>160</v>
      </c>
      <c r="C18" s="4" t="s">
        <v>156</v>
      </c>
      <c r="D18">
        <v>17</v>
      </c>
      <c r="E18" cm="1">
        <f t="array" ref="E18">_xlfn.XLOOKUP(fifa_ranking_2026_06_08[[#This Row],[team]],fifa_ranking_2022_10_06[[#All],[team]],fifa_ranking_2022_10_06[[#All],[rank]])</f>
        <v>16</v>
      </c>
      <c r="F18">
        <f>fifa_ranking_2026_06_08[[#This Row],[2022_rank]]-fifa_ranking_2026_06_08[[#This Row],[2026_rank]]</f>
        <v>-1</v>
      </c>
      <c r="G18">
        <v>16</v>
      </c>
      <c r="H18">
        <v>1671.2340999999999</v>
      </c>
      <c r="I18">
        <v>1673.126608</v>
      </c>
      <c r="J18">
        <v>75</v>
      </c>
    </row>
    <row r="19" spans="1:10" x14ac:dyDescent="0.2">
      <c r="A19" s="4" t="s">
        <v>161</v>
      </c>
      <c r="B19" s="4" t="s">
        <v>162</v>
      </c>
      <c r="C19" s="4" t="s">
        <v>163</v>
      </c>
      <c r="D19">
        <v>18</v>
      </c>
      <c r="E19" cm="1">
        <f t="array" ref="E19">_xlfn.XLOOKUP(fifa_ranking_2026_06_08[[#This Row],[team]],fifa_ranking_2022_10_06[[#All],[team]],fifa_ranking_2022_10_06[[#All],[rank]])</f>
        <v>24</v>
      </c>
      <c r="F19">
        <f>fifa_ranking_2026_06_08[[#This Row],[2022_rank]]-fifa_ranking_2026_06_08[[#This Row],[2026_rank]]</f>
        <v>6</v>
      </c>
      <c r="G19">
        <v>18</v>
      </c>
      <c r="H19">
        <v>1661.5761869999999</v>
      </c>
      <c r="I19">
        <v>1660.427891</v>
      </c>
      <c r="J19">
        <v>64</v>
      </c>
    </row>
    <row r="20" spans="1:10" x14ac:dyDescent="0.2">
      <c r="A20" s="4" t="s">
        <v>118</v>
      </c>
      <c r="B20" s="4" t="s">
        <v>164</v>
      </c>
      <c r="C20" s="4" t="s">
        <v>138</v>
      </c>
      <c r="D20">
        <v>19</v>
      </c>
      <c r="E20" cm="1">
        <f t="array" ref="E20">_xlfn.XLOOKUP(fifa_ranking_2026_06_08[[#This Row],[team]],fifa_ranking_2022_10_06[[#All],[team]],fifa_ranking_2022_10_06[[#All],[rank]])</f>
        <v>15</v>
      </c>
      <c r="F20">
        <f>fifa_ranking_2026_06_08[[#This Row],[2022_rank]]-fifa_ranking_2026_06_08[[#This Row],[2026_rank]]</f>
        <v>-4</v>
      </c>
      <c r="G20">
        <v>19</v>
      </c>
      <c r="H20">
        <v>1650.064179</v>
      </c>
      <c r="I20">
        <v>1649.3968299999999</v>
      </c>
      <c r="J20">
        <v>56</v>
      </c>
    </row>
    <row r="21" spans="1:10" x14ac:dyDescent="0.2">
      <c r="A21" s="4" t="s">
        <v>165</v>
      </c>
      <c r="B21" s="4" t="s">
        <v>166</v>
      </c>
      <c r="C21" s="4" t="s">
        <v>163</v>
      </c>
      <c r="D21">
        <v>20</v>
      </c>
      <c r="E21" cm="1">
        <f t="array" ref="E21">_xlfn.XLOOKUP(fifa_ranking_2026_06_08[[#This Row],[team]],fifa_ranking_2022_10_06[[#All],[team]],fifa_ranking_2022_10_06[[#All],[rank]])</f>
        <v>20</v>
      </c>
      <c r="F21">
        <f>fifa_ranking_2026_06_08[[#This Row],[2022_rank]]-fifa_ranking_2026_06_08[[#This Row],[2026_rank]]</f>
        <v>0</v>
      </c>
      <c r="G21">
        <v>21</v>
      </c>
      <c r="H21">
        <v>1619.5816299999999</v>
      </c>
      <c r="I21">
        <v>1615.300338</v>
      </c>
      <c r="J21">
        <v>56</v>
      </c>
    </row>
    <row r="22" spans="1:10" x14ac:dyDescent="0.2">
      <c r="A22" s="4" t="s">
        <v>167</v>
      </c>
      <c r="B22" s="4" t="s">
        <v>168</v>
      </c>
      <c r="C22" s="4" t="s">
        <v>138</v>
      </c>
      <c r="D22">
        <v>21</v>
      </c>
      <c r="E22" cm="1">
        <f t="array" ref="E22">_xlfn.XLOOKUP(fifa_ranking_2026_06_08[[#This Row],[team]],fifa_ranking_2022_10_06[[#All],[team]],fifa_ranking_2022_10_06[[#All],[rank]])</f>
        <v>10</v>
      </c>
      <c r="F22">
        <f>fifa_ranking_2026_06_08[[#This Row],[2022_rank]]-fifa_ranking_2026_06_08[[#This Row],[2026_rank]]</f>
        <v>-11</v>
      </c>
      <c r="G22">
        <v>20</v>
      </c>
      <c r="H22">
        <v>1619.474248</v>
      </c>
      <c r="I22">
        <v>1620.8079459999999</v>
      </c>
      <c r="J22">
        <v>52</v>
      </c>
    </row>
    <row r="23" spans="1:10" x14ac:dyDescent="0.2">
      <c r="A23" s="4" t="s">
        <v>169</v>
      </c>
      <c r="B23" s="4" t="s">
        <v>170</v>
      </c>
      <c r="C23" s="4" t="s">
        <v>138</v>
      </c>
      <c r="D23">
        <v>22</v>
      </c>
      <c r="E23" cm="1">
        <f t="array" ref="E23">_xlfn.XLOOKUP(fifa_ranking_2026_06_08[[#This Row],[team]],fifa_ranking_2022_10_06[[#All],[team]],fifa_ranking_2022_10_06[[#All],[rank]])</f>
        <v>45</v>
      </c>
      <c r="F23">
        <f>fifa_ranking_2026_06_08[[#This Row],[2022_rank]]-fifa_ranking_2026_06_08[[#This Row],[2026_rank]]</f>
        <v>23</v>
      </c>
      <c r="G23">
        <v>22</v>
      </c>
      <c r="H23">
        <v>1605.7309210000001</v>
      </c>
      <c r="I23">
        <v>1599.0376699999999</v>
      </c>
      <c r="J23">
        <v>53</v>
      </c>
    </row>
    <row r="24" spans="1:10" x14ac:dyDescent="0.2">
      <c r="A24" s="4" t="s">
        <v>171</v>
      </c>
      <c r="B24" s="4" t="s">
        <v>172</v>
      </c>
      <c r="C24" s="4" t="s">
        <v>136</v>
      </c>
      <c r="D24">
        <v>23</v>
      </c>
      <c r="E24" cm="1">
        <f t="array" ref="E24">_xlfn.XLOOKUP(fifa_ranking_2026_06_08[[#This Row],[team]],fifa_ranking_2022_10_06[[#All],[team]],fifa_ranking_2022_10_06[[#All],[rank]])</f>
        <v>44</v>
      </c>
      <c r="F24">
        <f>fifa_ranking_2026_06_08[[#This Row],[2022_rank]]-fifa_ranking_2026_06_08[[#This Row],[2026_rank]]</f>
        <v>21</v>
      </c>
      <c r="G24">
        <v>23</v>
      </c>
      <c r="H24">
        <v>1598.5158200000001</v>
      </c>
      <c r="I24">
        <v>1594.78386</v>
      </c>
      <c r="J24">
        <v>59</v>
      </c>
    </row>
    <row r="25" spans="1:10" x14ac:dyDescent="0.2">
      <c r="A25" s="4" t="s">
        <v>173</v>
      </c>
      <c r="B25" s="4" t="s">
        <v>174</v>
      </c>
      <c r="C25" s="4" t="s">
        <v>138</v>
      </c>
      <c r="D25">
        <v>24</v>
      </c>
      <c r="E25" cm="1">
        <f t="array" ref="E25">_xlfn.XLOOKUP(fifa_ranking_2026_06_08[[#This Row],[team]],fifa_ranking_2022_10_06[[#All],[team]],fifa_ranking_2022_10_06[[#All],[rank]])</f>
        <v>34</v>
      </c>
      <c r="F25">
        <f>fifa_ranking_2026_06_08[[#This Row],[2022_rank]]-fifa_ranking_2026_06_08[[#This Row],[2026_rank]]</f>
        <v>10</v>
      </c>
      <c r="G25">
        <v>24</v>
      </c>
      <c r="H25">
        <v>1597.4040869999999</v>
      </c>
      <c r="I25">
        <v>1593.4476729999999</v>
      </c>
      <c r="J25">
        <v>51</v>
      </c>
    </row>
    <row r="26" spans="1:10" x14ac:dyDescent="0.2">
      <c r="A26" s="4" t="s">
        <v>175</v>
      </c>
      <c r="B26" s="4" t="s">
        <v>176</v>
      </c>
      <c r="C26" s="4" t="s">
        <v>163</v>
      </c>
      <c r="D26">
        <v>25</v>
      </c>
      <c r="E26" cm="1">
        <f t="array" ref="E26">_xlfn.XLOOKUP(fifa_ranking_2026_06_08[[#This Row],[team]],fifa_ranking_2022_10_06[[#All],[team]],fifa_ranking_2022_10_06[[#All],[rank]])</f>
        <v>28</v>
      </c>
      <c r="F26">
        <f>fifa_ranking_2026_06_08[[#This Row],[2022_rank]]-fifa_ranking_2026_06_08[[#This Row],[2026_rank]]</f>
        <v>3</v>
      </c>
      <c r="G26">
        <v>25</v>
      </c>
      <c r="H26">
        <v>1591.6308859999999</v>
      </c>
      <c r="I26">
        <v>1588.663904</v>
      </c>
      <c r="J26">
        <v>68</v>
      </c>
    </row>
    <row r="27" spans="1:10" x14ac:dyDescent="0.2">
      <c r="A27" s="4" t="s">
        <v>177</v>
      </c>
      <c r="B27" s="4" t="s">
        <v>178</v>
      </c>
      <c r="C27" s="4" t="s">
        <v>146</v>
      </c>
      <c r="D27">
        <v>26</v>
      </c>
      <c r="E27" cm="1">
        <f t="array" ref="E27">_xlfn.XLOOKUP(fifa_ranking_2026_06_08[[#This Row],[team]],fifa_ranking_2022_10_06[[#All],[team]],fifa_ranking_2022_10_06[[#All],[rank]])</f>
        <v>32</v>
      </c>
      <c r="F27">
        <f>fifa_ranking_2026_06_08[[#This Row],[2022_rank]]-fifa_ranking_2026_06_08[[#This Row],[2026_rank]]</f>
        <v>6</v>
      </c>
      <c r="G27">
        <v>26</v>
      </c>
      <c r="H27">
        <v>1586.688586</v>
      </c>
      <c r="I27">
        <v>1585.0863730000001</v>
      </c>
      <c r="J27">
        <v>73</v>
      </c>
    </row>
    <row r="28" spans="1:10" x14ac:dyDescent="0.2">
      <c r="A28" s="4" t="s">
        <v>179</v>
      </c>
      <c r="B28" s="4" t="s">
        <v>180</v>
      </c>
      <c r="C28" s="4" t="s">
        <v>163</v>
      </c>
      <c r="D28">
        <v>27</v>
      </c>
      <c r="E28" cm="1">
        <f t="array" ref="E28">_xlfn.XLOOKUP(fifa_ranking_2026_06_08[[#This Row],[team]],fifa_ranking_2022_10_06[[#All],[team]],fifa_ranking_2022_10_06[[#All],[rank]])</f>
        <v>38</v>
      </c>
      <c r="F28">
        <f>fifa_ranking_2026_06_08[[#This Row],[2022_rank]]-fifa_ranking_2026_06_08[[#This Row],[2026_rank]]</f>
        <v>11</v>
      </c>
      <c r="G28">
        <v>27</v>
      </c>
      <c r="H28">
        <v>1579.3426400000001</v>
      </c>
      <c r="I28">
        <v>1580.6747740000001</v>
      </c>
      <c r="J28">
        <v>55</v>
      </c>
    </row>
    <row r="29" spans="1:10" x14ac:dyDescent="0.2">
      <c r="A29" s="4" t="s">
        <v>181</v>
      </c>
      <c r="B29" s="4" t="s">
        <v>182</v>
      </c>
      <c r="C29" s="4" t="s">
        <v>146</v>
      </c>
      <c r="D29">
        <v>28</v>
      </c>
      <c r="E29" cm="1">
        <f t="array" ref="E29">_xlfn.XLOOKUP(fifa_ranking_2026_06_08[[#This Row],[team]],fifa_ranking_2022_10_06[[#All],[team]],fifa_ranking_2022_10_06[[#All],[rank]])</f>
        <v>37</v>
      </c>
      <c r="F29">
        <f>fifa_ranking_2026_06_08[[#This Row],[2022_rank]]-fifa_ranking_2026_06_08[[#This Row],[2026_rank]]</f>
        <v>9</v>
      </c>
      <c r="G29">
        <v>28</v>
      </c>
      <c r="H29">
        <v>1571.033293</v>
      </c>
      <c r="I29">
        <v>1564.2566999999999</v>
      </c>
      <c r="J29">
        <v>82</v>
      </c>
    </row>
    <row r="30" spans="1:10" x14ac:dyDescent="0.2">
      <c r="A30" s="4" t="s">
        <v>183</v>
      </c>
      <c r="B30" s="4" t="s">
        <v>184</v>
      </c>
      <c r="C30" s="4" t="s">
        <v>146</v>
      </c>
      <c r="D30">
        <v>29</v>
      </c>
      <c r="E30" cm="1">
        <f t="array" ref="E30">_xlfn.XLOOKUP(fifa_ranking_2026_06_08[[#This Row],[team]],fifa_ranking_2022_10_06[[#All],[team]],fifa_ranking_2022_10_06[[#All],[rank]])</f>
        <v>39</v>
      </c>
      <c r="F30">
        <f>fifa_ranking_2026_06_08[[#This Row],[2022_rank]]-fifa_ranking_2026_06_08[[#This Row],[2026_rank]]</f>
        <v>10</v>
      </c>
      <c r="G30">
        <v>29</v>
      </c>
      <c r="H30">
        <v>1562.367246</v>
      </c>
      <c r="I30">
        <v>1563.2417640000001</v>
      </c>
      <c r="J30">
        <v>74</v>
      </c>
    </row>
    <row r="31" spans="1:10" x14ac:dyDescent="0.2">
      <c r="A31" s="4" t="s">
        <v>185</v>
      </c>
      <c r="B31" s="4" t="s">
        <v>186</v>
      </c>
      <c r="C31" s="4" t="s">
        <v>156</v>
      </c>
      <c r="D31">
        <v>30</v>
      </c>
      <c r="E31" cm="1">
        <f t="array" ref="E31">_xlfn.XLOOKUP(fifa_ranking_2026_06_08[[#This Row],[team]],fifa_ranking_2022_10_06[[#All],[team]],fifa_ranking_2022_10_06[[#All],[rank]])</f>
        <v>41</v>
      </c>
      <c r="F31">
        <f>fifa_ranking_2026_06_08[[#This Row],[2022_rank]]-fifa_ranking_2026_06_08[[#This Row],[2026_rank]]</f>
        <v>11</v>
      </c>
      <c r="G31">
        <v>30</v>
      </c>
      <c r="H31">
        <v>1559.4793010000001</v>
      </c>
      <c r="I31">
        <v>1556.4822469999999</v>
      </c>
      <c r="J31">
        <v>62</v>
      </c>
    </row>
    <row r="32" spans="1:10" x14ac:dyDescent="0.2">
      <c r="A32" s="4" t="s">
        <v>19</v>
      </c>
      <c r="B32" s="4" t="s">
        <v>187</v>
      </c>
      <c r="C32" s="4" t="s">
        <v>138</v>
      </c>
      <c r="D32">
        <v>31</v>
      </c>
      <c r="E32" cm="1">
        <f t="array" ref="E32">_xlfn.XLOOKUP(fifa_ranking_2026_06_08[[#This Row],[team]],fifa_ranking_2022_10_06[[#All],[team]],fifa_ranking_2022_10_06[[#All],[rank]])</f>
        <v>42</v>
      </c>
      <c r="F32">
        <f>fifa_ranking_2026_06_08[[#This Row],[2022_rank]]-fifa_ranking_2026_06_08[[#This Row],[2026_rank]]</f>
        <v>11</v>
      </c>
      <c r="G32">
        <v>31</v>
      </c>
      <c r="H32">
        <v>1557.437664</v>
      </c>
      <c r="I32">
        <v>1550.9431589999999</v>
      </c>
      <c r="J32">
        <v>48</v>
      </c>
    </row>
    <row r="33" spans="1:10" x14ac:dyDescent="0.2">
      <c r="A33" s="4" t="s">
        <v>188</v>
      </c>
      <c r="B33" s="4" t="s">
        <v>189</v>
      </c>
      <c r="C33" s="4" t="s">
        <v>138</v>
      </c>
      <c r="D33">
        <v>32</v>
      </c>
      <c r="E33" cm="1">
        <f t="array" ref="E33">_xlfn.XLOOKUP(fifa_ranking_2026_06_08[[#This Row],[team]],fifa_ranking_2022_10_06[[#All],[team]],fifa_ranking_2022_10_06[[#All],[rank]])</f>
        <v>27</v>
      </c>
      <c r="F33">
        <f>fifa_ranking_2026_06_08[[#This Row],[2022_rank]]-fifa_ranking_2026_06_08[[#This Row],[2026_rank]]</f>
        <v>-5</v>
      </c>
      <c r="G33">
        <v>32</v>
      </c>
      <c r="H33">
        <v>1549.2871729999999</v>
      </c>
      <c r="I33">
        <v>1546.8776720000001</v>
      </c>
      <c r="J33">
        <v>47</v>
      </c>
    </row>
    <row r="34" spans="1:10" x14ac:dyDescent="0.2">
      <c r="A34" s="4" t="s">
        <v>190</v>
      </c>
      <c r="B34" s="4" t="s">
        <v>191</v>
      </c>
      <c r="C34" s="4" t="s">
        <v>146</v>
      </c>
      <c r="D34">
        <v>33</v>
      </c>
      <c r="E34" cm="1">
        <f t="array" ref="E34">_xlfn.XLOOKUP(fifa_ranking_2026_06_08[[#This Row],[team]],fifa_ranking_2022_10_06[[#All],[team]],fifa_ranking_2022_10_06[[#All],[rank]])</f>
        <v>48</v>
      </c>
      <c r="F34">
        <f>fifa_ranking_2026_06_08[[#This Row],[2022_rank]]-fifa_ranking_2026_06_08[[#This Row],[2026_rank]]</f>
        <v>15</v>
      </c>
      <c r="G34">
        <v>34</v>
      </c>
      <c r="H34">
        <v>1540.869533</v>
      </c>
      <c r="I34">
        <v>1532.9752510000001</v>
      </c>
      <c r="J34">
        <v>68</v>
      </c>
    </row>
    <row r="35" spans="1:10" x14ac:dyDescent="0.2">
      <c r="A35" s="4" t="s">
        <v>192</v>
      </c>
      <c r="B35" s="4" t="s">
        <v>193</v>
      </c>
      <c r="C35" s="4" t="s">
        <v>156</v>
      </c>
      <c r="D35">
        <v>34</v>
      </c>
      <c r="E35" cm="1">
        <f t="array" ref="E35">_xlfn.XLOOKUP(fifa_ranking_2026_06_08[[#This Row],[team]],fifa_ranking_2022_10_06[[#All],[team]],fifa_ranking_2022_10_06[[#All],[rank]])</f>
        <v>60</v>
      </c>
      <c r="F35">
        <f>fifa_ranking_2026_06_08[[#This Row],[2022_rank]]-fifa_ranking_2026_06_08[[#This Row],[2026_rank]]</f>
        <v>26</v>
      </c>
      <c r="G35">
        <v>33</v>
      </c>
      <c r="H35">
        <v>1539.1555089999999</v>
      </c>
      <c r="I35">
        <v>1540.6442280000001</v>
      </c>
      <c r="J35">
        <v>68</v>
      </c>
    </row>
    <row r="36" spans="1:10" x14ac:dyDescent="0.2">
      <c r="A36" s="4" t="s">
        <v>89</v>
      </c>
      <c r="B36" s="4" t="s">
        <v>194</v>
      </c>
      <c r="C36" s="4" t="s">
        <v>138</v>
      </c>
      <c r="D36">
        <v>35</v>
      </c>
      <c r="E36" cm="1">
        <f t="array" ref="E36">_xlfn.XLOOKUP(fifa_ranking_2026_06_08[[#This Row],[team]],fifa_ranking_2022_10_06[[#All],[team]],fifa_ranking_2022_10_06[[#All],[rank]])</f>
        <v>33</v>
      </c>
      <c r="F36">
        <f>fifa_ranking_2026_06_08[[#This Row],[2022_rank]]-fifa_ranking_2026_06_08[[#This Row],[2026_rank]]</f>
        <v>-2</v>
      </c>
      <c r="G36">
        <v>36</v>
      </c>
      <c r="H36">
        <v>1527.2371310000001</v>
      </c>
      <c r="I36">
        <v>1525.6040929999999</v>
      </c>
      <c r="J36">
        <v>30</v>
      </c>
    </row>
    <row r="37" spans="1:10" x14ac:dyDescent="0.2">
      <c r="A37" s="4" t="s">
        <v>195</v>
      </c>
      <c r="B37" s="4" t="s">
        <v>196</v>
      </c>
      <c r="C37" s="4" t="s">
        <v>138</v>
      </c>
      <c r="D37">
        <v>36</v>
      </c>
      <c r="E37" cm="1">
        <f t="array" ref="E37">_xlfn.XLOOKUP(fifa_ranking_2026_06_08[[#This Row],[team]],fifa_ranking_2022_10_06[[#All],[team]],fifa_ranking_2022_10_06[[#All],[rank]])</f>
        <v>26</v>
      </c>
      <c r="F37">
        <f>fifa_ranking_2026_06_08[[#This Row],[2022_rank]]-fifa_ranking_2026_06_08[[#This Row],[2026_rank]]</f>
        <v>-10</v>
      </c>
      <c r="G37">
        <v>35</v>
      </c>
      <c r="H37">
        <v>1526.1833590000001</v>
      </c>
      <c r="I37">
        <v>1528.0038119999999</v>
      </c>
      <c r="J37">
        <v>54</v>
      </c>
    </row>
    <row r="38" spans="1:10" x14ac:dyDescent="0.2">
      <c r="A38" s="4" t="s">
        <v>197</v>
      </c>
      <c r="B38" s="4" t="s">
        <v>198</v>
      </c>
      <c r="C38" s="4" t="s">
        <v>138</v>
      </c>
      <c r="D38">
        <v>37</v>
      </c>
      <c r="E38" cm="1">
        <f t="array" ref="E38">_xlfn.XLOOKUP(fifa_ranking_2026_06_08[[#This Row],[team]],fifa_ranking_2022_10_06[[#All],[team]],fifa_ranking_2022_10_06[[#All],[rank]])</f>
        <v>19</v>
      </c>
      <c r="F38">
        <f>fifa_ranking_2026_06_08[[#This Row],[2022_rank]]-fifa_ranking_2026_06_08[[#This Row],[2026_rank]]</f>
        <v>-18</v>
      </c>
      <c r="G38">
        <v>37</v>
      </c>
      <c r="H38">
        <v>1516.946629</v>
      </c>
      <c r="I38">
        <v>1524.290508</v>
      </c>
      <c r="J38">
        <v>50</v>
      </c>
    </row>
    <row r="39" spans="1:10" x14ac:dyDescent="0.2">
      <c r="A39" s="4" t="s">
        <v>116</v>
      </c>
      <c r="B39" s="4" t="s">
        <v>199</v>
      </c>
      <c r="C39" s="4" t="s">
        <v>138</v>
      </c>
      <c r="D39">
        <v>38</v>
      </c>
      <c r="E39" cm="1">
        <f t="array" ref="E39">_xlfn.XLOOKUP(fifa_ranking_2026_06_08[[#This Row],[team]],fifa_ranking_2022_10_06[[#All],[team]],fifa_ranking_2022_10_06[[#All],[rank]])</f>
        <v>25</v>
      </c>
      <c r="F39">
        <f>fifa_ranking_2026_06_08[[#This Row],[2022_rank]]-fifa_ranking_2026_06_08[[#This Row],[2026_rank]]</f>
        <v>-13</v>
      </c>
      <c r="G39">
        <v>38</v>
      </c>
      <c r="H39">
        <v>1509.785392</v>
      </c>
      <c r="I39">
        <v>1514.767421</v>
      </c>
      <c r="J39">
        <v>51</v>
      </c>
    </row>
    <row r="40" spans="1:10" x14ac:dyDescent="0.2">
      <c r="A40" s="4" t="s">
        <v>200</v>
      </c>
      <c r="B40" s="4" t="s">
        <v>201</v>
      </c>
      <c r="C40" s="4" t="s">
        <v>138</v>
      </c>
      <c r="D40">
        <v>39</v>
      </c>
      <c r="E40" cm="1">
        <f t="array" ref="E40">_xlfn.XLOOKUP(fifa_ranking_2026_06_08[[#This Row],[team]],fifa_ranking_2022_10_06[[#All],[team]],fifa_ranking_2022_10_06[[#All],[rank]])</f>
        <v>35</v>
      </c>
      <c r="F40">
        <f>fifa_ranking_2026_06_08[[#This Row],[2022_rank]]-fifa_ranking_2026_06_08[[#This Row],[2026_rank]]</f>
        <v>-4</v>
      </c>
      <c r="G40">
        <v>41</v>
      </c>
      <c r="H40">
        <v>1505.737856</v>
      </c>
      <c r="I40">
        <v>1501.3824</v>
      </c>
      <c r="J40">
        <v>51</v>
      </c>
    </row>
    <row r="41" spans="1:10" x14ac:dyDescent="0.2">
      <c r="A41" s="4" t="s">
        <v>202</v>
      </c>
      <c r="B41" s="4" t="s">
        <v>203</v>
      </c>
      <c r="C41" s="4" t="s">
        <v>136</v>
      </c>
      <c r="D41">
        <v>40</v>
      </c>
      <c r="E41" cm="1">
        <f t="array" ref="E41">_xlfn.XLOOKUP(fifa_ranking_2026_06_08[[#This Row],[team]],fifa_ranking_2022_10_06[[#All],[team]],fifa_ranking_2022_10_06[[#All],[rank]])</f>
        <v>47</v>
      </c>
      <c r="F41">
        <f>fifa_ranking_2026_06_08[[#This Row],[2022_rank]]-fifa_ranking_2026_06_08[[#This Row],[2026_rank]]</f>
        <v>7</v>
      </c>
      <c r="G41">
        <v>40</v>
      </c>
      <c r="H41">
        <v>1505.3496889999999</v>
      </c>
      <c r="I41">
        <v>1503.5033390000001</v>
      </c>
      <c r="J41">
        <v>49</v>
      </c>
    </row>
    <row r="42" spans="1:10" x14ac:dyDescent="0.2">
      <c r="A42" s="4" t="s">
        <v>119</v>
      </c>
      <c r="B42" s="4" t="s">
        <v>204</v>
      </c>
      <c r="C42" s="4" t="s">
        <v>138</v>
      </c>
      <c r="D42">
        <v>41</v>
      </c>
      <c r="E42" cm="1">
        <f t="array" ref="E42">_xlfn.XLOOKUP(fifa_ranking_2026_06_08[[#This Row],[team]],fifa_ranking_2022_10_06[[#All],[team]],fifa_ranking_2022_10_06[[#All],[rank]])</f>
        <v>36</v>
      </c>
      <c r="F42">
        <f>fifa_ranking_2026_06_08[[#This Row],[2022_rank]]-fifa_ranking_2026_06_08[[#This Row],[2026_rank]]</f>
        <v>-5</v>
      </c>
      <c r="G42">
        <v>42</v>
      </c>
      <c r="H42">
        <v>1504.1357969999999</v>
      </c>
      <c r="I42">
        <v>1500.5814539999999</v>
      </c>
      <c r="J42">
        <v>50</v>
      </c>
    </row>
    <row r="43" spans="1:10" x14ac:dyDescent="0.2">
      <c r="A43" s="4" t="s">
        <v>205</v>
      </c>
      <c r="B43" s="4" t="s">
        <v>206</v>
      </c>
      <c r="C43" s="4" t="s">
        <v>138</v>
      </c>
      <c r="D43">
        <v>42</v>
      </c>
      <c r="E43" cm="1">
        <f t="array" ref="E43">_xlfn.XLOOKUP(fifa_ranking_2026_06_08[[#This Row],[team]],fifa_ranking_2022_10_06[[#All],[team]],fifa_ranking_2022_10_06[[#All],[rank]])</f>
        <v>40</v>
      </c>
      <c r="F43">
        <f>fifa_ranking_2026_06_08[[#This Row],[2022_rank]]-fifa_ranking_2026_06_08[[#This Row],[2026_rank]]</f>
        <v>-2</v>
      </c>
      <c r="G43">
        <v>43</v>
      </c>
      <c r="H43">
        <v>1503.3402699999999</v>
      </c>
      <c r="I43">
        <v>1498.350389</v>
      </c>
      <c r="J43">
        <v>51</v>
      </c>
    </row>
    <row r="44" spans="1:10" x14ac:dyDescent="0.2">
      <c r="A44" s="4" t="s">
        <v>207</v>
      </c>
      <c r="B44" s="4" t="s">
        <v>208</v>
      </c>
      <c r="C44" s="4" t="s">
        <v>138</v>
      </c>
      <c r="D44">
        <v>43</v>
      </c>
      <c r="E44" cm="1">
        <f t="array" ref="E44">_xlfn.XLOOKUP(fifa_ranking_2026_06_08[[#This Row],[team]],fifa_ranking_2022_10_06[[#All],[team]],fifa_ranking_2022_10_06[[#All],[rank]])</f>
        <v>21</v>
      </c>
      <c r="F44">
        <f>fifa_ranking_2026_06_08[[#This Row],[2022_rank]]-fifa_ranking_2026_06_08[[#This Row],[2026_rank]]</f>
        <v>-22</v>
      </c>
      <c r="G44">
        <v>39</v>
      </c>
      <c r="H44">
        <v>1502.133186</v>
      </c>
      <c r="I44">
        <v>1508.650488</v>
      </c>
      <c r="J44">
        <v>54</v>
      </c>
    </row>
    <row r="45" spans="1:10" x14ac:dyDescent="0.2">
      <c r="A45" s="4" t="s">
        <v>209</v>
      </c>
      <c r="B45" s="4" t="s">
        <v>210</v>
      </c>
      <c r="C45" s="4" t="s">
        <v>146</v>
      </c>
      <c r="D45">
        <v>44</v>
      </c>
      <c r="E45" cm="1">
        <f t="array" ref="E45">_xlfn.XLOOKUP(fifa_ranking_2026_06_08[[#This Row],[team]],fifa_ranking_2022_10_06[[#All],[team]],fifa_ranking_2022_10_06[[#All],[rank]])</f>
        <v>43</v>
      </c>
      <c r="F45">
        <f>fifa_ranking_2026_06_08[[#This Row],[2022_rank]]-fifa_ranking_2026_06_08[[#This Row],[2026_rank]]</f>
        <v>-1</v>
      </c>
      <c r="G45">
        <v>45</v>
      </c>
      <c r="H45">
        <v>1481.2352450000001</v>
      </c>
      <c r="I45">
        <v>1481.2352450000001</v>
      </c>
      <c r="J45">
        <v>63</v>
      </c>
    </row>
    <row r="46" spans="1:10" x14ac:dyDescent="0.2">
      <c r="A46" s="4" t="s">
        <v>211</v>
      </c>
      <c r="B46" s="4" t="s">
        <v>212</v>
      </c>
      <c r="C46" s="4" t="s">
        <v>146</v>
      </c>
      <c r="D46">
        <v>45</v>
      </c>
      <c r="E46" cm="1">
        <f t="array" ref="E46">_xlfn.XLOOKUP(fifa_ranking_2026_06_08[[#This Row],[team]],fifa_ranking_2022_10_06[[#All],[team]],fifa_ranking_2022_10_06[[#All],[rank]])</f>
        <v>73</v>
      </c>
      <c r="F46">
        <f>fifa_ranking_2026_06_08[[#This Row],[2022_rank]]-fifa_ranking_2026_06_08[[#This Row],[2026_rank]]</f>
        <v>28</v>
      </c>
      <c r="G46">
        <v>46</v>
      </c>
      <c r="H46">
        <v>1479.6841219999999</v>
      </c>
      <c r="I46">
        <v>1478.350424</v>
      </c>
      <c r="J46">
        <v>62</v>
      </c>
    </row>
    <row r="47" spans="1:10" x14ac:dyDescent="0.2">
      <c r="A47" s="4" t="s">
        <v>213</v>
      </c>
      <c r="B47" s="4" t="s">
        <v>214</v>
      </c>
      <c r="C47" s="4" t="s">
        <v>146</v>
      </c>
      <c r="D47">
        <v>46</v>
      </c>
      <c r="E47" cm="1">
        <f t="array" ref="E47">_xlfn.XLOOKUP(fifa_ranking_2026_06_08[[#This Row],[team]],fifa_ranking_2022_10_06[[#All],[team]],fifa_ranking_2022_10_06[[#All],[rank]])</f>
        <v>30</v>
      </c>
      <c r="F47">
        <f>fifa_ranking_2026_06_08[[#This Row],[2022_rank]]-fifa_ranking_2026_06_08[[#This Row],[2026_rank]]</f>
        <v>-16</v>
      </c>
      <c r="G47">
        <v>44</v>
      </c>
      <c r="H47">
        <v>1476.405088</v>
      </c>
      <c r="I47">
        <v>1483.0518709999999</v>
      </c>
      <c r="J47">
        <v>70</v>
      </c>
    </row>
    <row r="48" spans="1:10" x14ac:dyDescent="0.2">
      <c r="A48" s="4" t="s">
        <v>215</v>
      </c>
      <c r="B48" s="4" t="s">
        <v>216</v>
      </c>
      <c r="C48" s="4" t="s">
        <v>138</v>
      </c>
      <c r="D48">
        <v>47</v>
      </c>
      <c r="E48" cm="1">
        <f t="array" ref="E48">_xlfn.XLOOKUP(fifa_ranking_2026_06_08[[#This Row],[team]],fifa_ranking_2022_10_06[[#All],[team]],fifa_ranking_2022_10_06[[#All],[rank]])</f>
        <v>55</v>
      </c>
      <c r="F48">
        <f>fifa_ranking_2026_06_08[[#This Row],[2022_rank]]-fifa_ranking_2026_06_08[[#This Row],[2026_rank]]</f>
        <v>8</v>
      </c>
      <c r="G48">
        <v>48</v>
      </c>
      <c r="H48">
        <v>1473.660727</v>
      </c>
      <c r="I48">
        <v>1473.938441</v>
      </c>
      <c r="J48">
        <v>52</v>
      </c>
    </row>
    <row r="49" spans="1:10" x14ac:dyDescent="0.2">
      <c r="A49" s="4" t="s">
        <v>217</v>
      </c>
      <c r="B49" s="4" t="s">
        <v>218</v>
      </c>
      <c r="C49" s="4" t="s">
        <v>138</v>
      </c>
      <c r="D49">
        <v>48</v>
      </c>
      <c r="E49" cm="1">
        <f t="array" ref="E49">_xlfn.XLOOKUP(fifa_ranking_2026_06_08[[#This Row],[team]],fifa_ranking_2022_10_06[[#All],[team]],fifa_ranking_2022_10_06[[#All],[rank]])</f>
        <v>52</v>
      </c>
      <c r="F49">
        <f>fifa_ranking_2026_06_08[[#This Row],[2022_rank]]-fifa_ranking_2026_06_08[[#This Row],[2026_rank]]</f>
        <v>4</v>
      </c>
      <c r="G49">
        <v>47</v>
      </c>
      <c r="H49">
        <v>1473.1873049999999</v>
      </c>
      <c r="I49">
        <v>1475.819913</v>
      </c>
      <c r="J49">
        <v>48</v>
      </c>
    </row>
    <row r="50" spans="1:10" x14ac:dyDescent="0.2">
      <c r="A50" s="4" t="s">
        <v>219</v>
      </c>
      <c r="B50" s="4" t="s">
        <v>220</v>
      </c>
      <c r="C50" s="4" t="s">
        <v>136</v>
      </c>
      <c r="D50">
        <v>49</v>
      </c>
      <c r="E50" cm="1">
        <f t="array" ref="E50">_xlfn.XLOOKUP(fifa_ranking_2026_06_08[[#This Row],[team]],fifa_ranking_2022_10_06[[#All],[team]],fifa_ranking_2022_10_06[[#All],[rank]])</f>
        <v>57</v>
      </c>
      <c r="F50">
        <f>fifa_ranking_2026_06_08[[#This Row],[2022_rank]]-fifa_ranking_2026_06_08[[#This Row],[2026_rank]]</f>
        <v>8</v>
      </c>
      <c r="G50">
        <v>49</v>
      </c>
      <c r="H50">
        <v>1464.303811</v>
      </c>
      <c r="I50">
        <v>1468.046323</v>
      </c>
      <c r="J50">
        <v>51</v>
      </c>
    </row>
    <row r="51" spans="1:10" x14ac:dyDescent="0.2">
      <c r="A51" s="4" t="s">
        <v>221</v>
      </c>
      <c r="B51" s="4" t="s">
        <v>222</v>
      </c>
      <c r="C51" s="4" t="s">
        <v>163</v>
      </c>
      <c r="D51">
        <v>50</v>
      </c>
      <c r="E51" cm="1">
        <f t="array" ref="E51">_xlfn.XLOOKUP(fifa_ranking_2026_06_08[[#This Row],[team]],fifa_ranking_2022_10_06[[#All],[team]],fifa_ranking_2022_10_06[[#All],[rank]])</f>
        <v>77</v>
      </c>
      <c r="F51">
        <f>fifa_ranking_2026_06_08[[#This Row],[2022_rank]]-fifa_ranking_2026_06_08[[#This Row],[2026_rank]]</f>
        <v>27</v>
      </c>
      <c r="G51">
        <v>50</v>
      </c>
      <c r="H51">
        <v>1461.208132</v>
      </c>
      <c r="I51">
        <v>1465.3425339999999</v>
      </c>
      <c r="J51">
        <v>52</v>
      </c>
    </row>
    <row r="52" spans="1:10" x14ac:dyDescent="0.2">
      <c r="A52" s="4" t="s">
        <v>223</v>
      </c>
      <c r="B52" s="4" t="s">
        <v>224</v>
      </c>
      <c r="C52" s="4" t="s">
        <v>136</v>
      </c>
      <c r="D52">
        <v>51</v>
      </c>
      <c r="E52" cm="1">
        <f t="array" ref="E52">_xlfn.XLOOKUP(fifa_ranking_2026_06_08[[#This Row],[team]],fifa_ranking_2022_10_06[[#All],[team]],fifa_ranking_2022_10_06[[#All],[rank]])</f>
        <v>23</v>
      </c>
      <c r="F52">
        <f>fifa_ranking_2026_06_08[[#This Row],[2022_rank]]-fifa_ranking_2026_06_08[[#This Row],[2026_rank]]</f>
        <v>-28</v>
      </c>
      <c r="G52">
        <v>53</v>
      </c>
      <c r="H52">
        <v>1459.3905549999999</v>
      </c>
      <c r="I52">
        <v>1455.8726449999999</v>
      </c>
      <c r="J52">
        <v>52</v>
      </c>
    </row>
    <row r="53" spans="1:10" x14ac:dyDescent="0.2">
      <c r="A53" s="4" t="s">
        <v>225</v>
      </c>
      <c r="B53" s="4" t="s">
        <v>226</v>
      </c>
      <c r="C53" s="4" t="s">
        <v>156</v>
      </c>
      <c r="D53">
        <v>52</v>
      </c>
      <c r="E53" cm="1">
        <f t="array" ref="E53">_xlfn.XLOOKUP(fifa_ranking_2026_06_08[[#This Row],[team]],fifa_ranking_2022_10_06[[#All],[team]],fifa_ranking_2022_10_06[[#All],[rank]])</f>
        <v>31</v>
      </c>
      <c r="F53">
        <f>fifa_ranking_2026_06_08[[#This Row],[2022_rank]]-fifa_ranking_2026_06_08[[#This Row],[2026_rank]]</f>
        <v>-21</v>
      </c>
      <c r="G53">
        <v>51</v>
      </c>
      <c r="H53">
        <v>1457.0022799999999</v>
      </c>
      <c r="I53">
        <v>1459.903309</v>
      </c>
      <c r="J53">
        <v>60</v>
      </c>
    </row>
    <row r="54" spans="1:10" x14ac:dyDescent="0.2">
      <c r="A54" s="4" t="s">
        <v>227</v>
      </c>
      <c r="B54" s="4" t="s">
        <v>228</v>
      </c>
      <c r="C54" s="4" t="s">
        <v>138</v>
      </c>
      <c r="D54">
        <v>53</v>
      </c>
      <c r="E54" cm="1">
        <f t="array" ref="E54">_xlfn.XLOOKUP(fifa_ranking_2026_06_08[[#This Row],[team]],fifa_ranking_2022_10_06[[#All],[team]],fifa_ranking_2022_10_06[[#All],[rank]])</f>
        <v>53</v>
      </c>
      <c r="F54">
        <f>fifa_ranking_2026_06_08[[#This Row],[2022_rank]]-fifa_ranking_2026_06_08[[#This Row],[2026_rank]]</f>
        <v>0</v>
      </c>
      <c r="G54">
        <v>56</v>
      </c>
      <c r="H54">
        <v>1455.8946570000001</v>
      </c>
      <c r="I54">
        <v>1451.1610069999999</v>
      </c>
      <c r="J54">
        <v>52</v>
      </c>
    </row>
    <row r="55" spans="1:10" x14ac:dyDescent="0.2">
      <c r="A55" s="4" t="s">
        <v>229</v>
      </c>
      <c r="B55" s="4" t="s">
        <v>230</v>
      </c>
      <c r="C55" s="4" t="s">
        <v>146</v>
      </c>
      <c r="D55">
        <v>54</v>
      </c>
      <c r="E55" cm="1">
        <f t="array" ref="E55">_xlfn.XLOOKUP(fifa_ranking_2026_06_08[[#This Row],[team]],fifa_ranking_2022_10_06[[#All],[team]],fifa_ranking_2022_10_06[[#All],[rank]])</f>
        <v>46</v>
      </c>
      <c r="F55">
        <f>fifa_ranking_2026_06_08[[#This Row],[2022_rank]]-fifa_ranking_2026_06_08[[#This Row],[2026_rank]]</f>
        <v>-8</v>
      </c>
      <c r="G55">
        <v>52</v>
      </c>
      <c r="H55">
        <v>1455.5866590000001</v>
      </c>
      <c r="I55">
        <v>1459.125074</v>
      </c>
      <c r="J55">
        <v>61</v>
      </c>
    </row>
    <row r="56" spans="1:10" x14ac:dyDescent="0.2">
      <c r="A56" s="4" t="s">
        <v>113</v>
      </c>
      <c r="B56" s="4" t="s">
        <v>231</v>
      </c>
      <c r="C56" s="4" t="s">
        <v>136</v>
      </c>
      <c r="D56">
        <v>55</v>
      </c>
      <c r="E56" cm="1">
        <f t="array" ref="E56">_xlfn.XLOOKUP(fifa_ranking_2026_06_08[[#This Row],[team]],fifa_ranking_2022_10_06[[#All],[team]],fifa_ranking_2022_10_06[[#All],[rank]])</f>
        <v>29</v>
      </c>
      <c r="F56">
        <f>fifa_ranking_2026_06_08[[#This Row],[2022_rank]]-fifa_ranking_2026_06_08[[#This Row],[2026_rank]]</f>
        <v>-26</v>
      </c>
      <c r="G56">
        <v>54</v>
      </c>
      <c r="H56">
        <v>1452.939983</v>
      </c>
      <c r="I56">
        <v>1455.283124</v>
      </c>
      <c r="J56">
        <v>53</v>
      </c>
    </row>
    <row r="57" spans="1:10" x14ac:dyDescent="0.2">
      <c r="A57" s="4" t="s">
        <v>232</v>
      </c>
      <c r="B57" s="4" t="s">
        <v>233</v>
      </c>
      <c r="C57" s="4" t="s">
        <v>163</v>
      </c>
      <c r="D57">
        <v>56</v>
      </c>
      <c r="E57" cm="1">
        <f t="array" ref="E57">_xlfn.XLOOKUP(fifa_ranking_2026_06_08[[#This Row],[team]],fifa_ranking_2022_10_06[[#All],[team]],fifa_ranking_2022_10_06[[#All],[rank]])</f>
        <v>68</v>
      </c>
      <c r="F57">
        <f>fifa_ranking_2026_06_08[[#This Row],[2022_rank]]-fifa_ranking_2026_06_08[[#This Row],[2026_rank]]</f>
        <v>12</v>
      </c>
      <c r="G57">
        <v>57</v>
      </c>
      <c r="H57">
        <v>1451.153466</v>
      </c>
      <c r="I57">
        <v>1447.135319</v>
      </c>
      <c r="J57">
        <v>65</v>
      </c>
    </row>
    <row r="58" spans="1:10" x14ac:dyDescent="0.2">
      <c r="A58" s="4" t="s">
        <v>86</v>
      </c>
      <c r="B58" s="4" t="s">
        <v>234</v>
      </c>
      <c r="C58" s="4" t="s">
        <v>163</v>
      </c>
      <c r="D58">
        <v>57</v>
      </c>
      <c r="E58" cm="1">
        <f t="array" ref="E58">_xlfn.XLOOKUP(fifa_ranking_2026_06_08[[#This Row],[team]],fifa_ranking_2022_10_06[[#All],[team]],fifa_ranking_2022_10_06[[#All],[rank]])</f>
        <v>50</v>
      </c>
      <c r="F58">
        <f>fifa_ranking_2026_06_08[[#This Row],[2022_rank]]-fifa_ranking_2026_06_08[[#This Row],[2026_rank]]</f>
        <v>-7</v>
      </c>
      <c r="G58">
        <v>55</v>
      </c>
      <c r="H58">
        <v>1450.3077290000001</v>
      </c>
      <c r="I58">
        <v>1454.9585870000001</v>
      </c>
      <c r="J58">
        <v>71</v>
      </c>
    </row>
    <row r="59" spans="1:10" x14ac:dyDescent="0.2">
      <c r="A59" s="4" t="s">
        <v>235</v>
      </c>
      <c r="B59" s="4" t="s">
        <v>236</v>
      </c>
      <c r="C59" s="4" t="s">
        <v>138</v>
      </c>
      <c r="D59">
        <v>58</v>
      </c>
      <c r="E59" cm="1">
        <f t="array" ref="E59">_xlfn.XLOOKUP(fifa_ranking_2026_06_08[[#This Row],[team]],fifa_ranking_2022_10_06[[#All],[team]],fifa_ranking_2022_10_06[[#All],[rank]])</f>
        <v>49</v>
      </c>
      <c r="F59">
        <f>fifa_ranking_2026_06_08[[#This Row],[2022_rank]]-fifa_ranking_2026_06_08[[#This Row],[2026_rank]]</f>
        <v>-9</v>
      </c>
      <c r="G59">
        <v>59</v>
      </c>
      <c r="H59">
        <v>1441.0969009999999</v>
      </c>
      <c r="I59">
        <v>1436.6302740000001</v>
      </c>
      <c r="J59">
        <v>49</v>
      </c>
    </row>
    <row r="60" spans="1:10" x14ac:dyDescent="0.2">
      <c r="A60" s="4" t="s">
        <v>237</v>
      </c>
      <c r="B60" s="4" t="s">
        <v>238</v>
      </c>
      <c r="C60" s="4" t="s">
        <v>138</v>
      </c>
      <c r="D60">
        <v>59</v>
      </c>
      <c r="E60" cm="1">
        <f t="array" ref="E60">_xlfn.XLOOKUP(fifa_ranking_2026_06_08[[#This Row],[team]],fifa_ranking_2022_10_06[[#All],[team]],fifa_ranking_2022_10_06[[#All],[rank]])</f>
        <v>63</v>
      </c>
      <c r="F60">
        <f>fifa_ranking_2026_06_08[[#This Row],[2022_rank]]-fifa_ranking_2026_06_08[[#This Row],[2026_rank]]</f>
        <v>4</v>
      </c>
      <c r="G60">
        <v>58</v>
      </c>
      <c r="H60">
        <v>1441.087158</v>
      </c>
      <c r="I60">
        <v>1446.439067</v>
      </c>
      <c r="J60">
        <v>52</v>
      </c>
    </row>
    <row r="61" spans="1:10" x14ac:dyDescent="0.2">
      <c r="A61" s="4" t="s">
        <v>94</v>
      </c>
      <c r="B61" s="4" t="s">
        <v>239</v>
      </c>
      <c r="C61" s="4" t="s">
        <v>146</v>
      </c>
      <c r="D61">
        <v>60</v>
      </c>
      <c r="E61" cm="1">
        <f t="array" ref="E61">_xlfn.XLOOKUP(fifa_ranking_2026_06_08[[#This Row],[team]],fifa_ranking_2022_10_06[[#All],[team]],fifa_ranking_2022_10_06[[#All],[rank]])</f>
        <v>67</v>
      </c>
      <c r="F61">
        <f>fifa_ranking_2026_06_08[[#This Row],[2022_rank]]-fifa_ranking_2026_06_08[[#This Row],[2026_rank]]</f>
        <v>7</v>
      </c>
      <c r="G61">
        <v>60</v>
      </c>
      <c r="H61">
        <v>1428.3792820000001</v>
      </c>
      <c r="I61">
        <v>1429.728396</v>
      </c>
      <c r="J61">
        <v>74</v>
      </c>
    </row>
    <row r="62" spans="1:10" x14ac:dyDescent="0.2">
      <c r="A62" s="4" t="s">
        <v>240</v>
      </c>
      <c r="B62" s="4" t="s">
        <v>241</v>
      </c>
      <c r="C62" s="4" t="s">
        <v>163</v>
      </c>
      <c r="D62">
        <v>61</v>
      </c>
      <c r="E62" cm="1">
        <f t="array" ref="E62">_xlfn.XLOOKUP(fifa_ranking_2026_06_08[[#This Row],[team]],fifa_ranking_2022_10_06[[#All],[team]],fifa_ranking_2022_10_06[[#All],[rank]])</f>
        <v>51</v>
      </c>
      <c r="F62">
        <f>fifa_ranking_2026_06_08[[#This Row],[2022_rank]]-fifa_ranking_2026_06_08[[#This Row],[2026_rank]]</f>
        <v>-10</v>
      </c>
      <c r="G62">
        <v>61</v>
      </c>
      <c r="H62">
        <v>1421.538339</v>
      </c>
      <c r="I62">
        <v>1421.427596</v>
      </c>
      <c r="J62">
        <v>75</v>
      </c>
    </row>
    <row r="63" spans="1:10" x14ac:dyDescent="0.2">
      <c r="A63" s="4" t="s">
        <v>242</v>
      </c>
      <c r="B63" s="4" t="s">
        <v>243</v>
      </c>
      <c r="C63" s="4" t="s">
        <v>146</v>
      </c>
      <c r="D63">
        <v>62</v>
      </c>
      <c r="E63" cm="1">
        <f t="array" ref="E63">_xlfn.XLOOKUP(fifa_ranking_2026_06_08[[#This Row],[team]],fifa_ranking_2022_10_06[[#All],[team]],fifa_ranking_2022_10_06[[#All],[rank]])</f>
        <v>54</v>
      </c>
      <c r="F63">
        <f>fifa_ranking_2026_06_08[[#This Row],[2022_rank]]-fifa_ranking_2026_06_08[[#This Row],[2026_rank]]</f>
        <v>-8</v>
      </c>
      <c r="G63">
        <v>62</v>
      </c>
      <c r="H63">
        <v>1408.5419649999999</v>
      </c>
      <c r="I63">
        <v>1412.494766</v>
      </c>
      <c r="J63">
        <v>66</v>
      </c>
    </row>
    <row r="64" spans="1:10" x14ac:dyDescent="0.2">
      <c r="A64" s="4" t="s">
        <v>244</v>
      </c>
      <c r="B64" s="4" t="s">
        <v>245</v>
      </c>
      <c r="C64" s="4" t="s">
        <v>163</v>
      </c>
      <c r="D64">
        <v>63</v>
      </c>
      <c r="E64" cm="1">
        <f t="array" ref="E64">_xlfn.XLOOKUP(fifa_ranking_2026_06_08[[#This Row],[team]],fifa_ranking_2022_10_06[[#All],[team]],fifa_ranking_2022_10_06[[#All],[rank]])</f>
        <v>84</v>
      </c>
      <c r="F64">
        <f>fifa_ranking_2026_06_08[[#This Row],[2022_rank]]-fifa_ranking_2026_06_08[[#This Row],[2026_rank]]</f>
        <v>21</v>
      </c>
      <c r="G64">
        <v>63</v>
      </c>
      <c r="H64">
        <v>1387.738222</v>
      </c>
      <c r="I64">
        <v>1391.4544000000001</v>
      </c>
      <c r="J64">
        <v>62</v>
      </c>
    </row>
    <row r="65" spans="1:10" x14ac:dyDescent="0.2">
      <c r="A65" s="4" t="s">
        <v>246</v>
      </c>
      <c r="B65" s="4" t="s">
        <v>247</v>
      </c>
      <c r="C65" s="4" t="s">
        <v>138</v>
      </c>
      <c r="D65">
        <v>64</v>
      </c>
      <c r="E65" cm="1">
        <f t="array" ref="E65">_xlfn.XLOOKUP(fifa_ranking_2026_06_08[[#This Row],[team]],fifa_ranking_2022_10_06[[#All],[team]],fifa_ranking_2022_10_06[[#All],[rank]])</f>
        <v>58</v>
      </c>
      <c r="F65">
        <f>fifa_ranking_2026_06_08[[#This Row],[2022_rank]]-fifa_ranking_2026_06_08[[#This Row],[2026_rank]]</f>
        <v>-6</v>
      </c>
      <c r="G65">
        <v>65</v>
      </c>
      <c r="H65">
        <v>1387.2157709999999</v>
      </c>
      <c r="I65">
        <v>1385.8387230000001</v>
      </c>
      <c r="J65">
        <v>46</v>
      </c>
    </row>
    <row r="66" spans="1:10" x14ac:dyDescent="0.2">
      <c r="A66" s="4" t="s">
        <v>248</v>
      </c>
      <c r="B66" s="4" t="s">
        <v>249</v>
      </c>
      <c r="C66" s="4" t="s">
        <v>156</v>
      </c>
      <c r="D66">
        <v>65</v>
      </c>
      <c r="E66" cm="1">
        <f t="array" ref="E66">_xlfn.XLOOKUP(fifa_ranking_2026_06_08[[#This Row],[team]],fifa_ranking_2022_10_06[[#All],[team]],fifa_ranking_2022_10_06[[#All],[rank]])</f>
        <v>80</v>
      </c>
      <c r="F66">
        <f>fifa_ranking_2026_06_08[[#This Row],[2022_rank]]-fifa_ranking_2026_06_08[[#This Row],[2026_rank]]</f>
        <v>15</v>
      </c>
      <c r="G66">
        <v>66</v>
      </c>
      <c r="H66">
        <v>1378.9703010000001</v>
      </c>
      <c r="I66">
        <v>1380.2737970000001</v>
      </c>
      <c r="J66">
        <v>61</v>
      </c>
    </row>
    <row r="67" spans="1:10" x14ac:dyDescent="0.2">
      <c r="A67" s="4" t="s">
        <v>250</v>
      </c>
      <c r="B67" s="4" t="s">
        <v>251</v>
      </c>
      <c r="C67" s="4" t="s">
        <v>138</v>
      </c>
      <c r="D67">
        <v>66</v>
      </c>
      <c r="E67" cm="1">
        <f t="array" ref="E67">_xlfn.XLOOKUP(fifa_ranking_2026_06_08[[#This Row],[team]],fifa_ranking_2022_10_06[[#All],[team]],fifa_ranking_2022_10_06[[#All],[rank]])</f>
        <v>66</v>
      </c>
      <c r="F67">
        <f>fifa_ranking_2026_06_08[[#This Row],[2022_rank]]-fifa_ranking_2026_06_08[[#This Row],[2026_rank]]</f>
        <v>0</v>
      </c>
      <c r="G67">
        <v>64</v>
      </c>
      <c r="H67">
        <v>1376.033234</v>
      </c>
      <c r="I67">
        <v>1388.0583610000001</v>
      </c>
      <c r="J67">
        <v>50</v>
      </c>
    </row>
    <row r="68" spans="1:10" x14ac:dyDescent="0.2">
      <c r="A68" s="4" t="s">
        <v>252</v>
      </c>
      <c r="B68" s="4" t="s">
        <v>253</v>
      </c>
      <c r="C68" s="4" t="s">
        <v>146</v>
      </c>
      <c r="D68">
        <v>67</v>
      </c>
      <c r="E68" cm="1">
        <f t="array" ref="E68">_xlfn.XLOOKUP(fifa_ranking_2026_06_08[[#This Row],[team]],fifa_ranking_2022_10_06[[#All],[team]],fifa_ranking_2022_10_06[[#All],[rank]])</f>
        <v>71</v>
      </c>
      <c r="F68">
        <f>fifa_ranking_2026_06_08[[#This Row],[2022_rank]]-fifa_ranking_2026_06_08[[#This Row],[2026_rank]]</f>
        <v>4</v>
      </c>
      <c r="G68">
        <v>69</v>
      </c>
      <c r="H68">
        <v>1371.10798</v>
      </c>
      <c r="I68">
        <v>1366.1254779999999</v>
      </c>
      <c r="J68">
        <v>55</v>
      </c>
    </row>
    <row r="69" spans="1:10" x14ac:dyDescent="0.2">
      <c r="A69" s="4" t="s">
        <v>254</v>
      </c>
      <c r="B69" s="4" t="s">
        <v>255</v>
      </c>
      <c r="C69" s="4" t="s">
        <v>163</v>
      </c>
      <c r="D69">
        <v>68</v>
      </c>
      <c r="E69" cm="1">
        <f t="array" ref="E69">_xlfn.XLOOKUP(fifa_ranking_2026_06_08[[#This Row],[team]],fifa_ranking_2022_10_06[[#All],[team]],fifa_ranking_2022_10_06[[#All],[rank]])</f>
        <v>70</v>
      </c>
      <c r="F69">
        <f>fifa_ranking_2026_06_08[[#This Row],[2022_rank]]-fifa_ranking_2026_06_08[[#This Row],[2026_rank]]</f>
        <v>2</v>
      </c>
      <c r="G69">
        <v>68</v>
      </c>
      <c r="H69">
        <v>1370.4694340000001</v>
      </c>
      <c r="I69">
        <v>1370.4694340000001</v>
      </c>
      <c r="J69">
        <v>62</v>
      </c>
    </row>
    <row r="70" spans="1:10" x14ac:dyDescent="0.2">
      <c r="A70" s="4" t="s">
        <v>256</v>
      </c>
      <c r="B70" s="4" t="s">
        <v>257</v>
      </c>
      <c r="C70" s="4" t="s">
        <v>138</v>
      </c>
      <c r="D70">
        <v>69</v>
      </c>
      <c r="E70" cm="1">
        <f t="array" ref="E70">_xlfn.XLOOKUP(fifa_ranking_2026_06_08[[#This Row],[team]],fifa_ranking_2022_10_06[[#All],[team]],fifa_ranking_2022_10_06[[#All],[rank]])</f>
        <v>65</v>
      </c>
      <c r="F70">
        <f>fifa_ranking_2026_06_08[[#This Row],[2022_rank]]-fifa_ranking_2026_06_08[[#This Row],[2026_rank]]</f>
        <v>-4</v>
      </c>
      <c r="G70">
        <v>67</v>
      </c>
      <c r="H70">
        <v>1369.1593170000001</v>
      </c>
      <c r="I70">
        <v>1372.043897</v>
      </c>
      <c r="J70">
        <v>48</v>
      </c>
    </row>
    <row r="71" spans="1:10" x14ac:dyDescent="0.2">
      <c r="A71" s="4" t="s">
        <v>258</v>
      </c>
      <c r="B71" s="4" t="s">
        <v>259</v>
      </c>
      <c r="C71" s="4" t="s">
        <v>138</v>
      </c>
      <c r="D71">
        <v>70</v>
      </c>
      <c r="E71" cm="1">
        <f t="array" ref="E71">_xlfn.XLOOKUP(fifa_ranking_2026_06_08[[#This Row],[team]],fifa_ranking_2022_10_06[[#All],[team]],fifa_ranking_2022_10_06[[#All],[rank]])</f>
        <v>59</v>
      </c>
      <c r="F71">
        <f>fifa_ranking_2026_06_08[[#This Row],[2022_rank]]-fifa_ranking_2026_06_08[[#This Row],[2026_rank]]</f>
        <v>-11</v>
      </c>
      <c r="G71">
        <v>70</v>
      </c>
      <c r="H71">
        <v>1366.564198</v>
      </c>
      <c r="I71">
        <v>1362.1576829999999</v>
      </c>
      <c r="J71">
        <v>45</v>
      </c>
    </row>
    <row r="72" spans="1:10" x14ac:dyDescent="0.2">
      <c r="A72" s="4" t="s">
        <v>260</v>
      </c>
      <c r="B72" s="4" t="s">
        <v>261</v>
      </c>
      <c r="C72" s="4" t="s">
        <v>156</v>
      </c>
      <c r="D72">
        <v>71</v>
      </c>
      <c r="E72" cm="1">
        <f t="array" ref="E72">_xlfn.XLOOKUP(fifa_ranking_2026_06_08[[#This Row],[team]],fifa_ranking_2022_10_06[[#All],[team]],fifa_ranking_2022_10_06[[#All],[rank]])</f>
        <v>64</v>
      </c>
      <c r="F72">
        <f>fifa_ranking_2026_06_08[[#This Row],[2022_rank]]-fifa_ranking_2026_06_08[[#This Row],[2026_rank]]</f>
        <v>-7</v>
      </c>
      <c r="G72">
        <v>71</v>
      </c>
      <c r="H72">
        <v>1357.840144</v>
      </c>
      <c r="I72">
        <v>1357.9965580000001</v>
      </c>
      <c r="J72">
        <v>67</v>
      </c>
    </row>
    <row r="73" spans="1:10" x14ac:dyDescent="0.2">
      <c r="A73" s="4" t="s">
        <v>262</v>
      </c>
      <c r="B73" s="4" t="s">
        <v>263</v>
      </c>
      <c r="C73" s="4" t="s">
        <v>138</v>
      </c>
      <c r="D73">
        <v>72</v>
      </c>
      <c r="E73" cm="1">
        <f t="array" ref="E73">_xlfn.XLOOKUP(fifa_ranking_2026_06_08[[#This Row],[team]],fifa_ranking_2022_10_06[[#All],[team]],fifa_ranking_2022_10_06[[#All],[rank]])</f>
        <v>78</v>
      </c>
      <c r="F73">
        <f>fifa_ranking_2026_06_08[[#This Row],[2022_rank]]-fifa_ranking_2026_06_08[[#This Row],[2026_rank]]</f>
        <v>6</v>
      </c>
      <c r="G73">
        <v>72</v>
      </c>
      <c r="H73">
        <v>1355.2616869999999</v>
      </c>
      <c r="I73">
        <v>1350.1841549999999</v>
      </c>
      <c r="J73">
        <v>50</v>
      </c>
    </row>
    <row r="74" spans="1:10" x14ac:dyDescent="0.2">
      <c r="A74" s="4" t="s">
        <v>264</v>
      </c>
      <c r="B74" s="4" t="s">
        <v>265</v>
      </c>
      <c r="C74" s="4" t="s">
        <v>146</v>
      </c>
      <c r="D74">
        <v>73</v>
      </c>
      <c r="E74" cm="1">
        <f t="array" ref="E74">_xlfn.XLOOKUP(fifa_ranking_2026_06_08[[#This Row],[team]],fifa_ranking_2022_10_06[[#All],[team]],fifa_ranking_2022_10_06[[#All],[rank]])</f>
        <v>61</v>
      </c>
      <c r="F74">
        <f>fifa_ranking_2026_06_08[[#This Row],[2022_rank]]-fifa_ranking_2026_06_08[[#This Row],[2026_rank]]</f>
        <v>-12</v>
      </c>
      <c r="G74">
        <v>74</v>
      </c>
      <c r="H74">
        <v>1346.8812049999999</v>
      </c>
      <c r="I74">
        <v>1346.3117219999999</v>
      </c>
      <c r="J74">
        <v>66</v>
      </c>
    </row>
    <row r="75" spans="1:10" x14ac:dyDescent="0.2">
      <c r="A75" s="4" t="s">
        <v>266</v>
      </c>
      <c r="B75" s="4" t="s">
        <v>267</v>
      </c>
      <c r="C75" s="4" t="s">
        <v>138</v>
      </c>
      <c r="D75">
        <v>74</v>
      </c>
      <c r="E75" cm="1">
        <f t="array" ref="E75">_xlfn.XLOOKUP(fifa_ranking_2026_06_08[[#This Row],[team]],fifa_ranking_2022_10_06[[#All],[team]],fifa_ranking_2022_10_06[[#All],[rank]])</f>
        <v>62</v>
      </c>
      <c r="F75">
        <f>fifa_ranking_2026_06_08[[#This Row],[2022_rank]]-fifa_ranking_2026_06_08[[#This Row],[2026_rank]]</f>
        <v>-12</v>
      </c>
      <c r="G75">
        <v>75</v>
      </c>
      <c r="H75">
        <v>1343.9202009999999</v>
      </c>
      <c r="I75">
        <v>1345.068497</v>
      </c>
      <c r="J75">
        <v>56</v>
      </c>
    </row>
    <row r="76" spans="1:10" x14ac:dyDescent="0.2">
      <c r="A76" s="4" t="s">
        <v>268</v>
      </c>
      <c r="B76" s="4" t="s">
        <v>269</v>
      </c>
      <c r="C76" s="4" t="s">
        <v>138</v>
      </c>
      <c r="D76">
        <v>75</v>
      </c>
      <c r="E76" cm="1">
        <f t="array" ref="E76">_xlfn.XLOOKUP(fifa_ranking_2026_06_08[[#This Row],[team]],fifa_ranking_2022_10_06[[#All],[team]],fifa_ranking_2022_10_06[[#All],[rank]])</f>
        <v>56</v>
      </c>
      <c r="F76">
        <f>fifa_ranking_2026_06_08[[#This Row],[2022_rank]]-fifa_ranking_2026_06_08[[#This Row],[2026_rank]]</f>
        <v>-19</v>
      </c>
      <c r="G76">
        <v>73</v>
      </c>
      <c r="H76">
        <v>1341.9224079999999</v>
      </c>
      <c r="I76">
        <v>1346.408799</v>
      </c>
      <c r="J76">
        <v>50</v>
      </c>
    </row>
    <row r="77" spans="1:10" x14ac:dyDescent="0.2">
      <c r="A77" s="4" t="s">
        <v>270</v>
      </c>
      <c r="B77" s="4" t="s">
        <v>271</v>
      </c>
      <c r="C77" s="4" t="s">
        <v>138</v>
      </c>
      <c r="D77">
        <v>76</v>
      </c>
      <c r="E77" cm="1">
        <f t="array" ref="E77">_xlfn.XLOOKUP(fifa_ranking_2026_06_08[[#This Row],[team]],fifa_ranking_2022_10_06[[#All],[team]],fifa_ranking_2022_10_06[[#All],[rank]])</f>
        <v>76</v>
      </c>
      <c r="F77">
        <f>fifa_ranking_2026_06_08[[#This Row],[2022_rank]]-fifa_ranking_2026_06_08[[#This Row],[2026_rank]]</f>
        <v>0</v>
      </c>
      <c r="G77">
        <v>77</v>
      </c>
      <c r="H77">
        <v>1333.9040070000001</v>
      </c>
      <c r="I77">
        <v>1328.333496</v>
      </c>
      <c r="J77">
        <v>44</v>
      </c>
    </row>
    <row r="78" spans="1:10" x14ac:dyDescent="0.2">
      <c r="A78" s="4" t="s">
        <v>272</v>
      </c>
      <c r="B78" s="4" t="s">
        <v>273</v>
      </c>
      <c r="C78" s="4" t="s">
        <v>136</v>
      </c>
      <c r="D78">
        <v>77</v>
      </c>
      <c r="E78" cm="1">
        <f t="array" ref="E78">_xlfn.XLOOKUP(fifa_ranking_2026_06_08[[#This Row],[team]],fifa_ranking_2022_10_06[[#All],[team]],fifa_ranking_2022_10_06[[#All],[rank]])</f>
        <v>82</v>
      </c>
      <c r="F78">
        <f>fifa_ranking_2026_06_08[[#This Row],[2022_rank]]-fifa_ranking_2026_06_08[[#This Row],[2026_rank]]</f>
        <v>5</v>
      </c>
      <c r="G78">
        <v>76</v>
      </c>
      <c r="H78">
        <v>1325.995377</v>
      </c>
      <c r="I78">
        <v>1329.4155089999999</v>
      </c>
      <c r="J78">
        <v>53</v>
      </c>
    </row>
    <row r="79" spans="1:10" x14ac:dyDescent="0.2">
      <c r="A79" s="4" t="s">
        <v>274</v>
      </c>
      <c r="B79" s="4" t="s">
        <v>275</v>
      </c>
      <c r="C79" s="4" t="s">
        <v>138</v>
      </c>
      <c r="D79">
        <v>78</v>
      </c>
      <c r="E79" cm="1">
        <f t="array" ref="E79">_xlfn.XLOOKUP(fifa_ranking_2026_06_08[[#This Row],[team]],fifa_ranking_2022_10_06[[#All],[team]],fifa_ranking_2022_10_06[[#All],[rank]])</f>
        <v>107</v>
      </c>
      <c r="F79">
        <f>fifa_ranking_2026_06_08[[#This Row],[2022_rank]]-fifa_ranking_2026_06_08[[#This Row],[2026_rank]]</f>
        <v>29</v>
      </c>
      <c r="G79">
        <v>78</v>
      </c>
      <c r="H79">
        <v>1319.1209240000001</v>
      </c>
      <c r="I79">
        <v>1318.82527</v>
      </c>
      <c r="J79">
        <v>47</v>
      </c>
    </row>
    <row r="80" spans="1:10" x14ac:dyDescent="0.2">
      <c r="A80" s="4" t="s">
        <v>276</v>
      </c>
      <c r="B80" s="4" t="s">
        <v>277</v>
      </c>
      <c r="C80" s="4" t="s">
        <v>163</v>
      </c>
      <c r="D80">
        <v>79</v>
      </c>
      <c r="E80" cm="1">
        <f t="array" ref="E80">_xlfn.XLOOKUP(fifa_ranking_2026_06_08[[#This Row],[team]],fifa_ranking_2022_10_06[[#All],[team]],fifa_ranking_2022_10_06[[#All],[rank]])</f>
        <v>75</v>
      </c>
      <c r="F80">
        <f>fifa_ranking_2026_06_08[[#This Row],[2022_rank]]-fifa_ranking_2026_06_08[[#This Row],[2026_rank]]</f>
        <v>-4</v>
      </c>
      <c r="G80">
        <v>79</v>
      </c>
      <c r="H80">
        <v>1306.901717</v>
      </c>
      <c r="I80">
        <v>1313.4649449999999</v>
      </c>
      <c r="J80">
        <v>69</v>
      </c>
    </row>
    <row r="81" spans="1:10" x14ac:dyDescent="0.2">
      <c r="A81" s="4" t="s">
        <v>278</v>
      </c>
      <c r="B81" s="4" t="s">
        <v>279</v>
      </c>
      <c r="C81" s="4" t="s">
        <v>138</v>
      </c>
      <c r="D81">
        <v>80</v>
      </c>
      <c r="E81" cm="1">
        <f t="array" ref="E81">_xlfn.XLOOKUP(fifa_ranking_2026_06_08[[#This Row],[team]],fifa_ranking_2022_10_06[[#All],[team]],fifa_ranking_2022_10_06[[#All],[rank]])</f>
        <v>69</v>
      </c>
      <c r="F81">
        <f>fifa_ranking_2026_06_08[[#This Row],[2022_rank]]-fifa_ranking_2026_06_08[[#This Row],[2026_rank]]</f>
        <v>-11</v>
      </c>
      <c r="G81">
        <v>81</v>
      </c>
      <c r="H81">
        <v>1301.9771909999999</v>
      </c>
      <c r="I81">
        <v>1295.518644</v>
      </c>
      <c r="J81">
        <v>48</v>
      </c>
    </row>
    <row r="82" spans="1:10" x14ac:dyDescent="0.2">
      <c r="A82" s="4" t="s">
        <v>280</v>
      </c>
      <c r="B82" s="4" t="s">
        <v>281</v>
      </c>
      <c r="C82" s="4" t="s">
        <v>146</v>
      </c>
      <c r="D82">
        <v>81</v>
      </c>
      <c r="E82" cm="1">
        <f t="array" ref="E82">_xlfn.XLOOKUP(fifa_ranking_2026_06_08[[#This Row],[team]],fifa_ranking_2022_10_06[[#All],[team]],fifa_ranking_2022_10_06[[#All],[rank]])</f>
        <v>83</v>
      </c>
      <c r="F82">
        <f>fifa_ranking_2026_06_08[[#This Row],[2022_rank]]-fifa_ranking_2026_06_08[[#This Row],[2026_rank]]</f>
        <v>2</v>
      </c>
      <c r="G82">
        <v>80</v>
      </c>
      <c r="H82">
        <v>1295.598845</v>
      </c>
      <c r="I82">
        <v>1300.0053600000001</v>
      </c>
      <c r="J82">
        <v>60</v>
      </c>
    </row>
    <row r="83" spans="1:10" x14ac:dyDescent="0.2">
      <c r="A83" s="4" t="s">
        <v>282</v>
      </c>
      <c r="B83" s="4" t="s">
        <v>283</v>
      </c>
      <c r="C83" s="4" t="s">
        <v>156</v>
      </c>
      <c r="D83">
        <v>82</v>
      </c>
      <c r="E83" cm="1">
        <f t="array" ref="E83">_xlfn.XLOOKUP(fifa_ranking_2026_06_08[[#This Row],[team]],fifa_ranking_2022_10_06[[#All],[team]],fifa_ranking_2022_10_06[[#All],[rank]])</f>
        <v>86</v>
      </c>
      <c r="F83">
        <f>fifa_ranking_2026_06_08[[#This Row],[2022_rank]]-fifa_ranking_2026_06_08[[#This Row],[2026_rank]]</f>
        <v>4</v>
      </c>
      <c r="G83">
        <v>82</v>
      </c>
      <c r="H83">
        <v>1294.76909</v>
      </c>
      <c r="I83">
        <v>1294.652918</v>
      </c>
      <c r="J83">
        <v>36</v>
      </c>
    </row>
    <row r="84" spans="1:10" x14ac:dyDescent="0.2">
      <c r="A84" s="4" t="s">
        <v>284</v>
      </c>
      <c r="B84" s="4" t="s">
        <v>285</v>
      </c>
      <c r="C84" s="4" t="s">
        <v>156</v>
      </c>
      <c r="D84">
        <v>83</v>
      </c>
      <c r="E84" cm="1">
        <f t="array" ref="E84">_xlfn.XLOOKUP(fifa_ranking_2026_06_08[[#This Row],[team]],fifa_ranking_2022_10_06[[#All],[team]],fifa_ranking_2022_10_06[[#All],[rank]])</f>
        <v>87</v>
      </c>
      <c r="F84">
        <f>fifa_ranking_2026_06_08[[#This Row],[2022_rank]]-fifa_ranking_2026_06_08[[#This Row],[2026_rank]]</f>
        <v>4</v>
      </c>
      <c r="G84">
        <v>83</v>
      </c>
      <c r="H84">
        <v>1293.096585</v>
      </c>
      <c r="I84">
        <v>1291.711814</v>
      </c>
      <c r="J84">
        <v>36</v>
      </c>
    </row>
    <row r="85" spans="1:10" x14ac:dyDescent="0.2">
      <c r="A85" s="4" t="s">
        <v>286</v>
      </c>
      <c r="B85" s="4" t="s">
        <v>287</v>
      </c>
      <c r="C85" s="4" t="s">
        <v>163</v>
      </c>
      <c r="D85">
        <v>84</v>
      </c>
      <c r="E85" cm="1">
        <f t="array" ref="E85">_xlfn.XLOOKUP(fifa_ranking_2026_06_08[[#This Row],[team]],fifa_ranking_2022_10_06[[#All],[team]],fifa_ranking_2022_10_06[[#All],[rank]])</f>
        <v>90</v>
      </c>
      <c r="F85">
        <f>fifa_ranking_2026_06_08[[#This Row],[2022_rank]]-fifa_ranking_2026_06_08[[#This Row],[2026_rank]]</f>
        <v>6</v>
      </c>
      <c r="G85">
        <v>84</v>
      </c>
      <c r="H85">
        <v>1283.0519019999999</v>
      </c>
      <c r="I85">
        <v>1288.556135</v>
      </c>
      <c r="J85">
        <v>50</v>
      </c>
    </row>
    <row r="86" spans="1:10" x14ac:dyDescent="0.2">
      <c r="A86" s="4" t="s">
        <v>288</v>
      </c>
      <c r="B86" s="4" t="s">
        <v>289</v>
      </c>
      <c r="C86" s="4" t="s">
        <v>290</v>
      </c>
      <c r="D86">
        <v>85</v>
      </c>
      <c r="E86" cm="1">
        <f t="array" ref="E86">_xlfn.XLOOKUP(fifa_ranking_2026_06_08[[#This Row],[team]],fifa_ranking_2022_10_06[[#All],[team]],fifa_ranking_2022_10_06[[#All],[rank]])</f>
        <v>105</v>
      </c>
      <c r="F86">
        <f>fifa_ranking_2026_06_08[[#This Row],[2022_rank]]-fifa_ranking_2026_06_08[[#This Row],[2026_rank]]</f>
        <v>20</v>
      </c>
      <c r="G86">
        <v>85</v>
      </c>
      <c r="H86">
        <v>1275.581062</v>
      </c>
      <c r="I86">
        <v>1281.566939</v>
      </c>
      <c r="J86">
        <v>47</v>
      </c>
    </row>
    <row r="87" spans="1:10" x14ac:dyDescent="0.2">
      <c r="A87" s="4" t="s">
        <v>291</v>
      </c>
      <c r="B87" s="4" t="s">
        <v>292</v>
      </c>
      <c r="C87" s="4" t="s">
        <v>146</v>
      </c>
      <c r="D87">
        <v>86</v>
      </c>
      <c r="E87" cm="1">
        <f t="array" ref="E87">_xlfn.XLOOKUP(fifa_ranking_2026_06_08[[#This Row],[team]],fifa_ranking_2022_10_06[[#All],[team]],fifa_ranking_2022_10_06[[#All],[rank]])</f>
        <v>81</v>
      </c>
      <c r="F87">
        <f>fifa_ranking_2026_06_08[[#This Row],[2022_rank]]-fifa_ranking_2026_06_08[[#This Row],[2026_rank]]</f>
        <v>-5</v>
      </c>
      <c r="G87">
        <v>87</v>
      </c>
      <c r="H87">
        <v>1272.508139</v>
      </c>
      <c r="I87">
        <v>1272.508139</v>
      </c>
      <c r="J87">
        <v>45</v>
      </c>
    </row>
    <row r="88" spans="1:10" x14ac:dyDescent="0.2">
      <c r="A88" s="4" t="s">
        <v>293</v>
      </c>
      <c r="B88" s="4" t="s">
        <v>294</v>
      </c>
      <c r="C88" s="4" t="s">
        <v>138</v>
      </c>
      <c r="D88">
        <v>87</v>
      </c>
      <c r="E88" cm="1">
        <f t="array" ref="E88">_xlfn.XLOOKUP(fifa_ranking_2026_06_08[[#This Row],[team]],fifa_ranking_2022_10_06[[#All],[team]],fifa_ranking_2022_10_06[[#All],[rank]])</f>
        <v>72</v>
      </c>
      <c r="F88">
        <f>fifa_ranking_2026_06_08[[#This Row],[2022_rank]]-fifa_ranking_2026_06_08[[#This Row],[2026_rank]]</f>
        <v>-15</v>
      </c>
      <c r="G88">
        <v>86</v>
      </c>
      <c r="H88">
        <v>1271.683325</v>
      </c>
      <c r="I88">
        <v>1278.9043750000001</v>
      </c>
      <c r="J88">
        <v>48</v>
      </c>
    </row>
    <row r="89" spans="1:10" x14ac:dyDescent="0.2">
      <c r="A89" s="4" t="s">
        <v>295</v>
      </c>
      <c r="B89" s="4" t="s">
        <v>296</v>
      </c>
      <c r="C89" s="4" t="s">
        <v>146</v>
      </c>
      <c r="D89">
        <v>88</v>
      </c>
      <c r="E89" cm="1">
        <f t="array" ref="E89">_xlfn.XLOOKUP(fifa_ranking_2026_06_08[[#This Row],[team]],fifa_ranking_2022_10_06[[#All],[team]],fifa_ranking_2022_10_06[[#All],[rank]])</f>
        <v>89</v>
      </c>
      <c r="F89">
        <f>fifa_ranking_2026_06_08[[#This Row],[2022_rank]]-fifa_ranking_2026_06_08[[#This Row],[2026_rank]]</f>
        <v>1</v>
      </c>
      <c r="G89">
        <v>88</v>
      </c>
      <c r="H89">
        <v>1264.0905909999999</v>
      </c>
      <c r="I89">
        <v>1264.0905909999999</v>
      </c>
      <c r="J89">
        <v>58</v>
      </c>
    </row>
    <row r="90" spans="1:10" x14ac:dyDescent="0.2">
      <c r="A90" s="4" t="s">
        <v>297</v>
      </c>
      <c r="B90" s="4" t="s">
        <v>298</v>
      </c>
      <c r="C90" s="4" t="s">
        <v>146</v>
      </c>
      <c r="D90">
        <v>89</v>
      </c>
      <c r="E90" cm="1">
        <f t="array" ref="E90">_xlfn.XLOOKUP(fifa_ranking_2026_06_08[[#This Row],[team]],fifa_ranking_2022_10_06[[#All],[team]],fifa_ranking_2022_10_06[[#All],[rank]])</f>
        <v>119</v>
      </c>
      <c r="F90">
        <f>fifa_ranking_2026_06_08[[#This Row],[2022_rank]]-fifa_ranking_2026_06_08[[#This Row],[2026_rank]]</f>
        <v>30</v>
      </c>
      <c r="G90">
        <v>89</v>
      </c>
      <c r="H90">
        <v>1262.2196980000001</v>
      </c>
      <c r="I90">
        <v>1263.0968109999999</v>
      </c>
      <c r="J90">
        <v>68</v>
      </c>
    </row>
    <row r="91" spans="1:10" x14ac:dyDescent="0.2">
      <c r="A91" s="4" t="s">
        <v>299</v>
      </c>
      <c r="B91" s="4" t="s">
        <v>300</v>
      </c>
      <c r="C91" s="4" t="s">
        <v>146</v>
      </c>
      <c r="D91">
        <v>90</v>
      </c>
      <c r="E91" cm="1">
        <f t="array" ref="E91">_xlfn.XLOOKUP(fifa_ranking_2026_06_08[[#This Row],[team]],fifa_ranking_2022_10_06[[#All],[team]],fifa_ranking_2022_10_06[[#All],[rank]])</f>
        <v>91</v>
      </c>
      <c r="F91">
        <f>fifa_ranking_2026_06_08[[#This Row],[2022_rank]]-fifa_ranking_2026_06_08[[#This Row],[2026_rank]]</f>
        <v>1</v>
      </c>
      <c r="G91">
        <v>90</v>
      </c>
      <c r="H91">
        <v>1258.2248529999999</v>
      </c>
      <c r="I91">
        <v>1258.9800210000001</v>
      </c>
      <c r="J91">
        <v>47</v>
      </c>
    </row>
    <row r="92" spans="1:10" x14ac:dyDescent="0.2">
      <c r="A92" s="4" t="s">
        <v>301</v>
      </c>
      <c r="B92" s="4" t="s">
        <v>302</v>
      </c>
      <c r="C92" s="4" t="s">
        <v>146</v>
      </c>
      <c r="D92">
        <v>91</v>
      </c>
      <c r="E92" cm="1">
        <f t="array" ref="E92">_xlfn.XLOOKUP(fifa_ranking_2026_06_08[[#This Row],[team]],fifa_ranking_2022_10_06[[#All],[team]],fifa_ranking_2022_10_06[[#All],[rank]])</f>
        <v>88</v>
      </c>
      <c r="F92">
        <f>fifa_ranking_2026_06_08[[#This Row],[2022_rank]]-fifa_ranking_2026_06_08[[#This Row],[2026_rank]]</f>
        <v>-3</v>
      </c>
      <c r="G92">
        <v>92</v>
      </c>
      <c r="H92">
        <v>1255.8218460000001</v>
      </c>
      <c r="I92">
        <v>1255.8218460000001</v>
      </c>
      <c r="J92">
        <v>61</v>
      </c>
    </row>
    <row r="93" spans="1:10" x14ac:dyDescent="0.2">
      <c r="A93" s="4" t="s">
        <v>303</v>
      </c>
      <c r="B93" s="4" t="s">
        <v>304</v>
      </c>
      <c r="C93" s="4" t="s">
        <v>163</v>
      </c>
      <c r="D93">
        <v>92</v>
      </c>
      <c r="E93" cm="1">
        <f t="array" ref="E93">_xlfn.XLOOKUP(fifa_ranking_2026_06_08[[#This Row],[team]],fifa_ranking_2022_10_06[[#All],[team]],fifa_ranking_2022_10_06[[#All],[rank]])</f>
        <v>79</v>
      </c>
      <c r="F93">
        <f>fifa_ranking_2026_06_08[[#This Row],[2022_rank]]-fifa_ranking_2026_06_08[[#This Row],[2026_rank]]</f>
        <v>-13</v>
      </c>
      <c r="G93">
        <v>94</v>
      </c>
      <c r="H93">
        <v>1254.848285</v>
      </c>
      <c r="I93">
        <v>1251.5978210000001</v>
      </c>
      <c r="J93">
        <v>46</v>
      </c>
    </row>
    <row r="94" spans="1:10" x14ac:dyDescent="0.2">
      <c r="A94" s="4" t="s">
        <v>305</v>
      </c>
      <c r="B94" s="4" t="s">
        <v>306</v>
      </c>
      <c r="C94" s="4" t="s">
        <v>163</v>
      </c>
      <c r="D94">
        <v>93</v>
      </c>
      <c r="E94" cm="1">
        <f t="array" ref="E94">_xlfn.XLOOKUP(fifa_ranking_2026_06_08[[#This Row],[team]],fifa_ranking_2022_10_06[[#All],[team]],fifa_ranking_2022_10_06[[#All],[rank]])</f>
        <v>85</v>
      </c>
      <c r="F94">
        <f>fifa_ranking_2026_06_08[[#This Row],[2022_rank]]-fifa_ranking_2026_06_08[[#This Row],[2026_rank]]</f>
        <v>-8</v>
      </c>
      <c r="G94">
        <v>91</v>
      </c>
      <c r="H94">
        <v>1254.4067990000001</v>
      </c>
      <c r="I94">
        <v>1258.5274919999999</v>
      </c>
      <c r="J94">
        <v>63</v>
      </c>
    </row>
    <row r="95" spans="1:10" x14ac:dyDescent="0.2">
      <c r="A95" s="4" t="s">
        <v>39</v>
      </c>
      <c r="B95" s="4" t="s">
        <v>307</v>
      </c>
      <c r="C95" s="4" t="s">
        <v>163</v>
      </c>
      <c r="D95">
        <v>94</v>
      </c>
      <c r="E95" cm="1">
        <f t="array" ref="E95">_xlfn.XLOOKUP(fifa_ranking_2026_06_08[[#This Row],[team]],fifa_ranking_2022_10_06[[#All],[team]],fifa_ranking_2022_10_06[[#All],[rank]])</f>
        <v>111</v>
      </c>
      <c r="F95">
        <f>fifa_ranking_2026_06_08[[#This Row],[2022_rank]]-fifa_ranking_2026_06_08[[#This Row],[2026_rank]]</f>
        <v>17</v>
      </c>
      <c r="G95">
        <v>93</v>
      </c>
      <c r="H95">
        <v>1250.7638790000001</v>
      </c>
      <c r="I95">
        <v>1252.138301</v>
      </c>
      <c r="J95">
        <v>71</v>
      </c>
    </row>
    <row r="96" spans="1:10" x14ac:dyDescent="0.2">
      <c r="A96" s="4" t="s">
        <v>308</v>
      </c>
      <c r="B96" s="4" t="s">
        <v>309</v>
      </c>
      <c r="C96" s="4" t="s">
        <v>163</v>
      </c>
      <c r="D96">
        <v>95</v>
      </c>
      <c r="E96" cm="1">
        <f t="array" ref="E96">_xlfn.XLOOKUP(fifa_ranking_2026_06_08[[#This Row],[team]],fifa_ranking_2022_10_06[[#All],[team]],fifa_ranking_2022_10_06[[#All],[rank]])</f>
        <v>94</v>
      </c>
      <c r="F96">
        <f>fifa_ranking_2026_06_08[[#This Row],[2022_rank]]-fifa_ranking_2026_06_08[[#This Row],[2026_rank]]</f>
        <v>-1</v>
      </c>
      <c r="G96">
        <v>95</v>
      </c>
      <c r="H96">
        <v>1244.2164990000001</v>
      </c>
      <c r="I96">
        <v>1244.7288020000001</v>
      </c>
      <c r="J96">
        <v>38</v>
      </c>
    </row>
    <row r="97" spans="1:10" x14ac:dyDescent="0.2">
      <c r="A97" s="4" t="s">
        <v>310</v>
      </c>
      <c r="B97" s="4" t="s">
        <v>311</v>
      </c>
      <c r="C97" s="4" t="s">
        <v>138</v>
      </c>
      <c r="D97">
        <v>96</v>
      </c>
      <c r="E97" cm="1">
        <f t="array" ref="E97">_xlfn.XLOOKUP(fifa_ranking_2026_06_08[[#This Row],[team]],fifa_ranking_2022_10_06[[#All],[team]],fifa_ranking_2022_10_06[[#All],[rank]])</f>
        <v>97</v>
      </c>
      <c r="F97">
        <f>fifa_ranking_2026_06_08[[#This Row],[2022_rank]]-fifa_ranking_2026_06_08[[#This Row],[2026_rank]]</f>
        <v>1</v>
      </c>
      <c r="G97">
        <v>97</v>
      </c>
      <c r="H97">
        <v>1241.324607</v>
      </c>
      <c r="I97">
        <v>1235.8203739999999</v>
      </c>
      <c r="J97">
        <v>47</v>
      </c>
    </row>
    <row r="98" spans="1:10" x14ac:dyDescent="0.2">
      <c r="A98" s="4" t="s">
        <v>312</v>
      </c>
      <c r="B98" s="4" t="s">
        <v>313</v>
      </c>
      <c r="C98" s="4" t="s">
        <v>156</v>
      </c>
      <c r="D98">
        <v>97</v>
      </c>
      <c r="E98" cm="1">
        <f t="array" ref="E98">_xlfn.XLOOKUP(fifa_ranking_2026_06_08[[#This Row],[team]],fifa_ranking_2022_10_06[[#All],[team]],fifa_ranking_2022_10_06[[#All],[rank]])</f>
        <v>118</v>
      </c>
      <c r="F98">
        <f>fifa_ranking_2026_06_08[[#This Row],[2022_rank]]-fifa_ranking_2026_06_08[[#This Row],[2026_rank]]</f>
        <v>21</v>
      </c>
      <c r="G98">
        <v>96</v>
      </c>
      <c r="H98">
        <v>1238.7437500000001</v>
      </c>
      <c r="I98">
        <v>1243.4749839999999</v>
      </c>
      <c r="J98">
        <v>54</v>
      </c>
    </row>
    <row r="99" spans="1:10" x14ac:dyDescent="0.2">
      <c r="A99" s="4" t="s">
        <v>314</v>
      </c>
      <c r="B99" s="4" t="s">
        <v>315</v>
      </c>
      <c r="C99" s="4" t="s">
        <v>138</v>
      </c>
      <c r="D99">
        <v>98</v>
      </c>
      <c r="E99" cm="1">
        <f t="array" ref="E99">_xlfn.XLOOKUP(fifa_ranking_2026_06_08[[#This Row],[team]],fifa_ranking_2022_10_06[[#All],[team]],fifa_ranking_2022_10_06[[#All],[rank]])</f>
        <v>92</v>
      </c>
      <c r="F99">
        <f>fifa_ranking_2026_06_08[[#This Row],[2022_rank]]-fifa_ranking_2026_06_08[[#This Row],[2026_rank]]</f>
        <v>-6</v>
      </c>
      <c r="G99">
        <v>98</v>
      </c>
      <c r="H99">
        <v>1232.8181500000001</v>
      </c>
      <c r="I99">
        <v>1227.7654620000001</v>
      </c>
      <c r="J99">
        <v>48</v>
      </c>
    </row>
    <row r="100" spans="1:10" x14ac:dyDescent="0.2">
      <c r="A100" s="4" t="s">
        <v>25</v>
      </c>
      <c r="B100" s="4" t="s">
        <v>316</v>
      </c>
      <c r="C100" s="4" t="s">
        <v>163</v>
      </c>
      <c r="D100">
        <v>99</v>
      </c>
      <c r="E100" cm="1">
        <f t="array" ref="E100">_xlfn.XLOOKUP(fifa_ranking_2026_06_08[[#This Row],[team]],fifa_ranking_2022_10_06[[#All],[team]],fifa_ranking_2022_10_06[[#All],[rank]])</f>
        <v>96</v>
      </c>
      <c r="F100">
        <f>fifa_ranking_2026_06_08[[#This Row],[2022_rank]]-fifa_ranking_2026_06_08[[#This Row],[2026_rank]]</f>
        <v>-3</v>
      </c>
      <c r="G100">
        <v>99</v>
      </c>
      <c r="H100">
        <v>1225.6794299999999</v>
      </c>
      <c r="I100">
        <v>1225.6794299999999</v>
      </c>
      <c r="J100">
        <v>59</v>
      </c>
    </row>
    <row r="101" spans="1:10" x14ac:dyDescent="0.2">
      <c r="A101" s="4" t="s">
        <v>317</v>
      </c>
      <c r="B101" s="4" t="s">
        <v>318</v>
      </c>
      <c r="C101" s="4" t="s">
        <v>163</v>
      </c>
      <c r="D101">
        <v>100</v>
      </c>
      <c r="E101" cm="1">
        <f t="array" ref="E101">_xlfn.XLOOKUP(fifa_ranking_2026_06_08[[#This Row],[team]],fifa_ranking_2022_10_06[[#All],[team]],fifa_ranking_2022_10_06[[#All],[rank]])</f>
        <v>108</v>
      </c>
      <c r="F101">
        <f>fifa_ranking_2026_06_08[[#This Row],[2022_rank]]-fifa_ranking_2026_06_08[[#This Row],[2026_rank]]</f>
        <v>8</v>
      </c>
      <c r="G101">
        <v>103</v>
      </c>
      <c r="H101">
        <v>1225.5189789999999</v>
      </c>
      <c r="I101">
        <v>1221.7809500000001</v>
      </c>
      <c r="J101">
        <v>45</v>
      </c>
    </row>
    <row r="102" spans="1:10" x14ac:dyDescent="0.2">
      <c r="A102" s="4" t="s">
        <v>319</v>
      </c>
      <c r="B102" s="4" t="s">
        <v>320</v>
      </c>
      <c r="C102" s="4" t="s">
        <v>156</v>
      </c>
      <c r="D102">
        <v>101</v>
      </c>
      <c r="E102" cm="1">
        <f t="array" ref="E102">_xlfn.XLOOKUP(fifa_ranking_2026_06_08[[#This Row],[team]],fifa_ranking_2022_10_06[[#All],[team]],fifa_ranking_2022_10_06[[#All],[rank]])</f>
        <v>74</v>
      </c>
      <c r="F102">
        <f>fifa_ranking_2026_06_08[[#This Row],[2022_rank]]-fifa_ranking_2026_06_08[[#This Row],[2026_rank]]</f>
        <v>-27</v>
      </c>
      <c r="G102">
        <v>100</v>
      </c>
      <c r="H102">
        <v>1225.344607</v>
      </c>
      <c r="I102">
        <v>1225.2587599999999</v>
      </c>
      <c r="J102">
        <v>55</v>
      </c>
    </row>
    <row r="103" spans="1:10" x14ac:dyDescent="0.2">
      <c r="A103" s="4" t="s">
        <v>321</v>
      </c>
      <c r="B103" s="4" t="s">
        <v>322</v>
      </c>
      <c r="C103" s="4" t="s">
        <v>146</v>
      </c>
      <c r="D103">
        <v>102</v>
      </c>
      <c r="E103" cm="1">
        <f t="array" ref="E103">_xlfn.XLOOKUP(fifa_ranking_2026_06_08[[#This Row],[team]],fifa_ranking_2022_10_06[[#All],[team]],fifa_ranking_2022_10_06[[#All],[rank]])</f>
        <v>114</v>
      </c>
      <c r="F103">
        <f>fifa_ranking_2026_06_08[[#This Row],[2022_rank]]-fifa_ranking_2026_06_08[[#This Row],[2026_rank]]</f>
        <v>12</v>
      </c>
      <c r="G103">
        <v>101</v>
      </c>
      <c r="H103">
        <v>1224.311107</v>
      </c>
      <c r="I103">
        <v>1224.311107</v>
      </c>
      <c r="J103">
        <v>60</v>
      </c>
    </row>
    <row r="104" spans="1:10" x14ac:dyDescent="0.2">
      <c r="A104" s="4" t="s">
        <v>323</v>
      </c>
      <c r="B104" s="4" t="s">
        <v>324</v>
      </c>
      <c r="C104" s="4" t="s">
        <v>156</v>
      </c>
      <c r="D104">
        <v>103</v>
      </c>
      <c r="E104" cm="1">
        <f t="array" ref="E104">_xlfn.XLOOKUP(fifa_ranking_2026_06_08[[#This Row],[team]],fifa_ranking_2022_10_06[[#All],[team]],fifa_ranking_2022_10_06[[#All],[rank]])</f>
        <v>104</v>
      </c>
      <c r="F104">
        <f>fifa_ranking_2026_06_08[[#This Row],[2022_rank]]-fifa_ranking_2026_06_08[[#This Row],[2026_rank]]</f>
        <v>1</v>
      </c>
      <c r="G104">
        <v>102</v>
      </c>
      <c r="H104">
        <v>1221.9518330000001</v>
      </c>
      <c r="I104">
        <v>1222.93812</v>
      </c>
      <c r="J104">
        <v>47</v>
      </c>
    </row>
    <row r="105" spans="1:10" x14ac:dyDescent="0.2">
      <c r="A105" s="4" t="s">
        <v>325</v>
      </c>
      <c r="B105" s="4" t="s">
        <v>326</v>
      </c>
      <c r="C105" s="4" t="s">
        <v>146</v>
      </c>
      <c r="D105">
        <v>104</v>
      </c>
      <c r="E105" cm="1">
        <f t="array" ref="E105">_xlfn.XLOOKUP(fifa_ranking_2026_06_08[[#This Row],[team]],fifa_ranking_2022_10_06[[#All],[team]],fifa_ranking_2022_10_06[[#All],[rank]])</f>
        <v>102</v>
      </c>
      <c r="F105">
        <f>fifa_ranking_2026_06_08[[#This Row],[2022_rank]]-fifa_ranking_2026_06_08[[#This Row],[2026_rank]]</f>
        <v>-2</v>
      </c>
      <c r="G105">
        <v>104</v>
      </c>
      <c r="H105">
        <v>1202.689766</v>
      </c>
      <c r="I105">
        <v>1203.76261</v>
      </c>
      <c r="J105">
        <v>59</v>
      </c>
    </row>
    <row r="106" spans="1:10" x14ac:dyDescent="0.2">
      <c r="A106" s="4" t="s">
        <v>327</v>
      </c>
      <c r="B106" s="4" t="s">
        <v>328</v>
      </c>
      <c r="C106" s="4" t="s">
        <v>146</v>
      </c>
      <c r="D106">
        <v>105</v>
      </c>
      <c r="E106" cm="1">
        <f t="array" ref="E106">_xlfn.XLOOKUP(fifa_ranking_2026_06_08[[#This Row],[team]],fifa_ranking_2022_10_06[[#All],[team]],fifa_ranking_2022_10_06[[#All],[rank]])</f>
        <v>98</v>
      </c>
      <c r="F106">
        <f>fifa_ranking_2026_06_08[[#This Row],[2022_rank]]-fifa_ranking_2026_06_08[[#This Row],[2026_rank]]</f>
        <v>-7</v>
      </c>
      <c r="G106">
        <v>105</v>
      </c>
      <c r="H106">
        <v>1195.197081</v>
      </c>
      <c r="I106">
        <v>1195.197081</v>
      </c>
      <c r="J106">
        <v>54</v>
      </c>
    </row>
    <row r="107" spans="1:10" x14ac:dyDescent="0.2">
      <c r="A107" s="4" t="s">
        <v>329</v>
      </c>
      <c r="B107" s="4" t="s">
        <v>330</v>
      </c>
      <c r="C107" s="4" t="s">
        <v>163</v>
      </c>
      <c r="D107">
        <v>106</v>
      </c>
      <c r="E107" cm="1">
        <f t="array" ref="E107">_xlfn.XLOOKUP(fifa_ranking_2026_06_08[[#This Row],[team]],fifa_ranking_2022_10_06[[#All],[team]],fifa_ranking_2022_10_06[[#All],[rank]])</f>
        <v>95</v>
      </c>
      <c r="F107">
        <f>fifa_ranking_2026_06_08[[#This Row],[2022_rank]]-fifa_ranking_2026_06_08[[#This Row],[2026_rank]]</f>
        <v>-11</v>
      </c>
      <c r="G107">
        <v>107</v>
      </c>
      <c r="H107">
        <v>1191.655395</v>
      </c>
      <c r="I107">
        <v>1191.143092</v>
      </c>
      <c r="J107">
        <v>39</v>
      </c>
    </row>
    <row r="108" spans="1:10" x14ac:dyDescent="0.2">
      <c r="A108" s="4" t="s">
        <v>331</v>
      </c>
      <c r="B108" s="4" t="s">
        <v>332</v>
      </c>
      <c r="C108" s="4" t="s">
        <v>138</v>
      </c>
      <c r="D108">
        <v>107</v>
      </c>
      <c r="E108" cm="1">
        <f t="array" ref="E108">_xlfn.XLOOKUP(fifa_ranking_2026_06_08[[#This Row],[team]],fifa_ranking_2022_10_06[[#All],[team]],fifa_ranking_2022_10_06[[#All],[rank]])</f>
        <v>93</v>
      </c>
      <c r="F108">
        <f>fifa_ranking_2026_06_08[[#This Row],[2022_rank]]-fifa_ranking_2026_06_08[[#This Row],[2026_rank]]</f>
        <v>-14</v>
      </c>
      <c r="G108">
        <v>106</v>
      </c>
      <c r="H108">
        <v>1191.334973</v>
      </c>
      <c r="I108">
        <v>1191.4161220000001</v>
      </c>
      <c r="J108">
        <v>46</v>
      </c>
    </row>
    <row r="109" spans="1:10" x14ac:dyDescent="0.2">
      <c r="A109" s="4" t="s">
        <v>333</v>
      </c>
      <c r="B109" s="4" t="s">
        <v>334</v>
      </c>
      <c r="C109" s="4" t="s">
        <v>146</v>
      </c>
      <c r="D109">
        <v>108</v>
      </c>
      <c r="E109" cm="1">
        <f t="array" ref="E109">_xlfn.XLOOKUP(fifa_ranking_2026_06_08[[#This Row],[team]],fifa_ranking_2022_10_06[[#All],[team]],fifa_ranking_2022_10_06[[#All],[rank]])</f>
        <v>129</v>
      </c>
      <c r="F109">
        <f>fifa_ranking_2026_06_08[[#This Row],[2022_rank]]-fifa_ranking_2026_06_08[[#This Row],[2026_rank]]</f>
        <v>21</v>
      </c>
      <c r="G109">
        <v>109</v>
      </c>
      <c r="H109">
        <v>1187.9109000000001</v>
      </c>
      <c r="I109">
        <v>1187.9109000000001</v>
      </c>
      <c r="J109">
        <v>62</v>
      </c>
    </row>
    <row r="110" spans="1:10" x14ac:dyDescent="0.2">
      <c r="A110" s="4" t="s">
        <v>335</v>
      </c>
      <c r="B110" s="4" t="s">
        <v>336</v>
      </c>
      <c r="C110" s="4" t="s">
        <v>146</v>
      </c>
      <c r="D110">
        <v>109</v>
      </c>
      <c r="E110" cm="1">
        <f t="array" ref="E110">_xlfn.XLOOKUP(fifa_ranking_2026_06_08[[#This Row],[team]],fifa_ranking_2022_10_06[[#All],[team]],fifa_ranking_2022_10_06[[#All],[rank]])</f>
        <v>101</v>
      </c>
      <c r="F110">
        <f>fifa_ranking_2026_06_08[[#This Row],[2022_rank]]-fifa_ranking_2026_06_08[[#This Row],[2026_rank]]</f>
        <v>-8</v>
      </c>
      <c r="G110">
        <v>111</v>
      </c>
      <c r="H110">
        <v>1185.0766309999999</v>
      </c>
      <c r="I110">
        <v>1182.230045</v>
      </c>
      <c r="J110">
        <v>46</v>
      </c>
    </row>
    <row r="111" spans="1:10" x14ac:dyDescent="0.2">
      <c r="A111" s="4" t="s">
        <v>337</v>
      </c>
      <c r="B111" s="4" t="s">
        <v>338</v>
      </c>
      <c r="C111" s="4" t="s">
        <v>138</v>
      </c>
      <c r="D111">
        <v>110</v>
      </c>
      <c r="E111" cm="1">
        <f t="array" ref="E111">_xlfn.XLOOKUP(fifa_ranking_2026_06_08[[#This Row],[team]],fifa_ranking_2022_10_06[[#All],[team]],fifa_ranking_2022_10_06[[#All],[rank]])</f>
        <v>113</v>
      </c>
      <c r="F111">
        <f>fifa_ranking_2026_06_08[[#This Row],[2022_rank]]-fifa_ranking_2026_06_08[[#This Row],[2026_rank]]</f>
        <v>3</v>
      </c>
      <c r="G111">
        <v>110</v>
      </c>
      <c r="H111">
        <v>1183.038315</v>
      </c>
      <c r="I111">
        <v>1182.9571659999999</v>
      </c>
      <c r="J111">
        <v>48</v>
      </c>
    </row>
    <row r="112" spans="1:10" x14ac:dyDescent="0.2">
      <c r="A112" s="4" t="s">
        <v>339</v>
      </c>
      <c r="B112" s="4" t="s">
        <v>340</v>
      </c>
      <c r="C112" s="4" t="s">
        <v>146</v>
      </c>
      <c r="D112">
        <v>111</v>
      </c>
      <c r="E112" cm="1">
        <f t="array" ref="E112">_xlfn.XLOOKUP(fifa_ranking_2026_06_08[[#This Row],[team]],fifa_ranking_2022_10_06[[#All],[team]],fifa_ranking_2022_10_06[[#All],[rank]])</f>
        <v>120</v>
      </c>
      <c r="F112">
        <f>fifa_ranking_2026_06_08[[#This Row],[2022_rank]]-fifa_ranking_2026_06_08[[#This Row],[2026_rank]]</f>
        <v>9</v>
      </c>
      <c r="G112">
        <v>112</v>
      </c>
      <c r="H112">
        <v>1182.0812639999999</v>
      </c>
      <c r="I112">
        <v>1182.0812639999999</v>
      </c>
      <c r="J112">
        <v>46</v>
      </c>
    </row>
    <row r="113" spans="1:10" x14ac:dyDescent="0.2">
      <c r="A113" s="4" t="s">
        <v>341</v>
      </c>
      <c r="B113" s="4" t="s">
        <v>342</v>
      </c>
      <c r="C113" s="4" t="s">
        <v>146</v>
      </c>
      <c r="D113">
        <v>112</v>
      </c>
      <c r="E113" cm="1">
        <f t="array" ref="E113">_xlfn.XLOOKUP(fifa_ranking_2026_06_08[[#This Row],[team]],fifa_ranking_2022_10_06[[#All],[team]],fifa_ranking_2022_10_06[[#All],[rank]])</f>
        <v>121</v>
      </c>
      <c r="F113">
        <f>fifa_ranking_2026_06_08[[#This Row],[2022_rank]]-fifa_ranking_2026_06_08[[#This Row],[2026_rank]]</f>
        <v>9</v>
      </c>
      <c r="G113">
        <v>114</v>
      </c>
      <c r="H113">
        <v>1180.416678</v>
      </c>
      <c r="I113">
        <v>1179.6615099999999</v>
      </c>
      <c r="J113">
        <v>53</v>
      </c>
    </row>
    <row r="114" spans="1:10" x14ac:dyDescent="0.2">
      <c r="A114" s="4" t="s">
        <v>343</v>
      </c>
      <c r="B114" s="4" t="s">
        <v>344</v>
      </c>
      <c r="C114" s="4" t="s">
        <v>146</v>
      </c>
      <c r="D114">
        <v>113</v>
      </c>
      <c r="E114" cm="1">
        <f t="array" ref="E114">_xlfn.XLOOKUP(fifa_ranking_2026_06_08[[#This Row],[team]],fifa_ranking_2022_10_06[[#All],[team]],fifa_ranking_2022_10_06[[#All],[rank]])</f>
        <v>130</v>
      </c>
      <c r="F114">
        <f>fifa_ranking_2026_06_08[[#This Row],[2022_rank]]-fifa_ranking_2026_06_08[[#This Row],[2026_rank]]</f>
        <v>17</v>
      </c>
      <c r="G114">
        <v>113</v>
      </c>
      <c r="H114">
        <v>1180.2678470000001</v>
      </c>
      <c r="I114">
        <v>1180.2678470000001</v>
      </c>
      <c r="J114">
        <v>54</v>
      </c>
    </row>
    <row r="115" spans="1:10" x14ac:dyDescent="0.2">
      <c r="A115" s="4" t="s">
        <v>345</v>
      </c>
      <c r="B115" s="4" t="s">
        <v>346</v>
      </c>
      <c r="C115" s="4" t="s">
        <v>163</v>
      </c>
      <c r="D115">
        <v>114</v>
      </c>
      <c r="E115" cm="1">
        <f t="array" ref="E115">_xlfn.XLOOKUP(fifa_ranking_2026_06_08[[#This Row],[team]],fifa_ranking_2022_10_06[[#All],[team]],fifa_ranking_2022_10_06[[#All],[rank]])</f>
        <v>99</v>
      </c>
      <c r="F115">
        <f>fifa_ranking_2026_06_08[[#This Row],[2022_rank]]-fifa_ranking_2026_06_08[[#This Row],[2026_rank]]</f>
        <v>-15</v>
      </c>
      <c r="G115">
        <v>108</v>
      </c>
      <c r="H115">
        <v>1172.215162</v>
      </c>
      <c r="I115">
        <v>1187.960362</v>
      </c>
      <c r="J115">
        <v>47</v>
      </c>
    </row>
    <row r="116" spans="1:10" x14ac:dyDescent="0.2">
      <c r="A116" s="4" t="s">
        <v>347</v>
      </c>
      <c r="B116" s="4" t="s">
        <v>348</v>
      </c>
      <c r="C116" s="4" t="s">
        <v>146</v>
      </c>
      <c r="D116">
        <v>115</v>
      </c>
      <c r="E116" cm="1">
        <f t="array" ref="E116">_xlfn.XLOOKUP(fifa_ranking_2026_06_08[[#This Row],[team]],fifa_ranking_2022_10_06[[#All],[team]],fifa_ranking_2022_10_06[[#All],[rank]])</f>
        <v>103</v>
      </c>
      <c r="F116">
        <f>fifa_ranking_2026_06_08[[#This Row],[2022_rank]]-fifa_ranking_2026_06_08[[#This Row],[2026_rank]]</f>
        <v>-12</v>
      </c>
      <c r="G116">
        <v>115</v>
      </c>
      <c r="H116">
        <v>1171.5963790000001</v>
      </c>
      <c r="I116">
        <v>1170.7192660000001</v>
      </c>
      <c r="J116">
        <v>65</v>
      </c>
    </row>
    <row r="117" spans="1:10" x14ac:dyDescent="0.2">
      <c r="A117" s="4" t="s">
        <v>349</v>
      </c>
      <c r="B117" s="4" t="s">
        <v>350</v>
      </c>
      <c r="C117" s="4" t="s">
        <v>146</v>
      </c>
      <c r="D117">
        <v>116</v>
      </c>
      <c r="E117" cm="1">
        <f t="array" ref="E117">_xlfn.XLOOKUP(fifa_ranking_2026_06_08[[#This Row],[team]],fifa_ranking_2022_10_06[[#All],[team]],fifa_ranking_2022_10_06[[#All],[rank]])</f>
        <v>126</v>
      </c>
      <c r="F117">
        <f>fifa_ranking_2026_06_08[[#This Row],[2022_rank]]-fifa_ranking_2026_06_08[[#This Row],[2026_rank]]</f>
        <v>10</v>
      </c>
      <c r="G117">
        <v>116</v>
      </c>
      <c r="H117">
        <v>1159.6378079999999</v>
      </c>
      <c r="I117">
        <v>1160.3806850000001</v>
      </c>
      <c r="J117">
        <v>48</v>
      </c>
    </row>
    <row r="118" spans="1:10" x14ac:dyDescent="0.2">
      <c r="A118" s="4" t="s">
        <v>351</v>
      </c>
      <c r="B118" s="4" t="s">
        <v>352</v>
      </c>
      <c r="C118" s="4" t="s">
        <v>146</v>
      </c>
      <c r="D118">
        <v>117</v>
      </c>
      <c r="E118" cm="1">
        <f t="array" ref="E118">_xlfn.XLOOKUP(fifa_ranking_2026_06_08[[#This Row],[team]],fifa_ranking_2022_10_06[[#All],[team]],fifa_ranking_2022_10_06[[#All],[rank]])</f>
        <v>128</v>
      </c>
      <c r="F118">
        <f>fifa_ranking_2026_06_08[[#This Row],[2022_rank]]-fifa_ranking_2026_06_08[[#This Row],[2026_rank]]</f>
        <v>11</v>
      </c>
      <c r="G118">
        <v>117</v>
      </c>
      <c r="H118">
        <v>1157.2239010000001</v>
      </c>
      <c r="I118">
        <v>1157.2239010000001</v>
      </c>
      <c r="J118">
        <v>61</v>
      </c>
    </row>
    <row r="119" spans="1:10" x14ac:dyDescent="0.2">
      <c r="A119" s="4" t="s">
        <v>353</v>
      </c>
      <c r="B119" s="4" t="s">
        <v>354</v>
      </c>
      <c r="C119" s="4" t="s">
        <v>146</v>
      </c>
      <c r="D119">
        <v>118</v>
      </c>
      <c r="E119" cm="1">
        <f t="array" ref="E119">_xlfn.XLOOKUP(fifa_ranking_2026_06_08[[#This Row],[team]],fifa_ranking_2022_10_06[[#All],[team]],fifa_ranking_2022_10_06[[#All],[rank]])</f>
        <v>117</v>
      </c>
      <c r="F119">
        <f>fifa_ranking_2026_06_08[[#This Row],[2022_rank]]-fifa_ranking_2026_06_08[[#This Row],[2026_rank]]</f>
        <v>-1</v>
      </c>
      <c r="G119">
        <v>119</v>
      </c>
      <c r="H119">
        <v>1153.309176</v>
      </c>
      <c r="I119">
        <v>1148.976347</v>
      </c>
      <c r="J119">
        <v>42</v>
      </c>
    </row>
    <row r="120" spans="1:10" x14ac:dyDescent="0.2">
      <c r="A120" s="4" t="s">
        <v>355</v>
      </c>
      <c r="B120" s="4" t="s">
        <v>356</v>
      </c>
      <c r="C120" s="4" t="s">
        <v>163</v>
      </c>
      <c r="D120">
        <v>119</v>
      </c>
      <c r="E120" cm="1">
        <f t="array" ref="E120">_xlfn.XLOOKUP(fifa_ranking_2026_06_08[[#This Row],[team]],fifa_ranking_2022_10_06[[#All],[team]],fifa_ranking_2022_10_06[[#All],[rank]])</f>
        <v>152</v>
      </c>
      <c r="F120">
        <f>fifa_ranking_2026_06_08[[#This Row],[2022_rank]]-fifa_ranking_2026_06_08[[#This Row],[2026_rank]]</f>
        <v>33</v>
      </c>
      <c r="G120">
        <v>122</v>
      </c>
      <c r="H120">
        <v>1151.4481149999999</v>
      </c>
      <c r="I120">
        <v>1144.8848869999999</v>
      </c>
      <c r="J120">
        <v>65</v>
      </c>
    </row>
    <row r="121" spans="1:10" x14ac:dyDescent="0.2">
      <c r="A121" s="4" t="s">
        <v>357</v>
      </c>
      <c r="B121" s="4" t="s">
        <v>358</v>
      </c>
      <c r="C121" s="4" t="s">
        <v>163</v>
      </c>
      <c r="D121">
        <v>120</v>
      </c>
      <c r="E121" cm="1">
        <f t="array" ref="E121">_xlfn.XLOOKUP(fifa_ranking_2026_06_08[[#This Row],[team]],fifa_ranking_2022_10_06[[#All],[team]],fifa_ranking_2022_10_06[[#All],[rank]])</f>
        <v>112</v>
      </c>
      <c r="F121">
        <f>fifa_ranking_2026_06_08[[#This Row],[2022_rank]]-fifa_ranking_2026_06_08[[#This Row],[2026_rank]]</f>
        <v>-8</v>
      </c>
      <c r="G121">
        <v>118</v>
      </c>
      <c r="H121">
        <v>1151.052136</v>
      </c>
      <c r="I121">
        <v>1151.052136</v>
      </c>
      <c r="J121">
        <v>17</v>
      </c>
    </row>
    <row r="122" spans="1:10" x14ac:dyDescent="0.2">
      <c r="A122" s="4" t="s">
        <v>359</v>
      </c>
      <c r="B122" s="4" t="s">
        <v>360</v>
      </c>
      <c r="C122" s="4" t="s">
        <v>146</v>
      </c>
      <c r="D122">
        <v>121</v>
      </c>
      <c r="E122" cm="1">
        <f t="array" ref="E122">_xlfn.XLOOKUP(fifa_ranking_2026_06_08[[#This Row],[team]],fifa_ranking_2022_10_06[[#All],[team]],fifa_ranking_2022_10_06[[#All],[rank]])</f>
        <v>115</v>
      </c>
      <c r="F122">
        <f>fifa_ranking_2026_06_08[[#This Row],[2022_rank]]-fifa_ranking_2026_06_08[[#This Row],[2026_rank]]</f>
        <v>-6</v>
      </c>
      <c r="G122">
        <v>120</v>
      </c>
      <c r="H122">
        <v>1148.8396949999999</v>
      </c>
      <c r="I122">
        <v>1148.8396949999999</v>
      </c>
      <c r="J122">
        <v>45</v>
      </c>
    </row>
    <row r="123" spans="1:10" x14ac:dyDescent="0.2">
      <c r="A123" s="4" t="s">
        <v>361</v>
      </c>
      <c r="B123" s="4" t="s">
        <v>362</v>
      </c>
      <c r="C123" s="4" t="s">
        <v>146</v>
      </c>
      <c r="D123">
        <v>122</v>
      </c>
      <c r="E123" cm="1">
        <f t="array" ref="E123">_xlfn.XLOOKUP(fifa_ranking_2026_06_08[[#This Row],[team]],fifa_ranking_2022_10_06[[#All],[team]],fifa_ranking_2022_10_06[[#All],[rank]])</f>
        <v>127</v>
      </c>
      <c r="F123">
        <f>fifa_ranking_2026_06_08[[#This Row],[2022_rank]]-fifa_ranking_2026_06_08[[#This Row],[2026_rank]]</f>
        <v>5</v>
      </c>
      <c r="G123">
        <v>121</v>
      </c>
      <c r="H123">
        <v>1146.703618</v>
      </c>
      <c r="I123">
        <v>1147.31212</v>
      </c>
      <c r="J123">
        <v>41</v>
      </c>
    </row>
    <row r="124" spans="1:10" x14ac:dyDescent="0.2">
      <c r="A124" s="4" t="s">
        <v>363</v>
      </c>
      <c r="B124" s="4" t="s">
        <v>364</v>
      </c>
      <c r="C124" s="4" t="s">
        <v>138</v>
      </c>
      <c r="D124">
        <v>123</v>
      </c>
      <c r="E124" cm="1">
        <f t="array" ref="E124">_xlfn.XLOOKUP(fifa_ranking_2026_06_08[[#This Row],[team]],fifa_ranking_2022_10_06[[#All],[team]],fifa_ranking_2022_10_06[[#All],[rank]])</f>
        <v>110</v>
      </c>
      <c r="F124">
        <f>fifa_ranking_2026_06_08[[#This Row],[2022_rank]]-fifa_ranking_2026_06_08[[#This Row],[2026_rank]]</f>
        <v>-13</v>
      </c>
      <c r="G124">
        <v>126</v>
      </c>
      <c r="H124">
        <v>1133.247165</v>
      </c>
      <c r="I124">
        <v>1128.3341190000001</v>
      </c>
      <c r="J124">
        <v>48</v>
      </c>
    </row>
    <row r="125" spans="1:10" x14ac:dyDescent="0.2">
      <c r="A125" s="4" t="s">
        <v>365</v>
      </c>
      <c r="B125" s="4" t="s">
        <v>366</v>
      </c>
      <c r="C125" s="4" t="s">
        <v>156</v>
      </c>
      <c r="D125">
        <v>124</v>
      </c>
      <c r="E125" cm="1">
        <f t="array" ref="E125">_xlfn.XLOOKUP(fifa_ranking_2026_06_08[[#This Row],[team]],fifa_ranking_2022_10_06[[#All],[team]],fifa_ranking_2022_10_06[[#All],[rank]])</f>
        <v>139</v>
      </c>
      <c r="F125">
        <f>fifa_ranking_2026_06_08[[#This Row],[2022_rank]]-fifa_ranking_2026_06_08[[#This Row],[2026_rank]]</f>
        <v>15</v>
      </c>
      <c r="G125">
        <v>125</v>
      </c>
      <c r="H125">
        <v>1132.4258950000001</v>
      </c>
      <c r="I125">
        <v>1132.4258950000001</v>
      </c>
      <c r="J125">
        <v>30</v>
      </c>
    </row>
    <row r="126" spans="1:10" x14ac:dyDescent="0.2">
      <c r="A126" s="4" t="s">
        <v>367</v>
      </c>
      <c r="B126" s="4" t="s">
        <v>368</v>
      </c>
      <c r="C126" s="4" t="s">
        <v>138</v>
      </c>
      <c r="D126">
        <v>125</v>
      </c>
      <c r="E126" cm="1">
        <f t="array" ref="E126">_xlfn.XLOOKUP(fifa_ranking_2026_06_08[[#This Row],[team]],fifa_ranking_2022_10_06[[#All],[team]],fifa_ranking_2022_10_06[[#All],[rank]])</f>
        <v>122</v>
      </c>
      <c r="F126">
        <f>fifa_ranking_2026_06_08[[#This Row],[2022_rank]]-fifa_ranking_2026_06_08[[#This Row],[2026_rank]]</f>
        <v>-3</v>
      </c>
      <c r="G126">
        <v>123</v>
      </c>
      <c r="H126">
        <v>1131.984479</v>
      </c>
      <c r="I126">
        <v>1137.138273</v>
      </c>
      <c r="J126">
        <v>46</v>
      </c>
    </row>
    <row r="127" spans="1:10" x14ac:dyDescent="0.2">
      <c r="A127" s="4" t="s">
        <v>369</v>
      </c>
      <c r="B127" s="4" t="s">
        <v>370</v>
      </c>
      <c r="C127" s="4" t="s">
        <v>138</v>
      </c>
      <c r="D127">
        <v>126</v>
      </c>
      <c r="E127" cm="1">
        <f t="array" ref="E127">_xlfn.XLOOKUP(fifa_ranking_2026_06_08[[#This Row],[team]],fifa_ranking_2022_10_06[[#All],[team]],fifa_ranking_2022_10_06[[#All],[rank]])</f>
        <v>123</v>
      </c>
      <c r="F127">
        <f>fifa_ranking_2026_06_08[[#This Row],[2022_rank]]-fifa_ranking_2026_06_08[[#This Row],[2026_rank]]</f>
        <v>-3</v>
      </c>
      <c r="G127">
        <v>124</v>
      </c>
      <c r="H127">
        <v>1130.263211</v>
      </c>
      <c r="I127">
        <v>1136.6663000000001</v>
      </c>
      <c r="J127">
        <v>46</v>
      </c>
    </row>
    <row r="128" spans="1:10" x14ac:dyDescent="0.2">
      <c r="A128" s="4" t="s">
        <v>371</v>
      </c>
      <c r="B128" s="4" t="s">
        <v>372</v>
      </c>
      <c r="C128" s="4" t="s">
        <v>146</v>
      </c>
      <c r="D128">
        <v>127</v>
      </c>
      <c r="E128" cm="1">
        <f t="array" ref="E128">_xlfn.XLOOKUP(fifa_ranking_2026_06_08[[#This Row],[team]],fifa_ranking_2022_10_06[[#All],[team]],fifa_ranking_2022_10_06[[#All],[rank]])</f>
        <v>137</v>
      </c>
      <c r="F128">
        <f>fifa_ranking_2026_06_08[[#This Row],[2022_rank]]-fifa_ranking_2026_06_08[[#This Row],[2026_rank]]</f>
        <v>10</v>
      </c>
      <c r="G128">
        <v>128</v>
      </c>
      <c r="H128">
        <v>1126.6222749999999</v>
      </c>
      <c r="I128">
        <v>1126.6222749999999</v>
      </c>
      <c r="J128">
        <v>40</v>
      </c>
    </row>
    <row r="129" spans="1:10" x14ac:dyDescent="0.2">
      <c r="A129" s="4" t="s">
        <v>373</v>
      </c>
      <c r="B129" s="4" t="s">
        <v>374</v>
      </c>
      <c r="C129" s="4" t="s">
        <v>138</v>
      </c>
      <c r="D129">
        <v>128</v>
      </c>
      <c r="E129" cm="1">
        <f t="array" ref="E129">_xlfn.XLOOKUP(fifa_ranking_2026_06_08[[#This Row],[team]],fifa_ranking_2022_10_06[[#All],[team]],fifa_ranking_2022_10_06[[#All],[rank]])</f>
        <v>109</v>
      </c>
      <c r="F129">
        <f>fifa_ranking_2026_06_08[[#This Row],[2022_rank]]-fifa_ranking_2026_06_08[[#This Row],[2026_rank]]</f>
        <v>-19</v>
      </c>
      <c r="G129">
        <v>129</v>
      </c>
      <c r="H129">
        <v>1126.2569510000001</v>
      </c>
      <c r="I129">
        <v>1121.103157</v>
      </c>
      <c r="J129">
        <v>51</v>
      </c>
    </row>
    <row r="130" spans="1:10" x14ac:dyDescent="0.2">
      <c r="A130" s="4" t="s">
        <v>375</v>
      </c>
      <c r="B130" s="4" t="s">
        <v>376</v>
      </c>
      <c r="C130" s="4" t="s">
        <v>146</v>
      </c>
      <c r="D130">
        <v>129</v>
      </c>
      <c r="E130" cm="1">
        <f t="array" ref="E130">_xlfn.XLOOKUP(fifa_ranking_2026_06_08[[#This Row],[team]],fifa_ranking_2022_10_06[[#All],[team]],fifa_ranking_2022_10_06[[#All],[rank]])</f>
        <v>124</v>
      </c>
      <c r="F130">
        <f>fifa_ranking_2026_06_08[[#This Row],[2022_rank]]-fifa_ranking_2026_06_08[[#This Row],[2026_rank]]</f>
        <v>-5</v>
      </c>
      <c r="G130">
        <v>127</v>
      </c>
      <c r="H130">
        <v>1122.4880820000001</v>
      </c>
      <c r="I130">
        <v>1128.0278579999999</v>
      </c>
      <c r="J130">
        <v>50</v>
      </c>
    </row>
    <row r="131" spans="1:10" x14ac:dyDescent="0.2">
      <c r="A131" s="4" t="s">
        <v>377</v>
      </c>
      <c r="B131" s="4" t="s">
        <v>378</v>
      </c>
      <c r="C131" s="4" t="s">
        <v>146</v>
      </c>
      <c r="D131">
        <v>130</v>
      </c>
      <c r="E131" cm="1">
        <f t="array" ref="E131">_xlfn.XLOOKUP(fifa_ranking_2026_06_08[[#This Row],[team]],fifa_ranking_2022_10_06[[#All],[team]],fifa_ranking_2022_10_06[[#All],[rank]])</f>
        <v>125</v>
      </c>
      <c r="F131">
        <f>fifa_ranking_2026_06_08[[#This Row],[2022_rank]]-fifa_ranking_2026_06_08[[#This Row],[2026_rank]]</f>
        <v>-5</v>
      </c>
      <c r="G131">
        <v>130</v>
      </c>
      <c r="H131">
        <v>1119.7769499999999</v>
      </c>
      <c r="I131">
        <v>1118.1238330000001</v>
      </c>
      <c r="J131">
        <v>39</v>
      </c>
    </row>
    <row r="132" spans="1:10" x14ac:dyDescent="0.2">
      <c r="A132" s="4" t="s">
        <v>379</v>
      </c>
      <c r="B132" s="4" t="s">
        <v>380</v>
      </c>
      <c r="C132" s="4" t="s">
        <v>156</v>
      </c>
      <c r="D132">
        <v>131</v>
      </c>
      <c r="E132" cm="1">
        <f t="array" ref="E132">_xlfn.XLOOKUP(fifa_ranking_2026_06_08[[#This Row],[team]],fifa_ranking_2022_10_06[[#All],[team]],fifa_ranking_2022_10_06[[#All],[rank]])</f>
        <v>142</v>
      </c>
      <c r="F132">
        <f>fifa_ranking_2026_06_08[[#This Row],[2022_rank]]-fifa_ranking_2026_06_08[[#This Row],[2026_rank]]</f>
        <v>11</v>
      </c>
      <c r="G132">
        <v>131</v>
      </c>
      <c r="H132">
        <v>1114.634184</v>
      </c>
      <c r="I132">
        <v>1115.1314199999999</v>
      </c>
      <c r="J132">
        <v>40</v>
      </c>
    </row>
    <row r="133" spans="1:10" x14ac:dyDescent="0.2">
      <c r="A133" s="4" t="s">
        <v>381</v>
      </c>
      <c r="B133" s="4" t="s">
        <v>382</v>
      </c>
      <c r="C133" s="4" t="s">
        <v>146</v>
      </c>
      <c r="D133">
        <v>132</v>
      </c>
      <c r="E133" cm="1">
        <f t="array" ref="E133">_xlfn.XLOOKUP(fifa_ranking_2026_06_08[[#This Row],[team]],fifa_ranking_2022_10_06[[#All],[team]],fifa_ranking_2022_10_06[[#All],[rank]])</f>
        <v>116</v>
      </c>
      <c r="F133">
        <f>fifa_ranking_2026_06_08[[#This Row],[2022_rank]]-fifa_ranking_2026_06_08[[#This Row],[2026_rank]]</f>
        <v>-16</v>
      </c>
      <c r="G133">
        <v>132</v>
      </c>
      <c r="H133">
        <v>1108.3815529999999</v>
      </c>
      <c r="I133">
        <v>1108.3815529999999</v>
      </c>
      <c r="J133">
        <v>48</v>
      </c>
    </row>
    <row r="134" spans="1:10" x14ac:dyDescent="0.2">
      <c r="A134" s="4" t="s">
        <v>383</v>
      </c>
      <c r="B134" s="4" t="s">
        <v>384</v>
      </c>
      <c r="C134" s="4" t="s">
        <v>163</v>
      </c>
      <c r="D134">
        <v>133</v>
      </c>
      <c r="E134" cm="1">
        <f t="array" ref="E134">_xlfn.XLOOKUP(fifa_ranking_2026_06_08[[#This Row],[team]],fifa_ranking_2022_10_06[[#All],[team]],fifa_ranking_2022_10_06[[#All],[rank]])</f>
        <v>149</v>
      </c>
      <c r="F134">
        <f>fifa_ranking_2026_06_08[[#This Row],[2022_rank]]-fifa_ranking_2026_06_08[[#This Row],[2026_rank]]</f>
        <v>16</v>
      </c>
      <c r="G134">
        <v>134</v>
      </c>
      <c r="H134">
        <v>1106.4745869999999</v>
      </c>
      <c r="I134">
        <v>1105.1001650000001</v>
      </c>
      <c r="J134">
        <v>58</v>
      </c>
    </row>
    <row r="135" spans="1:10" x14ac:dyDescent="0.2">
      <c r="A135" s="4" t="s">
        <v>385</v>
      </c>
      <c r="B135" s="4" t="s">
        <v>386</v>
      </c>
      <c r="C135" s="4" t="s">
        <v>146</v>
      </c>
      <c r="D135">
        <v>134</v>
      </c>
      <c r="E135" cm="1">
        <f t="array" ref="E135">_xlfn.XLOOKUP(fifa_ranking_2026_06_08[[#This Row],[team]],fifa_ranking_2022_10_06[[#All],[team]],fifa_ranking_2022_10_06[[#All],[rank]])</f>
        <v>100</v>
      </c>
      <c r="F135">
        <f>fifa_ranking_2026_06_08[[#This Row],[2022_rank]]-fifa_ranking_2026_06_08[[#This Row],[2026_rank]]</f>
        <v>-34</v>
      </c>
      <c r="G135">
        <v>133</v>
      </c>
      <c r="H135">
        <v>1105.964661</v>
      </c>
      <c r="I135">
        <v>1105.964661</v>
      </c>
      <c r="J135">
        <v>37</v>
      </c>
    </row>
    <row r="136" spans="1:10" x14ac:dyDescent="0.2">
      <c r="A136" s="4" t="s">
        <v>30</v>
      </c>
      <c r="B136" s="4" t="s">
        <v>387</v>
      </c>
      <c r="C136" s="4" t="s">
        <v>163</v>
      </c>
      <c r="D136">
        <v>135</v>
      </c>
      <c r="E136" cm="1">
        <f t="array" ref="E136">_xlfn.XLOOKUP(fifa_ranking_2026_06_08[[#This Row],[team]],fifa_ranking_2022_10_06[[#All],[team]],fifa_ranking_2022_10_06[[#All],[rank]])</f>
        <v>133</v>
      </c>
      <c r="F136">
        <f>fifa_ranking_2026_06_08[[#This Row],[2022_rank]]-fifa_ranking_2026_06_08[[#This Row],[2026_rank]]</f>
        <v>-2</v>
      </c>
      <c r="G136">
        <v>135</v>
      </c>
      <c r="H136">
        <v>1096.72639</v>
      </c>
      <c r="I136">
        <v>1094.097577</v>
      </c>
      <c r="J136">
        <v>46</v>
      </c>
    </row>
    <row r="137" spans="1:10" x14ac:dyDescent="0.2">
      <c r="A137" s="4" t="s">
        <v>388</v>
      </c>
      <c r="B137" s="4" t="s">
        <v>389</v>
      </c>
      <c r="C137" s="4" t="s">
        <v>138</v>
      </c>
      <c r="D137">
        <v>136</v>
      </c>
      <c r="E137" cm="1">
        <f t="array" ref="E137">_xlfn.XLOOKUP(fifa_ranking_2026_06_08[[#This Row],[team]],fifa_ranking_2022_10_06[[#All],[team]],fifa_ranking_2022_10_06[[#All],[rank]])</f>
        <v>134</v>
      </c>
      <c r="F137">
        <f>fifa_ranking_2026_06_08[[#This Row],[2022_rank]]-fifa_ranking_2026_06_08[[#This Row],[2026_rank]]</f>
        <v>-2</v>
      </c>
      <c r="G137">
        <v>137</v>
      </c>
      <c r="H137">
        <v>1090.261315</v>
      </c>
      <c r="I137">
        <v>1090.5693530000001</v>
      </c>
      <c r="J137">
        <v>47</v>
      </c>
    </row>
    <row r="138" spans="1:10" x14ac:dyDescent="0.2">
      <c r="A138" s="4" t="s">
        <v>390</v>
      </c>
      <c r="B138" s="4" t="s">
        <v>391</v>
      </c>
      <c r="C138" s="4" t="s">
        <v>163</v>
      </c>
      <c r="D138">
        <v>137</v>
      </c>
      <c r="E138" cm="1">
        <f t="array" ref="E138">_xlfn.XLOOKUP(fifa_ranking_2026_06_08[[#This Row],[team]],fifa_ranking_2022_10_06[[#All],[team]],fifa_ranking_2022_10_06[[#All],[rank]])</f>
        <v>146</v>
      </c>
      <c r="F138">
        <f>fifa_ranking_2026_06_08[[#This Row],[2022_rank]]-fifa_ranking_2026_06_08[[#This Row],[2026_rank]]</f>
        <v>9</v>
      </c>
      <c r="G138">
        <v>138</v>
      </c>
      <c r="H138">
        <v>1086.218087</v>
      </c>
      <c r="I138">
        <v>1086.218087</v>
      </c>
      <c r="J138">
        <v>58</v>
      </c>
    </row>
    <row r="139" spans="1:10" x14ac:dyDescent="0.2">
      <c r="A139" s="4" t="s">
        <v>392</v>
      </c>
      <c r="B139" s="4" t="s">
        <v>393</v>
      </c>
      <c r="C139" s="4" t="s">
        <v>146</v>
      </c>
      <c r="D139">
        <v>138</v>
      </c>
      <c r="E139" cm="1">
        <f t="array" ref="E139">_xlfn.XLOOKUP(fifa_ranking_2026_06_08[[#This Row],[team]],fifa_ranking_2022_10_06[[#All],[team]],fifa_ranking_2022_10_06[[#All],[rank]])</f>
        <v>132</v>
      </c>
      <c r="F139">
        <f>fifa_ranking_2026_06_08[[#This Row],[2022_rank]]-fifa_ranking_2026_06_08[[#This Row],[2026_rank]]</f>
        <v>-6</v>
      </c>
      <c r="G139">
        <v>139</v>
      </c>
      <c r="H139">
        <v>1084.1801029999999</v>
      </c>
      <c r="I139">
        <v>1083.5716010000001</v>
      </c>
      <c r="J139">
        <v>40</v>
      </c>
    </row>
    <row r="140" spans="1:10" x14ac:dyDescent="0.2">
      <c r="A140" s="4" t="s">
        <v>6</v>
      </c>
      <c r="B140" s="4" t="s">
        <v>394</v>
      </c>
      <c r="C140" s="4" t="s">
        <v>163</v>
      </c>
      <c r="D140">
        <v>139</v>
      </c>
      <c r="E140" cm="1">
        <f t="array" ref="E140">_xlfn.XLOOKUP(fifa_ranking_2026_06_08[[#This Row],[team]],fifa_ranking_2022_10_06[[#All],[team]],fifa_ranking_2022_10_06[[#All],[rank]])</f>
        <v>106</v>
      </c>
      <c r="F140">
        <f>fifa_ranking_2026_06_08[[#This Row],[2022_rank]]-fifa_ranking_2026_06_08[[#This Row],[2026_rank]]</f>
        <v>-33</v>
      </c>
      <c r="G140">
        <v>136</v>
      </c>
      <c r="H140">
        <v>1083.6018939999999</v>
      </c>
      <c r="I140">
        <v>1091.027887</v>
      </c>
      <c r="J140">
        <v>53</v>
      </c>
    </row>
    <row r="141" spans="1:10" x14ac:dyDescent="0.2">
      <c r="A141" s="4" t="s">
        <v>395</v>
      </c>
      <c r="B141" s="4" t="s">
        <v>396</v>
      </c>
      <c r="C141" s="4" t="s">
        <v>163</v>
      </c>
      <c r="D141">
        <v>140</v>
      </c>
      <c r="E141" cm="1">
        <f t="array" ref="E141">_xlfn.XLOOKUP(fifa_ranking_2026_06_08[[#This Row],[team]],fifa_ranking_2022_10_06[[#All],[team]],fifa_ranking_2022_10_06[[#All],[rank]])</f>
        <v>135</v>
      </c>
      <c r="F141">
        <f>fifa_ranking_2026_06_08[[#This Row],[2022_rank]]-fifa_ranking_2026_06_08[[#This Row],[2026_rank]]</f>
        <v>-5</v>
      </c>
      <c r="G141">
        <v>141</v>
      </c>
      <c r="H141">
        <v>1078.6523460000001</v>
      </c>
      <c r="I141">
        <v>1078.6523460000001</v>
      </c>
      <c r="J141">
        <v>25</v>
      </c>
    </row>
    <row r="142" spans="1:10" x14ac:dyDescent="0.2">
      <c r="A142" s="4" t="s">
        <v>397</v>
      </c>
      <c r="B142" s="4" t="s">
        <v>398</v>
      </c>
      <c r="C142" s="4" t="s">
        <v>146</v>
      </c>
      <c r="D142">
        <v>141</v>
      </c>
      <c r="E142" cm="1">
        <f t="array" ref="E142">_xlfn.XLOOKUP(fifa_ranking_2026_06_08[[#This Row],[team]],fifa_ranking_2022_10_06[[#All],[team]],fifa_ranking_2022_10_06[[#All],[rank]])</f>
        <v>141</v>
      </c>
      <c r="F142">
        <f>fifa_ranking_2026_06_08[[#This Row],[2022_rank]]-fifa_ranking_2026_06_08[[#This Row],[2026_rank]]</f>
        <v>0</v>
      </c>
      <c r="G142">
        <v>142</v>
      </c>
      <c r="H142">
        <v>1078.009468</v>
      </c>
      <c r="I142">
        <v>1078.009468</v>
      </c>
      <c r="J142">
        <v>36</v>
      </c>
    </row>
    <row r="143" spans="1:10" x14ac:dyDescent="0.2">
      <c r="A143" s="4" t="s">
        <v>399</v>
      </c>
      <c r="B143" s="4" t="s">
        <v>400</v>
      </c>
      <c r="C143" s="4" t="s">
        <v>146</v>
      </c>
      <c r="D143">
        <v>142</v>
      </c>
      <c r="E143" cm="1">
        <f t="array" ref="E143">_xlfn.XLOOKUP(fifa_ranking_2026_06_08[[#This Row],[team]],fifa_ranking_2022_10_06[[#All],[team]],fifa_ranking_2022_10_06[[#All],[rank]])</f>
        <v>138</v>
      </c>
      <c r="F143">
        <f>fifa_ranking_2026_06_08[[#This Row],[2022_rank]]-fifa_ranking_2026_06_08[[#This Row],[2026_rank]]</f>
        <v>-4</v>
      </c>
      <c r="G143">
        <v>144</v>
      </c>
      <c r="H143">
        <v>1077.0863079999999</v>
      </c>
      <c r="I143">
        <v>1071.5465320000001</v>
      </c>
      <c r="J143">
        <v>48</v>
      </c>
    </row>
    <row r="144" spans="1:10" x14ac:dyDescent="0.2">
      <c r="A144" s="4" t="s">
        <v>401</v>
      </c>
      <c r="B144" s="4" t="s">
        <v>402</v>
      </c>
      <c r="C144" s="4" t="s">
        <v>156</v>
      </c>
      <c r="D144">
        <v>143</v>
      </c>
      <c r="E144" cm="1">
        <f t="array" ref="E144">_xlfn.XLOOKUP(fifa_ranking_2026_06_08[[#This Row],[team]],fifa_ranking_2022_10_06[[#All],[team]],fifa_ranking_2022_10_06[[#All],[rank]])</f>
        <v>153</v>
      </c>
      <c r="F144">
        <f>fifa_ranking_2026_06_08[[#This Row],[2022_rank]]-fifa_ranking_2026_06_08[[#This Row],[2026_rank]]</f>
        <v>10</v>
      </c>
      <c r="G144">
        <v>143</v>
      </c>
      <c r="H144">
        <v>1076.498501</v>
      </c>
      <c r="I144">
        <v>1077.9540750000001</v>
      </c>
      <c r="J144">
        <v>34</v>
      </c>
    </row>
    <row r="145" spans="1:10" x14ac:dyDescent="0.2">
      <c r="A145" s="4" t="s">
        <v>403</v>
      </c>
      <c r="B145" s="4" t="s">
        <v>404</v>
      </c>
      <c r="C145" s="4" t="s">
        <v>146</v>
      </c>
      <c r="D145">
        <v>144</v>
      </c>
      <c r="E145" cm="1">
        <f t="array" ref="E145">_xlfn.XLOOKUP(fifa_ranking_2026_06_08[[#This Row],[team]],fifa_ranking_2022_10_06[[#All],[team]],fifa_ranking_2022_10_06[[#All],[rank]])</f>
        <v>150</v>
      </c>
      <c r="F145">
        <f>fifa_ranking_2026_06_08[[#This Row],[2022_rank]]-fifa_ranking_2026_06_08[[#This Row],[2026_rank]]</f>
        <v>6</v>
      </c>
      <c r="G145">
        <v>140</v>
      </c>
      <c r="H145">
        <v>1074.686684</v>
      </c>
      <c r="I145">
        <v>1079.019513</v>
      </c>
      <c r="J145">
        <v>41</v>
      </c>
    </row>
    <row r="146" spans="1:10" x14ac:dyDescent="0.2">
      <c r="A146" s="4" t="s">
        <v>405</v>
      </c>
      <c r="B146" s="4" t="s">
        <v>406</v>
      </c>
      <c r="C146" s="4" t="s">
        <v>163</v>
      </c>
      <c r="D146">
        <v>145</v>
      </c>
      <c r="E146" cm="1">
        <f t="array" ref="E146">_xlfn.XLOOKUP(fifa_ranking_2026_06_08[[#This Row],[team]],fifa_ranking_2022_10_06[[#All],[team]],fifa_ranking_2022_10_06[[#All],[rank]])</f>
        <v>155</v>
      </c>
      <c r="F146">
        <f>fifa_ranking_2026_06_08[[#This Row],[2022_rank]]-fifa_ranking_2026_06_08[[#This Row],[2026_rank]]</f>
        <v>10</v>
      </c>
      <c r="G146">
        <v>149</v>
      </c>
      <c r="H146">
        <v>1065.236881</v>
      </c>
      <c r="I146">
        <v>1049.491681</v>
      </c>
      <c r="J146">
        <v>27</v>
      </c>
    </row>
    <row r="147" spans="1:10" x14ac:dyDescent="0.2">
      <c r="A147" s="4" t="s">
        <v>407</v>
      </c>
      <c r="B147" s="4" t="s">
        <v>408</v>
      </c>
      <c r="C147" s="4" t="s">
        <v>146</v>
      </c>
      <c r="D147">
        <v>146</v>
      </c>
      <c r="E147" cm="1">
        <f t="array" ref="E147">_xlfn.XLOOKUP(fifa_ranking_2026_06_08[[#This Row],[team]],fifa_ranking_2022_10_06[[#All],[team]],fifa_ranking_2022_10_06[[#All],[rank]])</f>
        <v>147</v>
      </c>
      <c r="F147">
        <f>fifa_ranking_2026_06_08[[#This Row],[2022_rank]]-fifa_ranking_2026_06_08[[#This Row],[2026_rank]]</f>
        <v>1</v>
      </c>
      <c r="G147">
        <v>145</v>
      </c>
      <c r="H147">
        <v>1064.285838</v>
      </c>
      <c r="I147">
        <v>1067.1324239999999</v>
      </c>
      <c r="J147">
        <v>49</v>
      </c>
    </row>
    <row r="148" spans="1:10" x14ac:dyDescent="0.2">
      <c r="A148" s="4" t="s">
        <v>409</v>
      </c>
      <c r="B148" s="4" t="s">
        <v>410</v>
      </c>
      <c r="C148" s="4" t="s">
        <v>146</v>
      </c>
      <c r="D148">
        <v>147</v>
      </c>
      <c r="E148" cm="1">
        <f t="array" ref="E148">_xlfn.XLOOKUP(fifa_ranking_2026_06_08[[#This Row],[team]],fifa_ranking_2022_10_06[[#All],[team]],fifa_ranking_2022_10_06[[#All],[rank]])</f>
        <v>148</v>
      </c>
      <c r="F148">
        <f>fifa_ranking_2026_06_08[[#This Row],[2022_rank]]-fifa_ranking_2026_06_08[[#This Row],[2026_rank]]</f>
        <v>1</v>
      </c>
      <c r="G148">
        <v>146</v>
      </c>
      <c r="H148">
        <v>1063.6313680000001</v>
      </c>
      <c r="I148">
        <v>1063.6313680000001</v>
      </c>
      <c r="J148">
        <v>48</v>
      </c>
    </row>
    <row r="149" spans="1:10" x14ac:dyDescent="0.2">
      <c r="A149" s="4" t="s">
        <v>411</v>
      </c>
      <c r="B149" s="4" t="s">
        <v>412</v>
      </c>
      <c r="C149" s="4" t="s">
        <v>138</v>
      </c>
      <c r="D149">
        <v>148</v>
      </c>
      <c r="E149" cm="1">
        <f t="array" ref="E149">_xlfn.XLOOKUP(fifa_ranking_2026_06_08[[#This Row],[team]],fifa_ranking_2022_10_06[[#All],[team]],fifa_ranking_2022_10_06[[#All],[rank]])</f>
        <v>144</v>
      </c>
      <c r="F149">
        <f>fifa_ranking_2026_06_08[[#This Row],[2022_rank]]-fifa_ranking_2026_06_08[[#This Row],[2026_rank]]</f>
        <v>-4</v>
      </c>
      <c r="G149">
        <v>148</v>
      </c>
      <c r="H149">
        <v>1061.22966</v>
      </c>
      <c r="I149">
        <v>1058.4216220000001</v>
      </c>
      <c r="J149">
        <v>47</v>
      </c>
    </row>
    <row r="150" spans="1:10" x14ac:dyDescent="0.2">
      <c r="A150" s="4" t="s">
        <v>413</v>
      </c>
      <c r="B150" s="4" t="s">
        <v>414</v>
      </c>
      <c r="C150" s="4" t="s">
        <v>163</v>
      </c>
      <c r="D150">
        <v>149</v>
      </c>
      <c r="E150" cm="1">
        <f t="array" ref="E150">_xlfn.XLOOKUP(fifa_ranking_2026_06_08[[#This Row],[team]],fifa_ranking_2022_10_06[[#All],[team]],fifa_ranking_2022_10_06[[#All],[rank]])</f>
        <v>160</v>
      </c>
      <c r="F150">
        <f>fifa_ranking_2026_06_08[[#This Row],[2022_rank]]-fifa_ranking_2026_06_08[[#This Row],[2026_rank]]</f>
        <v>11</v>
      </c>
      <c r="G150">
        <v>147</v>
      </c>
      <c r="H150">
        <v>1057.950212</v>
      </c>
      <c r="I150">
        <v>1059.5304289999999</v>
      </c>
      <c r="J150">
        <v>55</v>
      </c>
    </row>
    <row r="151" spans="1:10" x14ac:dyDescent="0.2">
      <c r="A151" s="4" t="s">
        <v>415</v>
      </c>
      <c r="B151" s="4" t="s">
        <v>416</v>
      </c>
      <c r="C151" s="4" t="s">
        <v>156</v>
      </c>
      <c r="D151">
        <v>150</v>
      </c>
      <c r="E151" cm="1">
        <f t="array" ref="E151">_xlfn.XLOOKUP(fifa_ranking_2026_06_08[[#This Row],[team]],fifa_ranking_2022_10_06[[#All],[team]],fifa_ranking_2022_10_06[[#All],[rank]])</f>
        <v>171</v>
      </c>
      <c r="F151">
        <f>fifa_ranking_2026_06_08[[#This Row],[2022_rank]]-fifa_ranking_2026_06_08[[#This Row],[2026_rank]]</f>
        <v>21</v>
      </c>
      <c r="G151">
        <v>150</v>
      </c>
      <c r="H151">
        <v>1049.3202409999999</v>
      </c>
      <c r="I151">
        <v>1049.3202409999999</v>
      </c>
      <c r="J151">
        <v>30</v>
      </c>
    </row>
    <row r="152" spans="1:10" x14ac:dyDescent="0.2">
      <c r="A152" s="4" t="s">
        <v>417</v>
      </c>
      <c r="B152" s="4" t="s">
        <v>418</v>
      </c>
      <c r="C152" s="4" t="s">
        <v>290</v>
      </c>
      <c r="D152">
        <v>151</v>
      </c>
      <c r="E152" cm="1">
        <f t="array" ref="E152">_xlfn.XLOOKUP(fifa_ranking_2026_06_08[[#This Row],[team]],fifa_ranking_2022_10_06[[#All],[team]],fifa_ranking_2022_10_06[[#All],[rank]])</f>
        <v>161</v>
      </c>
      <c r="F152">
        <f>fifa_ranking_2026_06_08[[#This Row],[2022_rank]]-fifa_ranking_2026_06_08[[#This Row],[2026_rank]]</f>
        <v>10</v>
      </c>
      <c r="G152">
        <v>151</v>
      </c>
      <c r="H152">
        <v>1036.9522529999999</v>
      </c>
      <c r="I152">
        <v>1036.9522529999999</v>
      </c>
      <c r="J152">
        <v>18</v>
      </c>
    </row>
    <row r="153" spans="1:10" x14ac:dyDescent="0.2">
      <c r="A153" s="4" t="s">
        <v>419</v>
      </c>
      <c r="B153" s="4" t="s">
        <v>420</v>
      </c>
      <c r="C153" s="4" t="s">
        <v>156</v>
      </c>
      <c r="D153">
        <v>152</v>
      </c>
      <c r="E153" cm="1">
        <f t="array" ref="E153">_xlfn.XLOOKUP(fifa_ranking_2026_06_08[[#This Row],[team]],fifa_ranking_2022_10_06[[#All],[team]],fifa_ranking_2022_10_06[[#All],[rank]])</f>
        <v>140</v>
      </c>
      <c r="F153">
        <f>fifa_ranking_2026_06_08[[#This Row],[2022_rank]]-fifa_ranking_2026_06_08[[#This Row],[2026_rank]]</f>
        <v>-12</v>
      </c>
      <c r="G153">
        <v>152</v>
      </c>
      <c r="H153">
        <v>1036.334924</v>
      </c>
      <c r="I153">
        <v>1036.334924</v>
      </c>
      <c r="J153">
        <v>24</v>
      </c>
    </row>
    <row r="154" spans="1:10" x14ac:dyDescent="0.2">
      <c r="A154" s="4" t="s">
        <v>421</v>
      </c>
      <c r="B154" s="4" t="s">
        <v>422</v>
      </c>
      <c r="C154" s="4" t="s">
        <v>290</v>
      </c>
      <c r="D154">
        <v>153</v>
      </c>
      <c r="E154" cm="1">
        <f t="array" ref="E154">_xlfn.XLOOKUP(fifa_ranking_2026_06_08[[#This Row],[team]],fifa_ranking_2022_10_06[[#All],[team]],fifa_ranking_2022_10_06[[#All],[rank]])</f>
        <v>136</v>
      </c>
      <c r="F154">
        <f>fifa_ranking_2026_06_08[[#This Row],[2022_rank]]-fifa_ranking_2026_06_08[[#This Row],[2026_rank]]</f>
        <v>-17</v>
      </c>
      <c r="G154">
        <v>153</v>
      </c>
      <c r="H154">
        <v>1031.8941560000001</v>
      </c>
      <c r="I154">
        <v>1031.8941560000001</v>
      </c>
      <c r="J154">
        <v>32</v>
      </c>
    </row>
    <row r="155" spans="1:10" x14ac:dyDescent="0.2">
      <c r="A155" s="4" t="s">
        <v>423</v>
      </c>
      <c r="B155" s="4" t="s">
        <v>424</v>
      </c>
      <c r="C155" s="4" t="s">
        <v>163</v>
      </c>
      <c r="D155">
        <v>154</v>
      </c>
      <c r="E155" t="e" cm="1">
        <f t="array" ref="E155">_xlfn.XLOOKUP(fifa_ranking_2026_06_08[[#This Row],[team]],fifa_ranking_2022_10_06[[#All],[team]],fifa_ranking_2022_10_06[[#All],[rank]])</f>
        <v>#N/A</v>
      </c>
      <c r="F155" t="e">
        <f>fifa_ranking_2026_06_08[[#This Row],[2022_rank]]-fifa_ranking_2026_06_08[[#This Row],[2026_rank]]</f>
        <v>#N/A</v>
      </c>
      <c r="G155">
        <v>155</v>
      </c>
      <c r="H155">
        <v>1030.240953</v>
      </c>
      <c r="I155">
        <v>1026.628751</v>
      </c>
      <c r="J155">
        <v>51</v>
      </c>
    </row>
    <row r="156" spans="1:10" x14ac:dyDescent="0.2">
      <c r="A156" s="4" t="s">
        <v>425</v>
      </c>
      <c r="B156" s="4" t="s">
        <v>426</v>
      </c>
      <c r="C156" s="4" t="s">
        <v>290</v>
      </c>
      <c r="D156">
        <v>155</v>
      </c>
      <c r="E156" cm="1">
        <f t="array" ref="E156">_xlfn.XLOOKUP(fifa_ranking_2026_06_08[[#This Row],[team]],fifa_ranking_2022_10_06[[#All],[team]],fifa_ranking_2022_10_06[[#All],[rank]])</f>
        <v>163</v>
      </c>
      <c r="F156">
        <f>fifa_ranking_2026_06_08[[#This Row],[2022_rank]]-fifa_ranking_2026_06_08[[#This Row],[2026_rank]]</f>
        <v>8</v>
      </c>
      <c r="G156">
        <v>154</v>
      </c>
      <c r="H156">
        <v>1024.3842179999999</v>
      </c>
      <c r="I156">
        <v>1029.697455</v>
      </c>
      <c r="J156">
        <v>31</v>
      </c>
    </row>
    <row r="157" spans="1:10" x14ac:dyDescent="0.2">
      <c r="A157" s="4" t="s">
        <v>427</v>
      </c>
      <c r="B157" s="4" t="s">
        <v>428</v>
      </c>
      <c r="C157" s="4" t="s">
        <v>156</v>
      </c>
      <c r="D157">
        <v>156</v>
      </c>
      <c r="E157" cm="1">
        <f t="array" ref="E157">_xlfn.XLOOKUP(fifa_ranking_2026_06_08[[#This Row],[team]],fifa_ranking_2022_10_06[[#All],[team]],fifa_ranking_2022_10_06[[#All],[rank]])</f>
        <v>170</v>
      </c>
      <c r="F157">
        <f>fifa_ranking_2026_06_08[[#This Row],[2022_rank]]-fifa_ranking_2026_06_08[[#This Row],[2026_rank]]</f>
        <v>14</v>
      </c>
      <c r="G157">
        <v>156</v>
      </c>
      <c r="H157">
        <v>1024.2973119999999</v>
      </c>
      <c r="I157">
        <v>1026.1058290000001</v>
      </c>
      <c r="J157">
        <v>27</v>
      </c>
    </row>
    <row r="158" spans="1:10" x14ac:dyDescent="0.2">
      <c r="A158" s="4" t="s">
        <v>429</v>
      </c>
      <c r="B158" s="4" t="s">
        <v>430</v>
      </c>
      <c r="C158" s="4" t="s">
        <v>290</v>
      </c>
      <c r="D158">
        <v>157</v>
      </c>
      <c r="E158" cm="1">
        <f t="array" ref="E158">_xlfn.XLOOKUP(fifa_ranking_2026_06_08[[#This Row],[team]],fifa_ranking_2022_10_06[[#All],[team]],fifa_ranking_2022_10_06[[#All],[rank]])</f>
        <v>162</v>
      </c>
      <c r="F158">
        <f>fifa_ranking_2026_06_08[[#This Row],[2022_rank]]-fifa_ranking_2026_06_08[[#This Row],[2026_rank]]</f>
        <v>5</v>
      </c>
      <c r="G158">
        <v>157</v>
      </c>
      <c r="H158">
        <v>1019.036032</v>
      </c>
      <c r="I158">
        <v>1019.036032</v>
      </c>
      <c r="J158">
        <v>14</v>
      </c>
    </row>
    <row r="159" spans="1:10" x14ac:dyDescent="0.2">
      <c r="A159" s="4" t="s">
        <v>15</v>
      </c>
      <c r="B159" s="4" t="s">
        <v>431</v>
      </c>
      <c r="C159" s="4" t="s">
        <v>163</v>
      </c>
      <c r="D159">
        <v>158</v>
      </c>
      <c r="E159" cm="1">
        <f t="array" ref="E159">_xlfn.XLOOKUP(fifa_ranking_2026_06_08[[#This Row],[team]],fifa_ranking_2022_10_06[[#All],[team]],fifa_ranking_2022_10_06[[#All],[rank]])</f>
        <v>158</v>
      </c>
      <c r="F159">
        <f>fifa_ranking_2026_06_08[[#This Row],[2022_rank]]-fifa_ranking_2026_06_08[[#This Row],[2026_rank]]</f>
        <v>0</v>
      </c>
      <c r="G159">
        <v>158</v>
      </c>
      <c r="H159">
        <v>1015.138408</v>
      </c>
      <c r="I159">
        <v>1011.876799</v>
      </c>
      <c r="J159">
        <v>47</v>
      </c>
    </row>
    <row r="160" spans="1:10" x14ac:dyDescent="0.2">
      <c r="A160" s="4" t="s">
        <v>432</v>
      </c>
      <c r="B160" s="4" t="s">
        <v>433</v>
      </c>
      <c r="C160" s="4" t="s">
        <v>138</v>
      </c>
      <c r="D160">
        <v>159</v>
      </c>
      <c r="E160" cm="1">
        <f t="array" ref="E160">_xlfn.XLOOKUP(fifa_ranking_2026_06_08[[#This Row],[team]],fifa_ranking_2022_10_06[[#All],[team]],fifa_ranking_2022_10_06[[#All],[rank]])</f>
        <v>174</v>
      </c>
      <c r="F160">
        <f>fifa_ranking_2026_06_08[[#This Row],[2022_rank]]-fifa_ranking_2026_06_08[[#This Row],[2026_rank]]</f>
        <v>15</v>
      </c>
      <c r="G160">
        <v>159</v>
      </c>
      <c r="H160">
        <v>1006.537824</v>
      </c>
      <c r="I160">
        <v>1004.157429</v>
      </c>
      <c r="J160">
        <v>49</v>
      </c>
    </row>
    <row r="161" spans="1:10" x14ac:dyDescent="0.2">
      <c r="A161" s="4" t="s">
        <v>434</v>
      </c>
      <c r="B161" s="4" t="s">
        <v>435</v>
      </c>
      <c r="C161" s="4" t="s">
        <v>290</v>
      </c>
      <c r="D161">
        <v>160</v>
      </c>
      <c r="E161" cm="1">
        <f t="array" ref="E161">_xlfn.XLOOKUP(fifa_ranking_2026_06_08[[#This Row],[team]],fifa_ranking_2022_10_06[[#All],[team]],fifa_ranking_2022_10_06[[#All],[rank]])</f>
        <v>164</v>
      </c>
      <c r="F161">
        <f>fifa_ranking_2026_06_08[[#This Row],[2022_rank]]-fifa_ranking_2026_06_08[[#This Row],[2026_rank]]</f>
        <v>4</v>
      </c>
      <c r="G161">
        <v>160</v>
      </c>
      <c r="H161">
        <v>1002.318941</v>
      </c>
      <c r="I161">
        <v>997.00570400000004</v>
      </c>
      <c r="J161">
        <v>27</v>
      </c>
    </row>
    <row r="162" spans="1:10" x14ac:dyDescent="0.2">
      <c r="A162" s="4" t="s">
        <v>436</v>
      </c>
      <c r="B162" s="4" t="s">
        <v>437</v>
      </c>
      <c r="C162" s="4" t="s">
        <v>138</v>
      </c>
      <c r="D162">
        <v>161</v>
      </c>
      <c r="E162" cm="1">
        <f t="array" ref="E162">_xlfn.XLOOKUP(fifa_ranking_2026_06_08[[#This Row],[team]],fifa_ranking_2022_10_06[[#All],[team]],fifa_ranking_2022_10_06[[#All],[rank]])</f>
        <v>168</v>
      </c>
      <c r="F162">
        <f>fifa_ranking_2026_06_08[[#This Row],[2022_rank]]-fifa_ranking_2026_06_08[[#This Row],[2026_rank]]</f>
        <v>7</v>
      </c>
      <c r="G162">
        <v>161</v>
      </c>
      <c r="H162">
        <v>992.793497</v>
      </c>
      <c r="I162">
        <v>987.73058600000002</v>
      </c>
      <c r="J162">
        <v>47</v>
      </c>
    </row>
    <row r="163" spans="1:10" x14ac:dyDescent="0.2">
      <c r="A163" s="4" t="s">
        <v>438</v>
      </c>
      <c r="B163" s="4" t="s">
        <v>439</v>
      </c>
      <c r="C163" s="4" t="s">
        <v>156</v>
      </c>
      <c r="D163">
        <v>162</v>
      </c>
      <c r="E163" cm="1">
        <f t="array" ref="E163">_xlfn.XLOOKUP(fifa_ranking_2026_06_08[[#This Row],[team]],fifa_ranking_2022_10_06[[#All],[team]],fifa_ranking_2022_10_06[[#All],[rank]])</f>
        <v>131</v>
      </c>
      <c r="F163">
        <f>fifa_ranking_2026_06_08[[#This Row],[2022_rank]]-fifa_ranking_2026_06_08[[#This Row],[2026_rank]]</f>
        <v>-31</v>
      </c>
      <c r="G163">
        <v>162</v>
      </c>
      <c r="H163">
        <v>986.58441400000004</v>
      </c>
      <c r="I163">
        <v>986.58441400000004</v>
      </c>
      <c r="J163">
        <v>22</v>
      </c>
    </row>
    <row r="164" spans="1:10" x14ac:dyDescent="0.2">
      <c r="A164" s="4" t="s">
        <v>440</v>
      </c>
      <c r="B164" s="4" t="s">
        <v>441</v>
      </c>
      <c r="C164" s="4" t="s">
        <v>156</v>
      </c>
      <c r="D164">
        <v>163</v>
      </c>
      <c r="E164" cm="1">
        <f t="array" ref="E164">_xlfn.XLOOKUP(fifa_ranking_2026_06_08[[#This Row],[team]],fifa_ranking_2022_10_06[[#All],[team]],fifa_ranking_2022_10_06[[#All],[rank]])</f>
        <v>173</v>
      </c>
      <c r="F164">
        <f>fifa_ranking_2026_06_08[[#This Row],[2022_rank]]-fifa_ranking_2026_06_08[[#This Row],[2026_rank]]</f>
        <v>10</v>
      </c>
      <c r="G164">
        <v>163</v>
      </c>
      <c r="H164">
        <v>981.82397300000002</v>
      </c>
      <c r="I164">
        <v>982.56893600000001</v>
      </c>
      <c r="J164">
        <v>30</v>
      </c>
    </row>
    <row r="165" spans="1:10" x14ac:dyDescent="0.2">
      <c r="A165" s="4" t="s">
        <v>442</v>
      </c>
      <c r="B165" s="4" t="s">
        <v>443</v>
      </c>
      <c r="C165" s="4" t="s">
        <v>156</v>
      </c>
      <c r="D165">
        <v>164</v>
      </c>
      <c r="E165" cm="1">
        <f t="array" ref="E165">_xlfn.XLOOKUP(fifa_ranking_2026_06_08[[#This Row],[team]],fifa_ranking_2022_10_06[[#All],[team]],fifa_ranking_2022_10_06[[#All],[rank]])</f>
        <v>167</v>
      </c>
      <c r="F165">
        <f>fifa_ranking_2026_06_08[[#This Row],[2022_rank]]-fifa_ranking_2026_06_08[[#This Row],[2026_rank]]</f>
        <v>3</v>
      </c>
      <c r="G165">
        <v>164</v>
      </c>
      <c r="H165">
        <v>981.42345499999999</v>
      </c>
      <c r="I165">
        <v>981.42345499999999</v>
      </c>
      <c r="J165">
        <v>32</v>
      </c>
    </row>
    <row r="166" spans="1:10" x14ac:dyDescent="0.2">
      <c r="A166" s="4" t="s">
        <v>444</v>
      </c>
      <c r="B166" s="4" t="s">
        <v>445</v>
      </c>
      <c r="C166" s="4" t="s">
        <v>146</v>
      </c>
      <c r="D166">
        <v>165</v>
      </c>
      <c r="E166" cm="1">
        <f t="array" ref="E166">_xlfn.XLOOKUP(fifa_ranking_2026_06_08[[#This Row],[team]],fifa_ranking_2022_10_06[[#All],[team]],fifa_ranking_2022_10_06[[#All],[rank]])</f>
        <v>143</v>
      </c>
      <c r="F166">
        <f>fifa_ranking_2026_06_08[[#This Row],[2022_rank]]-fifa_ranking_2026_06_08[[#This Row],[2026_rank]]</f>
        <v>-22</v>
      </c>
      <c r="G166">
        <v>165</v>
      </c>
      <c r="H166">
        <v>979.01393900000005</v>
      </c>
      <c r="I166">
        <v>979.01393900000005</v>
      </c>
      <c r="J166">
        <v>47</v>
      </c>
    </row>
    <row r="167" spans="1:10" x14ac:dyDescent="0.2">
      <c r="A167" s="4" t="s">
        <v>446</v>
      </c>
      <c r="B167" s="4" t="s">
        <v>447</v>
      </c>
      <c r="C167" s="4" t="s">
        <v>156</v>
      </c>
      <c r="D167">
        <v>166</v>
      </c>
      <c r="E167" cm="1">
        <f t="array" ref="E167">_xlfn.XLOOKUP(fifa_ranking_2026_06_08[[#This Row],[team]],fifa_ranking_2022_10_06[[#All],[team]],fifa_ranking_2022_10_06[[#All],[rank]])</f>
        <v>172</v>
      </c>
      <c r="F167">
        <f>fifa_ranking_2026_06_08[[#This Row],[2022_rank]]-fifa_ranking_2026_06_08[[#This Row],[2026_rank]]</f>
        <v>6</v>
      </c>
      <c r="G167">
        <v>167</v>
      </c>
      <c r="H167">
        <v>976.70899599999996</v>
      </c>
      <c r="I167">
        <v>976.70899599999996</v>
      </c>
      <c r="J167">
        <v>19</v>
      </c>
    </row>
    <row r="168" spans="1:10" x14ac:dyDescent="0.2">
      <c r="A168" s="4" t="s">
        <v>448</v>
      </c>
      <c r="B168" s="4" t="s">
        <v>449</v>
      </c>
      <c r="C168" s="4" t="s">
        <v>156</v>
      </c>
      <c r="D168">
        <v>167</v>
      </c>
      <c r="E168" cm="1">
        <f t="array" ref="E168">_xlfn.XLOOKUP(fifa_ranking_2026_06_08[[#This Row],[team]],fifa_ranking_2022_10_06[[#All],[team]],fifa_ranking_2022_10_06[[#All],[rank]])</f>
        <v>169</v>
      </c>
      <c r="F168">
        <f>fifa_ranking_2026_06_08[[#This Row],[2022_rank]]-fifa_ranking_2026_06_08[[#This Row],[2026_rank]]</f>
        <v>2</v>
      </c>
      <c r="G168">
        <v>166</v>
      </c>
      <c r="H168">
        <v>975.05374600000005</v>
      </c>
      <c r="I168">
        <v>976.86909800000001</v>
      </c>
      <c r="J168">
        <v>31</v>
      </c>
    </row>
    <row r="169" spans="1:10" x14ac:dyDescent="0.2">
      <c r="A169" s="4" t="s">
        <v>450</v>
      </c>
      <c r="B169" s="4" t="s">
        <v>451</v>
      </c>
      <c r="C169" s="4" t="s">
        <v>290</v>
      </c>
      <c r="D169">
        <v>168</v>
      </c>
      <c r="E169" cm="1">
        <f t="array" ref="E169">_xlfn.XLOOKUP(fifa_ranking_2026_06_08[[#This Row],[team]],fifa_ranking_2022_10_06[[#All],[team]],fifa_ranking_2022_10_06[[#All],[rank]])</f>
        <v>159</v>
      </c>
      <c r="F169">
        <f>fifa_ranking_2026_06_08[[#This Row],[2022_rank]]-fifa_ranking_2026_06_08[[#This Row],[2026_rank]]</f>
        <v>-9</v>
      </c>
      <c r="G169">
        <v>168</v>
      </c>
      <c r="H169">
        <v>974.90110000000004</v>
      </c>
      <c r="I169">
        <v>974.90110000000004</v>
      </c>
      <c r="J169">
        <v>26</v>
      </c>
    </row>
    <row r="170" spans="1:10" x14ac:dyDescent="0.2">
      <c r="A170" s="4" t="s">
        <v>452</v>
      </c>
      <c r="B170" s="4" t="s">
        <v>453</v>
      </c>
      <c r="C170" s="4" t="s">
        <v>163</v>
      </c>
      <c r="D170">
        <v>169</v>
      </c>
      <c r="E170" cm="1">
        <f t="array" ref="E170">_xlfn.XLOOKUP(fifa_ranking_2026_06_08[[#This Row],[team]],fifa_ranking_2022_10_06[[#All],[team]],fifa_ranking_2022_10_06[[#All],[rank]])</f>
        <v>156</v>
      </c>
      <c r="F170">
        <f>fifa_ranking_2026_06_08[[#This Row],[2022_rank]]-fifa_ranking_2026_06_08[[#This Row],[2026_rank]]</f>
        <v>-13</v>
      </c>
      <c r="G170">
        <v>169</v>
      </c>
      <c r="H170">
        <v>971.20263499999999</v>
      </c>
      <c r="I170">
        <v>972.74578199999996</v>
      </c>
      <c r="J170">
        <v>32</v>
      </c>
    </row>
    <row r="171" spans="1:10" x14ac:dyDescent="0.2">
      <c r="A171" s="4" t="s">
        <v>454</v>
      </c>
      <c r="B171" s="4" t="s">
        <v>455</v>
      </c>
      <c r="C171" s="4" t="s">
        <v>146</v>
      </c>
      <c r="D171">
        <v>170</v>
      </c>
      <c r="E171" cm="1">
        <f t="array" ref="E171">_xlfn.XLOOKUP(fifa_ranking_2026_06_08[[#This Row],[team]],fifa_ranking_2022_10_06[[#All],[team]],fifa_ranking_2022_10_06[[#All],[rank]])</f>
        <v>165</v>
      </c>
      <c r="F171">
        <f>fifa_ranking_2026_06_08[[#This Row],[2022_rank]]-fifa_ranking_2026_06_08[[#This Row],[2026_rank]]</f>
        <v>-5</v>
      </c>
      <c r="G171">
        <v>170</v>
      </c>
      <c r="H171">
        <v>970.94452699999999</v>
      </c>
      <c r="I171">
        <v>970.94452699999999</v>
      </c>
      <c r="J171">
        <v>40</v>
      </c>
    </row>
    <row r="172" spans="1:10" x14ac:dyDescent="0.2">
      <c r="A172" s="4" t="s">
        <v>456</v>
      </c>
      <c r="B172" s="4" t="s">
        <v>457</v>
      </c>
      <c r="C172" s="4" t="s">
        <v>156</v>
      </c>
      <c r="D172">
        <v>171</v>
      </c>
      <c r="E172" cm="1">
        <f t="array" ref="E172">_xlfn.XLOOKUP(fifa_ranking_2026_06_08[[#This Row],[team]],fifa_ranking_2022_10_06[[#All],[team]],fifa_ranking_2022_10_06[[#All],[rank]])</f>
        <v>178</v>
      </c>
      <c r="F172">
        <f>fifa_ranking_2026_06_08[[#This Row],[2022_rank]]-fifa_ranking_2026_06_08[[#This Row],[2026_rank]]</f>
        <v>7</v>
      </c>
      <c r="G172">
        <v>171</v>
      </c>
      <c r="H172">
        <v>968.26963799999999</v>
      </c>
      <c r="I172">
        <v>968.26963799999999</v>
      </c>
      <c r="J172">
        <v>28</v>
      </c>
    </row>
    <row r="173" spans="1:10" x14ac:dyDescent="0.2">
      <c r="A173" s="4" t="s">
        <v>458</v>
      </c>
      <c r="B173" s="4" t="s">
        <v>459</v>
      </c>
      <c r="C173" s="4" t="s">
        <v>138</v>
      </c>
      <c r="D173">
        <v>172</v>
      </c>
      <c r="E173" cm="1">
        <f t="array" ref="E173">_xlfn.XLOOKUP(fifa_ranking_2026_06_08[[#This Row],[team]],fifa_ranking_2022_10_06[[#All],[team]],fifa_ranking_2022_10_06[[#All],[rank]])</f>
        <v>151</v>
      </c>
      <c r="F173">
        <f>fifa_ranking_2026_06_08[[#This Row],[2022_rank]]-fifa_ranking_2026_06_08[[#This Row],[2026_rank]]</f>
        <v>-21</v>
      </c>
      <c r="G173">
        <v>173</v>
      </c>
      <c r="H173">
        <v>946.42982600000005</v>
      </c>
      <c r="I173">
        <v>945.34193400000004</v>
      </c>
      <c r="J173">
        <v>49</v>
      </c>
    </row>
    <row r="174" spans="1:10" x14ac:dyDescent="0.2">
      <c r="A174" s="4" t="s">
        <v>460</v>
      </c>
      <c r="B174" s="4" t="s">
        <v>461</v>
      </c>
      <c r="C174" s="4" t="s">
        <v>163</v>
      </c>
      <c r="D174">
        <v>173</v>
      </c>
      <c r="E174" cm="1">
        <f t="array" ref="E174">_xlfn.XLOOKUP(fifa_ranking_2026_06_08[[#This Row],[team]],fifa_ranking_2022_10_06[[#All],[team]],fifa_ranking_2022_10_06[[#All],[rank]])</f>
        <v>154</v>
      </c>
      <c r="F174">
        <f>fifa_ranking_2026_06_08[[#This Row],[2022_rank]]-fifa_ranking_2026_06_08[[#This Row],[2026_rank]]</f>
        <v>-19</v>
      </c>
      <c r="G174">
        <v>172</v>
      </c>
      <c r="H174">
        <v>943.91790100000003</v>
      </c>
      <c r="I174">
        <v>954.92834900000003</v>
      </c>
      <c r="J174">
        <v>35</v>
      </c>
    </row>
    <row r="175" spans="1:10" x14ac:dyDescent="0.2">
      <c r="A175" s="4" t="s">
        <v>462</v>
      </c>
      <c r="B175" s="4" t="s">
        <v>463</v>
      </c>
      <c r="C175" s="4" t="s">
        <v>163</v>
      </c>
      <c r="D175">
        <v>174</v>
      </c>
      <c r="E175" cm="1">
        <f t="array" ref="E175">_xlfn.XLOOKUP(fifa_ranking_2026_06_08[[#This Row],[team]],fifa_ranking_2022_10_06[[#All],[team]],fifa_ranking_2022_10_06[[#All],[rank]])</f>
        <v>157</v>
      </c>
      <c r="F175">
        <f>fifa_ranking_2026_06_08[[#This Row],[2022_rank]]-fifa_ranking_2026_06_08[[#This Row],[2026_rank]]</f>
        <v>-17</v>
      </c>
      <c r="G175">
        <v>174</v>
      </c>
      <c r="H175">
        <v>923.78264300000001</v>
      </c>
      <c r="I175">
        <v>923.78264300000001</v>
      </c>
      <c r="J175">
        <v>26</v>
      </c>
    </row>
    <row r="176" spans="1:10" x14ac:dyDescent="0.2">
      <c r="A176" s="4" t="s">
        <v>464</v>
      </c>
      <c r="B176" s="4" t="s">
        <v>465</v>
      </c>
      <c r="C176" s="4" t="s">
        <v>156</v>
      </c>
      <c r="D176">
        <v>175</v>
      </c>
      <c r="E176" cm="1">
        <f t="array" ref="E176">_xlfn.XLOOKUP(fifa_ranking_2026_06_08[[#This Row],[team]],fifa_ranking_2022_10_06[[#All],[team]],fifa_ranking_2022_10_06[[#All],[rank]])</f>
        <v>179</v>
      </c>
      <c r="F176">
        <f>fifa_ranking_2026_06_08[[#This Row],[2022_rank]]-fifa_ranking_2026_06_08[[#This Row],[2026_rank]]</f>
        <v>4</v>
      </c>
      <c r="G176">
        <v>175</v>
      </c>
      <c r="H176">
        <v>916.75251000000003</v>
      </c>
      <c r="I176">
        <v>916.75251000000003</v>
      </c>
      <c r="J176">
        <v>20</v>
      </c>
    </row>
    <row r="177" spans="1:10" x14ac:dyDescent="0.2">
      <c r="A177" s="4" t="s">
        <v>466</v>
      </c>
      <c r="B177" s="4" t="s">
        <v>467</v>
      </c>
      <c r="C177" s="4" t="s">
        <v>163</v>
      </c>
      <c r="D177">
        <v>176</v>
      </c>
      <c r="E177" cm="1">
        <f t="array" ref="E177">_xlfn.XLOOKUP(fifa_ranking_2026_06_08[[#This Row],[team]],fifa_ranking_2022_10_06[[#All],[team]],fifa_ranking_2022_10_06[[#All],[rank]])</f>
        <v>177</v>
      </c>
      <c r="F177">
        <f>fifa_ranking_2026_06_08[[#This Row],[2022_rank]]-fifa_ranking_2026_06_08[[#This Row],[2026_rank]]</f>
        <v>1</v>
      </c>
      <c r="G177">
        <v>177</v>
      </c>
      <c r="H177">
        <v>916.24130400000001</v>
      </c>
      <c r="I177">
        <v>911.53827699999999</v>
      </c>
      <c r="J177">
        <v>38</v>
      </c>
    </row>
    <row r="178" spans="1:10" x14ac:dyDescent="0.2">
      <c r="A178" s="4" t="s">
        <v>18</v>
      </c>
      <c r="B178" s="4" t="s">
        <v>468</v>
      </c>
      <c r="C178" s="4" t="s">
        <v>163</v>
      </c>
      <c r="D178">
        <v>177</v>
      </c>
      <c r="E178" cm="1">
        <f t="array" ref="E178">_xlfn.XLOOKUP(fifa_ranking_2026_06_08[[#This Row],[team]],fifa_ranking_2022_10_06[[#All],[team]],fifa_ranking_2022_10_06[[#All],[rank]])</f>
        <v>175</v>
      </c>
      <c r="F178">
        <f>fifa_ranking_2026_06_08[[#This Row],[2022_rank]]-fifa_ranking_2026_06_08[[#This Row],[2026_rank]]</f>
        <v>-2</v>
      </c>
      <c r="G178">
        <v>176</v>
      </c>
      <c r="H178">
        <v>914.54122400000006</v>
      </c>
      <c r="I178">
        <v>914.54122400000006</v>
      </c>
      <c r="J178">
        <v>42</v>
      </c>
    </row>
    <row r="179" spans="1:10" x14ac:dyDescent="0.2">
      <c r="A179" s="4" t="s">
        <v>469</v>
      </c>
      <c r="B179" s="4" t="s">
        <v>470</v>
      </c>
      <c r="C179" s="4" t="s">
        <v>146</v>
      </c>
      <c r="D179">
        <v>178</v>
      </c>
      <c r="E179" cm="1">
        <f t="array" ref="E179">_xlfn.XLOOKUP(fifa_ranking_2026_06_08[[#This Row],[team]],fifa_ranking_2022_10_06[[#All],[team]],fifa_ranking_2022_10_06[[#All],[rank]])</f>
        <v>180</v>
      </c>
      <c r="F179">
        <f>fifa_ranking_2026_06_08[[#This Row],[2022_rank]]-fifa_ranking_2026_06_08[[#This Row],[2026_rank]]</f>
        <v>2</v>
      </c>
      <c r="G179">
        <v>178</v>
      </c>
      <c r="H179">
        <v>911.48750099999995</v>
      </c>
      <c r="I179">
        <v>911.48750099999995</v>
      </c>
      <c r="J179">
        <v>36</v>
      </c>
    </row>
    <row r="180" spans="1:10" x14ac:dyDescent="0.2">
      <c r="A180" s="4" t="s">
        <v>471</v>
      </c>
      <c r="B180" s="4" t="s">
        <v>472</v>
      </c>
      <c r="C180" s="4" t="s">
        <v>156</v>
      </c>
      <c r="D180">
        <v>179</v>
      </c>
      <c r="E180" cm="1">
        <f t="array" ref="E180">_xlfn.XLOOKUP(fifa_ranking_2026_06_08[[#This Row],[team]],fifa_ranking_2022_10_06[[#All],[team]],fifa_ranking_2022_10_06[[#All],[rank]])</f>
        <v>166</v>
      </c>
      <c r="F180">
        <f>fifa_ranking_2026_06_08[[#This Row],[2022_rank]]-fifa_ranking_2026_06_08[[#This Row],[2026_rank]]</f>
        <v>-13</v>
      </c>
      <c r="G180">
        <v>179</v>
      </c>
      <c r="H180">
        <v>909.89320799999996</v>
      </c>
      <c r="I180">
        <v>909.89320799999996</v>
      </c>
      <c r="J180">
        <v>26</v>
      </c>
    </row>
    <row r="181" spans="1:10" x14ac:dyDescent="0.2">
      <c r="A181" s="4" t="s">
        <v>473</v>
      </c>
      <c r="B181" s="4" t="s">
        <v>474</v>
      </c>
      <c r="C181" s="4" t="s">
        <v>156</v>
      </c>
      <c r="D181">
        <v>180</v>
      </c>
      <c r="E181" cm="1">
        <f t="array" ref="E181">_xlfn.XLOOKUP(fifa_ranking_2026_06_08[[#This Row],[team]],fifa_ranking_2022_10_06[[#All],[team]],fifa_ranking_2022_10_06[[#All],[rank]])</f>
        <v>176</v>
      </c>
      <c r="F181">
        <f>fifa_ranking_2026_06_08[[#This Row],[2022_rank]]-fifa_ranking_2026_06_08[[#This Row],[2026_rank]]</f>
        <v>-4</v>
      </c>
      <c r="G181">
        <v>180</v>
      </c>
      <c r="H181">
        <v>907.00121100000001</v>
      </c>
      <c r="I181">
        <v>907.00121100000001</v>
      </c>
      <c r="J181">
        <v>22</v>
      </c>
    </row>
    <row r="182" spans="1:10" x14ac:dyDescent="0.2">
      <c r="A182" s="4" t="s">
        <v>42</v>
      </c>
      <c r="B182" s="4" t="s">
        <v>475</v>
      </c>
      <c r="C182" s="4" t="s">
        <v>163</v>
      </c>
      <c r="D182">
        <v>181</v>
      </c>
      <c r="E182" cm="1">
        <f t="array" ref="E182">_xlfn.XLOOKUP(fifa_ranking_2026_06_08[[#This Row],[team]],fifa_ranking_2022_10_06[[#All],[team]],fifa_ranking_2022_10_06[[#All],[rank]])</f>
        <v>192</v>
      </c>
      <c r="F182">
        <f>fifa_ranking_2026_06_08[[#This Row],[2022_rank]]-fifa_ranking_2026_06_08[[#This Row],[2026_rank]]</f>
        <v>11</v>
      </c>
      <c r="G182">
        <v>181</v>
      </c>
      <c r="H182">
        <v>902.92965000000004</v>
      </c>
      <c r="I182">
        <v>899.53277700000001</v>
      </c>
      <c r="J182">
        <v>47</v>
      </c>
    </row>
    <row r="183" spans="1:10" x14ac:dyDescent="0.2">
      <c r="A183" s="4" t="s">
        <v>476</v>
      </c>
      <c r="B183" s="4" t="s">
        <v>477</v>
      </c>
      <c r="C183" s="4" t="s">
        <v>156</v>
      </c>
      <c r="D183">
        <v>182</v>
      </c>
      <c r="E183" cm="1">
        <f t="array" ref="E183">_xlfn.XLOOKUP(fifa_ranking_2026_06_08[[#This Row],[team]],fifa_ranking_2022_10_06[[#All],[team]],fifa_ranking_2022_10_06[[#All],[rank]])</f>
        <v>184</v>
      </c>
      <c r="F183">
        <f>fifa_ranking_2026_06_08[[#This Row],[2022_rank]]-fifa_ranking_2026_06_08[[#This Row],[2026_rank]]</f>
        <v>2</v>
      </c>
      <c r="G183">
        <v>182</v>
      </c>
      <c r="H183">
        <v>897.68643699999996</v>
      </c>
      <c r="I183">
        <v>897.68643699999996</v>
      </c>
      <c r="J183">
        <v>25</v>
      </c>
    </row>
    <row r="184" spans="1:10" x14ac:dyDescent="0.2">
      <c r="A184" s="4" t="s">
        <v>478</v>
      </c>
      <c r="B184" s="4" t="s">
        <v>479</v>
      </c>
      <c r="C184" s="4" t="s">
        <v>146</v>
      </c>
      <c r="D184">
        <v>183</v>
      </c>
      <c r="E184" cm="1">
        <f t="array" ref="E184">_xlfn.XLOOKUP(fifa_ranking_2026_06_08[[#This Row],[team]],fifa_ranking_2022_10_06[[#All],[team]],fifa_ranking_2022_10_06[[#All],[rank]])</f>
        <v>181</v>
      </c>
      <c r="F184">
        <f>fifa_ranking_2026_06_08[[#This Row],[2022_rank]]-fifa_ranking_2026_06_08[[#This Row],[2026_rank]]</f>
        <v>-2</v>
      </c>
      <c r="G184">
        <v>183</v>
      </c>
      <c r="H184">
        <v>896.85281899999995</v>
      </c>
      <c r="I184">
        <v>896.85281899999995</v>
      </c>
      <c r="J184">
        <v>30</v>
      </c>
    </row>
    <row r="185" spans="1:10" x14ac:dyDescent="0.2">
      <c r="A185" s="4" t="s">
        <v>480</v>
      </c>
      <c r="B185" s="4" t="s">
        <v>481</v>
      </c>
      <c r="C185" s="4" t="s">
        <v>146</v>
      </c>
      <c r="D185">
        <v>184</v>
      </c>
      <c r="E185" cm="1">
        <f t="array" ref="E185">_xlfn.XLOOKUP(fifa_ranking_2026_06_08[[#This Row],[team]],fifa_ranking_2022_10_06[[#All],[team]],fifa_ranking_2022_10_06[[#All],[rank]])</f>
        <v>200</v>
      </c>
      <c r="F185">
        <f>fifa_ranking_2026_06_08[[#This Row],[2022_rank]]-fifa_ranking_2026_06_08[[#This Row],[2026_rank]]</f>
        <v>16</v>
      </c>
      <c r="G185">
        <v>184</v>
      </c>
      <c r="H185">
        <v>887.06334100000004</v>
      </c>
      <c r="I185">
        <v>887.06334100000004</v>
      </c>
      <c r="J185">
        <v>7</v>
      </c>
    </row>
    <row r="186" spans="1:10" x14ac:dyDescent="0.2">
      <c r="A186" s="4" t="s">
        <v>482</v>
      </c>
      <c r="B186" s="4" t="s">
        <v>483</v>
      </c>
      <c r="C186" s="4" t="s">
        <v>163</v>
      </c>
      <c r="D186">
        <v>185</v>
      </c>
      <c r="E186" cm="1">
        <f t="array" ref="E186">_xlfn.XLOOKUP(fifa_ranking_2026_06_08[[#This Row],[team]],fifa_ranking_2022_10_06[[#All],[team]],fifa_ranking_2022_10_06[[#All],[rank]])</f>
        <v>187</v>
      </c>
      <c r="F186">
        <f>fifa_ranking_2026_06_08[[#This Row],[2022_rank]]-fifa_ranking_2026_06_08[[#This Row],[2026_rank]]</f>
        <v>2</v>
      </c>
      <c r="G186">
        <v>185</v>
      </c>
      <c r="H186">
        <v>885.02889100000004</v>
      </c>
      <c r="I186">
        <v>885.02889100000004</v>
      </c>
      <c r="J186">
        <v>30</v>
      </c>
    </row>
    <row r="187" spans="1:10" x14ac:dyDescent="0.2">
      <c r="A187" s="4" t="s">
        <v>484</v>
      </c>
      <c r="B187" s="4" t="s">
        <v>485</v>
      </c>
      <c r="C187" s="4" t="s">
        <v>290</v>
      </c>
      <c r="D187">
        <v>186</v>
      </c>
      <c r="E187" cm="1">
        <f t="array" ref="E187">_xlfn.XLOOKUP(fifa_ranking_2026_06_08[[#This Row],[team]],fifa_ranking_2022_10_06[[#All],[team]],fifa_ranking_2022_10_06[[#All],[rank]])</f>
        <v>189</v>
      </c>
      <c r="F187">
        <f>fifa_ranking_2026_06_08[[#This Row],[2022_rank]]-fifa_ranking_2026_06_08[[#This Row],[2026_rank]]</f>
        <v>3</v>
      </c>
      <c r="G187">
        <v>188</v>
      </c>
      <c r="H187">
        <v>877.53499499999998</v>
      </c>
      <c r="I187">
        <v>877.53499499999998</v>
      </c>
      <c r="J187">
        <v>9</v>
      </c>
    </row>
    <row r="188" spans="1:10" x14ac:dyDescent="0.2">
      <c r="A188" s="4" t="s">
        <v>486</v>
      </c>
      <c r="B188" s="4" t="s">
        <v>487</v>
      </c>
      <c r="C188" s="4" t="s">
        <v>290</v>
      </c>
      <c r="D188">
        <v>187</v>
      </c>
      <c r="E188" cm="1">
        <f t="array" ref="E188">_xlfn.XLOOKUP(fifa_ranking_2026_06_08[[#This Row],[team]],fifa_ranking_2022_10_06[[#All],[team]],fifa_ranking_2022_10_06[[#All],[rank]])</f>
        <v>191</v>
      </c>
      <c r="F188">
        <f>fifa_ranking_2026_06_08[[#This Row],[2022_rank]]-fifa_ranking_2026_06_08[[#This Row],[2026_rank]]</f>
        <v>4</v>
      </c>
      <c r="G188">
        <v>190</v>
      </c>
      <c r="H188">
        <v>876.40781200000004</v>
      </c>
      <c r="I188">
        <v>876.40781200000004</v>
      </c>
      <c r="J188">
        <v>14</v>
      </c>
    </row>
    <row r="189" spans="1:10" x14ac:dyDescent="0.2">
      <c r="A189" s="4" t="s">
        <v>488</v>
      </c>
      <c r="B189" s="4" t="s">
        <v>489</v>
      </c>
      <c r="C189" s="4" t="s">
        <v>163</v>
      </c>
      <c r="D189">
        <v>188</v>
      </c>
      <c r="E189" cm="1">
        <f t="array" ref="E189">_xlfn.XLOOKUP(fifa_ranking_2026_06_08[[#This Row],[team]],fifa_ranking_2022_10_06[[#All],[team]],fifa_ranking_2022_10_06[[#All],[rank]])</f>
        <v>185</v>
      </c>
      <c r="F189">
        <f>fifa_ranking_2026_06_08[[#This Row],[2022_rank]]-fifa_ranking_2026_06_08[[#This Row],[2026_rank]]</f>
        <v>-3</v>
      </c>
      <c r="G189">
        <v>186</v>
      </c>
      <c r="H189">
        <v>875.84506099999999</v>
      </c>
      <c r="I189">
        <v>880.54808800000001</v>
      </c>
      <c r="J189">
        <v>20</v>
      </c>
    </row>
    <row r="190" spans="1:10" x14ac:dyDescent="0.2">
      <c r="A190" s="4" t="s">
        <v>490</v>
      </c>
      <c r="B190" s="4" t="s">
        <v>491</v>
      </c>
      <c r="C190" s="4" t="s">
        <v>156</v>
      </c>
      <c r="D190">
        <v>189</v>
      </c>
      <c r="E190" cm="1">
        <f t="array" ref="E190">_xlfn.XLOOKUP(fifa_ranking_2026_06_08[[#This Row],[team]],fifa_ranking_2022_10_06[[#All],[team]],fifa_ranking_2022_10_06[[#All],[rank]])</f>
        <v>201</v>
      </c>
      <c r="F190">
        <f>fifa_ranking_2026_06_08[[#This Row],[2022_rank]]-fifa_ranking_2026_06_08[[#This Row],[2026_rank]]</f>
        <v>12</v>
      </c>
      <c r="G190">
        <v>189</v>
      </c>
      <c r="H190">
        <v>875.61114999999995</v>
      </c>
      <c r="I190">
        <v>877.29707099999996</v>
      </c>
      <c r="J190">
        <v>21</v>
      </c>
    </row>
    <row r="191" spans="1:10" x14ac:dyDescent="0.2">
      <c r="A191" s="4" t="s">
        <v>492</v>
      </c>
      <c r="B191" s="4" t="s">
        <v>493</v>
      </c>
      <c r="C191" s="4" t="s">
        <v>163</v>
      </c>
      <c r="D191">
        <v>190</v>
      </c>
      <c r="E191" cm="1">
        <f t="array" ref="E191">_xlfn.XLOOKUP(fifa_ranking_2026_06_08[[#This Row],[team]],fifa_ranking_2022_10_06[[#All],[team]],fifa_ranking_2022_10_06[[#All],[rank]])</f>
        <v>183</v>
      </c>
      <c r="F191">
        <f>fifa_ranking_2026_06_08[[#This Row],[2022_rank]]-fifa_ranking_2026_06_08[[#This Row],[2026_rank]]</f>
        <v>-7</v>
      </c>
      <c r="G191">
        <v>187</v>
      </c>
      <c r="H191">
        <v>874.46907399999998</v>
      </c>
      <c r="I191">
        <v>879.75152300000002</v>
      </c>
      <c r="J191">
        <v>21</v>
      </c>
    </row>
    <row r="192" spans="1:10" x14ac:dyDescent="0.2">
      <c r="A192" s="4" t="s">
        <v>494</v>
      </c>
      <c r="B192" s="4" t="s">
        <v>495</v>
      </c>
      <c r="C192" s="4" t="s">
        <v>163</v>
      </c>
      <c r="D192">
        <v>191</v>
      </c>
      <c r="E192" cm="1">
        <f t="array" ref="E192">_xlfn.XLOOKUP(fifa_ranking_2026_06_08[[#This Row],[team]],fifa_ranking_2022_10_06[[#All],[team]],fifa_ranking_2022_10_06[[#All],[rank]])</f>
        <v>207</v>
      </c>
      <c r="F192">
        <f>fifa_ranking_2026_06_08[[#This Row],[2022_rank]]-fifa_ranking_2026_06_08[[#This Row],[2026_rank]]</f>
        <v>16</v>
      </c>
      <c r="G192">
        <v>191</v>
      </c>
      <c r="H192">
        <v>871.82021499999996</v>
      </c>
      <c r="I192">
        <v>871.82021499999996</v>
      </c>
      <c r="J192">
        <v>33</v>
      </c>
    </row>
    <row r="193" spans="1:10" x14ac:dyDescent="0.2">
      <c r="A193" s="4" t="s">
        <v>496</v>
      </c>
      <c r="B193" s="4" t="s">
        <v>497</v>
      </c>
      <c r="C193" s="4" t="s">
        <v>290</v>
      </c>
      <c r="D193">
        <v>192</v>
      </c>
      <c r="E193" cm="1">
        <f t="array" ref="E193">_xlfn.XLOOKUP(fifa_ranking_2026_06_08[[#This Row],[team]],fifa_ranking_2022_10_06[[#All],[team]],fifa_ranking_2022_10_06[[#All],[rank]])</f>
        <v>188</v>
      </c>
      <c r="F193">
        <f>fifa_ranking_2026_06_08[[#This Row],[2022_rank]]-fifa_ranking_2026_06_08[[#This Row],[2026_rank]]</f>
        <v>-4</v>
      </c>
      <c r="G193">
        <v>192</v>
      </c>
      <c r="H193">
        <v>871.61208099999999</v>
      </c>
      <c r="I193">
        <v>871.61208099999999</v>
      </c>
      <c r="J193">
        <v>7</v>
      </c>
    </row>
    <row r="194" spans="1:10" x14ac:dyDescent="0.2">
      <c r="A194" s="4" t="s">
        <v>498</v>
      </c>
      <c r="B194" s="4" t="s">
        <v>499</v>
      </c>
      <c r="C194" s="4" t="s">
        <v>163</v>
      </c>
      <c r="D194">
        <v>193</v>
      </c>
      <c r="E194" cm="1">
        <f t="array" ref="E194">_xlfn.XLOOKUP(fifa_ranking_2026_06_08[[#This Row],[team]],fifa_ranking_2022_10_06[[#All],[team]],fifa_ranking_2022_10_06[[#All],[rank]])</f>
        <v>190</v>
      </c>
      <c r="F194">
        <f>fifa_ranking_2026_06_08[[#This Row],[2022_rank]]-fifa_ranking_2026_06_08[[#This Row],[2026_rank]]</f>
        <v>-3</v>
      </c>
      <c r="G194">
        <v>193</v>
      </c>
      <c r="H194">
        <v>863.09176000000002</v>
      </c>
      <c r="I194">
        <v>863.09176000000002</v>
      </c>
      <c r="J194">
        <v>29</v>
      </c>
    </row>
    <row r="195" spans="1:10" x14ac:dyDescent="0.2">
      <c r="A195" s="4" t="s">
        <v>500</v>
      </c>
      <c r="B195" s="4" t="s">
        <v>501</v>
      </c>
      <c r="C195" s="4" t="s">
        <v>163</v>
      </c>
      <c r="D195">
        <v>194</v>
      </c>
      <c r="E195" cm="1">
        <f t="array" ref="E195">_xlfn.XLOOKUP(fifa_ranking_2026_06_08[[#This Row],[team]],fifa_ranking_2022_10_06[[#All],[team]],fifa_ranking_2022_10_06[[#All],[rank]])</f>
        <v>182</v>
      </c>
      <c r="F195">
        <f>fifa_ranking_2026_06_08[[#This Row],[2022_rank]]-fifa_ranking_2026_06_08[[#This Row],[2026_rank]]</f>
        <v>-12</v>
      </c>
      <c r="G195">
        <v>194</v>
      </c>
      <c r="H195">
        <v>858.03341999999998</v>
      </c>
      <c r="I195">
        <v>858.03341999999998</v>
      </c>
      <c r="J195">
        <v>12</v>
      </c>
    </row>
    <row r="196" spans="1:10" x14ac:dyDescent="0.2">
      <c r="A196" s="4" t="s">
        <v>502</v>
      </c>
      <c r="B196" s="4" t="s">
        <v>503</v>
      </c>
      <c r="C196" s="4" t="s">
        <v>146</v>
      </c>
      <c r="D196">
        <v>195</v>
      </c>
      <c r="E196" cm="1">
        <f t="array" ref="E196">_xlfn.XLOOKUP(fifa_ranking_2026_06_08[[#This Row],[team]],fifa_ranking_2022_10_06[[#All],[team]],fifa_ranking_2022_10_06[[#All],[rank]])</f>
        <v>186</v>
      </c>
      <c r="F196">
        <f>fifa_ranking_2026_06_08[[#This Row],[2022_rank]]-fifa_ranking_2026_06_08[[#This Row],[2026_rank]]</f>
        <v>-9</v>
      </c>
      <c r="G196">
        <v>196</v>
      </c>
      <c r="H196">
        <v>855.43866600000001</v>
      </c>
      <c r="I196">
        <v>855.43866600000001</v>
      </c>
      <c r="J196">
        <v>22</v>
      </c>
    </row>
    <row r="197" spans="1:10" x14ac:dyDescent="0.2">
      <c r="A197" s="4" t="s">
        <v>504</v>
      </c>
      <c r="B197" s="4" t="s">
        <v>505</v>
      </c>
      <c r="C197" s="4" t="s">
        <v>146</v>
      </c>
      <c r="D197">
        <v>196</v>
      </c>
      <c r="E197" cm="1">
        <f t="array" ref="E197">_xlfn.XLOOKUP(fifa_ranking_2026_06_08[[#This Row],[team]],fifa_ranking_2022_10_06[[#All],[team]],fifa_ranking_2022_10_06[[#All],[rank]])</f>
        <v>193</v>
      </c>
      <c r="F197">
        <f>fifa_ranking_2026_06_08[[#This Row],[2022_rank]]-fifa_ranking_2026_06_08[[#This Row],[2026_rank]]</f>
        <v>-3</v>
      </c>
      <c r="G197">
        <v>197</v>
      </c>
      <c r="H197">
        <v>853.58178599999997</v>
      </c>
      <c r="I197">
        <v>853.58178599999997</v>
      </c>
      <c r="J197">
        <v>31</v>
      </c>
    </row>
    <row r="198" spans="1:10" x14ac:dyDescent="0.2">
      <c r="A198" s="4" t="s">
        <v>506</v>
      </c>
      <c r="B198" s="4" t="s">
        <v>507</v>
      </c>
      <c r="C198" s="4" t="s">
        <v>156</v>
      </c>
      <c r="D198">
        <v>197</v>
      </c>
      <c r="E198" cm="1">
        <f t="array" ref="E198">_xlfn.XLOOKUP(fifa_ranking_2026_06_08[[#This Row],[team]],fifa_ranking_2022_10_06[[#All],[team]],fifa_ranking_2022_10_06[[#All],[rank]])</f>
        <v>195</v>
      </c>
      <c r="F198">
        <f>fifa_ranking_2026_06_08[[#This Row],[2022_rank]]-fifa_ranking_2026_06_08[[#This Row],[2026_rank]]</f>
        <v>-2</v>
      </c>
      <c r="G198">
        <v>195</v>
      </c>
      <c r="H198">
        <v>850.06101100000001</v>
      </c>
      <c r="I198">
        <v>855.44952799999999</v>
      </c>
      <c r="J198">
        <v>22</v>
      </c>
    </row>
    <row r="199" spans="1:10" x14ac:dyDescent="0.2">
      <c r="A199" s="4" t="s">
        <v>508</v>
      </c>
      <c r="B199" s="4" t="s">
        <v>509</v>
      </c>
      <c r="C199" s="4" t="s">
        <v>146</v>
      </c>
      <c r="D199">
        <v>198</v>
      </c>
      <c r="E199" cm="1">
        <f t="array" ref="E199">_xlfn.XLOOKUP(fifa_ranking_2026_06_08[[#This Row],[team]],fifa_ranking_2022_10_06[[#All],[team]],fifa_ranking_2022_10_06[[#All],[rank]])</f>
        <v>203</v>
      </c>
      <c r="F199">
        <f>fifa_ranking_2026_06_08[[#This Row],[2022_rank]]-fifa_ranking_2026_06_08[[#This Row],[2026_rank]]</f>
        <v>5</v>
      </c>
      <c r="G199">
        <v>198</v>
      </c>
      <c r="H199">
        <v>839.16969700000004</v>
      </c>
      <c r="I199">
        <v>839.16969700000004</v>
      </c>
      <c r="J199">
        <v>21</v>
      </c>
    </row>
    <row r="200" spans="1:10" x14ac:dyDescent="0.2">
      <c r="A200" s="4" t="s">
        <v>510</v>
      </c>
      <c r="B200" s="4" t="s">
        <v>511</v>
      </c>
      <c r="C200" s="4" t="s">
        <v>163</v>
      </c>
      <c r="D200">
        <v>199</v>
      </c>
      <c r="E200" cm="1">
        <f t="array" ref="E200">_xlfn.XLOOKUP(fifa_ranking_2026_06_08[[#This Row],[team]],fifa_ranking_2022_10_06[[#All],[team]],fifa_ranking_2022_10_06[[#All],[rank]])</f>
        <v>194</v>
      </c>
      <c r="F200">
        <f>fifa_ranking_2026_06_08[[#This Row],[2022_rank]]-fifa_ranking_2026_06_08[[#This Row],[2026_rank]]</f>
        <v>-5</v>
      </c>
      <c r="G200">
        <v>202</v>
      </c>
      <c r="H200">
        <v>837.15159300000005</v>
      </c>
      <c r="I200">
        <v>824.59799799999996</v>
      </c>
      <c r="J200">
        <v>24</v>
      </c>
    </row>
    <row r="201" spans="1:10" x14ac:dyDescent="0.2">
      <c r="A201" s="4" t="s">
        <v>512</v>
      </c>
      <c r="B201" s="4" t="s">
        <v>513</v>
      </c>
      <c r="C201" s="4" t="s">
        <v>290</v>
      </c>
      <c r="D201">
        <v>200</v>
      </c>
      <c r="E201" cm="1">
        <f t="array" ref="E201">_xlfn.XLOOKUP(fifa_ranking_2026_06_08[[#This Row],[team]],fifa_ranking_2022_10_06[[#All],[team]],fifa_ranking_2022_10_06[[#All],[rank]])</f>
        <v>197</v>
      </c>
      <c r="F201">
        <f>fifa_ranking_2026_06_08[[#This Row],[2022_rank]]-fifa_ranking_2026_06_08[[#This Row],[2026_rank]]</f>
        <v>-3</v>
      </c>
      <c r="G201">
        <v>199</v>
      </c>
      <c r="H201">
        <v>835.64241000000004</v>
      </c>
      <c r="I201">
        <v>835.64241000000004</v>
      </c>
      <c r="J201">
        <v>7</v>
      </c>
    </row>
    <row r="202" spans="1:10" x14ac:dyDescent="0.2">
      <c r="A202" s="4" t="s">
        <v>514</v>
      </c>
      <c r="B202" s="4" t="s">
        <v>515</v>
      </c>
      <c r="C202" s="4" t="s">
        <v>163</v>
      </c>
      <c r="D202">
        <v>201</v>
      </c>
      <c r="E202" cm="1">
        <f t="array" ref="E202">_xlfn.XLOOKUP(fifa_ranking_2026_06_08[[#This Row],[team]],fifa_ranking_2022_10_06[[#All],[team]],fifa_ranking_2022_10_06[[#All],[rank]])</f>
        <v>198</v>
      </c>
      <c r="F202">
        <f>fifa_ranking_2026_06_08[[#This Row],[2022_rank]]-fifa_ranking_2026_06_08[[#This Row],[2026_rank]]</f>
        <v>-3</v>
      </c>
      <c r="G202">
        <v>200</v>
      </c>
      <c r="H202">
        <v>825.63998400000003</v>
      </c>
      <c r="I202">
        <v>825.63998400000003</v>
      </c>
      <c r="J202">
        <v>26</v>
      </c>
    </row>
    <row r="203" spans="1:10" x14ac:dyDescent="0.2">
      <c r="A203" s="4" t="s">
        <v>516</v>
      </c>
      <c r="B203" s="4" t="s">
        <v>517</v>
      </c>
      <c r="C203" s="4" t="s">
        <v>138</v>
      </c>
      <c r="D203">
        <v>202</v>
      </c>
      <c r="E203" cm="1">
        <f t="array" ref="E203">_xlfn.XLOOKUP(fifa_ranking_2026_06_08[[#This Row],[team]],fifa_ranking_2022_10_06[[#All],[team]],fifa_ranking_2022_10_06[[#All],[rank]])</f>
        <v>204</v>
      </c>
      <c r="F203">
        <f>fifa_ranking_2026_06_08[[#This Row],[2022_rank]]-fifa_ranking_2026_06_08[[#This Row],[2026_rank]]</f>
        <v>2</v>
      </c>
      <c r="G203">
        <v>203</v>
      </c>
      <c r="H203">
        <v>820.26081799999997</v>
      </c>
      <c r="I203">
        <v>810.14071000000001</v>
      </c>
      <c r="J203">
        <v>48</v>
      </c>
    </row>
    <row r="204" spans="1:10" x14ac:dyDescent="0.2">
      <c r="A204" s="4" t="s">
        <v>518</v>
      </c>
      <c r="B204" s="4" t="s">
        <v>519</v>
      </c>
      <c r="C204" s="4" t="s">
        <v>163</v>
      </c>
      <c r="D204">
        <v>203</v>
      </c>
      <c r="E204" cm="1">
        <f t="array" ref="E204">_xlfn.XLOOKUP(fifa_ranking_2026_06_08[[#This Row],[team]],fifa_ranking_2022_10_06[[#All],[team]],fifa_ranking_2022_10_06[[#All],[rank]])</f>
        <v>205</v>
      </c>
      <c r="F204">
        <f>fifa_ranking_2026_06_08[[#This Row],[2022_rank]]-fifa_ranking_2026_06_08[[#This Row],[2026_rank]]</f>
        <v>2</v>
      </c>
      <c r="G204">
        <v>201</v>
      </c>
      <c r="H204">
        <v>819.54057499999999</v>
      </c>
      <c r="I204">
        <v>825.43099700000005</v>
      </c>
      <c r="J204">
        <v>10</v>
      </c>
    </row>
    <row r="205" spans="1:10" x14ac:dyDescent="0.2">
      <c r="A205" s="4" t="s">
        <v>520</v>
      </c>
      <c r="B205" s="4" t="s">
        <v>521</v>
      </c>
      <c r="C205" s="4" t="s">
        <v>146</v>
      </c>
      <c r="D205">
        <v>204</v>
      </c>
      <c r="E205" cm="1">
        <f t="array" ref="E205">_xlfn.XLOOKUP(fifa_ranking_2026_06_08[[#This Row],[team]],fifa_ranking_2022_10_06[[#All],[team]],fifa_ranking_2022_10_06[[#All],[rank]])</f>
        <v>199</v>
      </c>
      <c r="F205">
        <f>fifa_ranking_2026_06_08[[#This Row],[2022_rank]]-fifa_ranking_2026_06_08[[#This Row],[2026_rank]]</f>
        <v>-5</v>
      </c>
      <c r="G205">
        <v>204</v>
      </c>
      <c r="H205">
        <v>804.16150900000002</v>
      </c>
      <c r="I205">
        <v>804.16150900000002</v>
      </c>
      <c r="J205">
        <v>35</v>
      </c>
    </row>
    <row r="206" spans="1:10" x14ac:dyDescent="0.2">
      <c r="A206" s="4" t="s">
        <v>522</v>
      </c>
      <c r="B206" s="4" t="s">
        <v>523</v>
      </c>
      <c r="C206" s="4" t="s">
        <v>156</v>
      </c>
      <c r="D206">
        <v>205</v>
      </c>
      <c r="E206" cm="1">
        <f t="array" ref="E206">_xlfn.XLOOKUP(fifa_ranking_2026_06_08[[#This Row],[team]],fifa_ranking_2022_10_06[[#All],[team]],fifa_ranking_2022_10_06[[#All],[rank]])</f>
        <v>206</v>
      </c>
      <c r="F206">
        <f>fifa_ranking_2026_06_08[[#This Row],[2022_rank]]-fifa_ranking_2026_06_08[[#This Row],[2026_rank]]</f>
        <v>1</v>
      </c>
      <c r="G206">
        <v>205</v>
      </c>
      <c r="H206">
        <v>803.98001499999998</v>
      </c>
      <c r="I206">
        <v>803.98001499999998</v>
      </c>
      <c r="J206">
        <v>12</v>
      </c>
    </row>
    <row r="207" spans="1:10" x14ac:dyDescent="0.2">
      <c r="A207" s="4" t="s">
        <v>524</v>
      </c>
      <c r="B207" s="4" t="s">
        <v>525</v>
      </c>
      <c r="C207" s="4" t="s">
        <v>138</v>
      </c>
      <c r="D207">
        <v>206</v>
      </c>
      <c r="E207" cm="1">
        <f t="array" ref="E207">_xlfn.XLOOKUP(fifa_ranking_2026_06_08[[#This Row],[team]],fifa_ranking_2022_10_06[[#All],[team]],fifa_ranking_2022_10_06[[#All],[rank]])</f>
        <v>196</v>
      </c>
      <c r="F207">
        <f>fifa_ranking_2026_06_08[[#This Row],[2022_rank]]-fifa_ranking_2026_06_08[[#This Row],[2026_rank]]</f>
        <v>-10</v>
      </c>
      <c r="G207">
        <v>206</v>
      </c>
      <c r="H207">
        <v>797.701009</v>
      </c>
      <c r="I207">
        <v>803.57014900000001</v>
      </c>
      <c r="J207">
        <v>47</v>
      </c>
    </row>
    <row r="208" spans="1:10" x14ac:dyDescent="0.2">
      <c r="A208" s="4" t="s">
        <v>526</v>
      </c>
      <c r="B208" s="4" t="s">
        <v>527</v>
      </c>
      <c r="C208" s="4" t="s">
        <v>156</v>
      </c>
      <c r="D208">
        <v>207</v>
      </c>
      <c r="E208" cm="1">
        <f t="array" ref="E208">_xlfn.XLOOKUP(fifa_ranking_2026_06_08[[#This Row],[team]],fifa_ranking_2022_10_06[[#All],[team]],fifa_ranking_2022_10_06[[#All],[rank]])</f>
        <v>202</v>
      </c>
      <c r="F208">
        <f>fifa_ranking_2026_06_08[[#This Row],[2022_rank]]-fifa_ranking_2026_06_08[[#This Row],[2026_rank]]</f>
        <v>-5</v>
      </c>
      <c r="G208">
        <v>207</v>
      </c>
      <c r="H208">
        <v>786.81621700000005</v>
      </c>
      <c r="I208">
        <v>786.81621700000005</v>
      </c>
      <c r="J208">
        <v>23</v>
      </c>
    </row>
    <row r="209" spans="1:10" x14ac:dyDescent="0.2">
      <c r="A209" s="4" t="s">
        <v>528</v>
      </c>
      <c r="B209" s="4" t="s">
        <v>529</v>
      </c>
      <c r="C209" s="4" t="s">
        <v>156</v>
      </c>
      <c r="D209">
        <v>208</v>
      </c>
      <c r="E209" cm="1">
        <f t="array" ref="E209">_xlfn.XLOOKUP(fifa_ranking_2026_06_08[[#This Row],[team]],fifa_ranking_2022_10_06[[#All],[team]],fifa_ranking_2022_10_06[[#All],[rank]])</f>
        <v>208</v>
      </c>
      <c r="F209">
        <f>fifa_ranking_2026_06_08[[#This Row],[2022_rank]]-fifa_ranking_2026_06_08[[#This Row],[2026_rank]]</f>
        <v>0</v>
      </c>
      <c r="G209">
        <v>209</v>
      </c>
      <c r="H209">
        <v>779.76426600000002</v>
      </c>
      <c r="I209">
        <v>779.76426600000002</v>
      </c>
      <c r="J209">
        <v>15</v>
      </c>
    </row>
    <row r="210" spans="1:10" x14ac:dyDescent="0.2">
      <c r="A210" s="4" t="s">
        <v>530</v>
      </c>
      <c r="B210" s="4" t="s">
        <v>531</v>
      </c>
      <c r="C210" s="4" t="s">
        <v>156</v>
      </c>
      <c r="D210">
        <v>209</v>
      </c>
      <c r="E210" cm="1">
        <f t="array" ref="E210">_xlfn.XLOOKUP(fifa_ranking_2026_06_08[[#This Row],[team]],fifa_ranking_2022_10_06[[#All],[team]],fifa_ranking_2022_10_06[[#All],[rank]])</f>
        <v>209</v>
      </c>
      <c r="F210">
        <f>fifa_ranking_2026_06_08[[#This Row],[2022_rank]]-fifa_ranking_2026_06_08[[#This Row],[2026_rank]]</f>
        <v>0</v>
      </c>
      <c r="G210">
        <v>208</v>
      </c>
      <c r="H210">
        <v>777.40573400000005</v>
      </c>
      <c r="I210">
        <v>782.13732500000003</v>
      </c>
      <c r="J210">
        <v>24</v>
      </c>
    </row>
    <row r="211" spans="1:10" x14ac:dyDescent="0.2">
      <c r="A211" s="4" t="s">
        <v>532</v>
      </c>
      <c r="B211" s="4" t="s">
        <v>533</v>
      </c>
      <c r="C211" s="4" t="s">
        <v>156</v>
      </c>
      <c r="D211">
        <v>210</v>
      </c>
      <c r="E211" cm="1">
        <f t="array" ref="E211">_xlfn.XLOOKUP(fifa_ranking_2026_06_08[[#This Row],[team]],fifa_ranking_2022_10_06[[#All],[team]],fifa_ranking_2022_10_06[[#All],[rank]])</f>
        <v>210</v>
      </c>
      <c r="F211">
        <f>fifa_ranking_2026_06_08[[#This Row],[2022_rank]]-fifa_ranking_2026_06_08[[#This Row],[2026_rank]]</f>
        <v>0</v>
      </c>
      <c r="G211">
        <v>210</v>
      </c>
      <c r="H211">
        <v>760.25185199999999</v>
      </c>
      <c r="I211">
        <v>760.25185199999999</v>
      </c>
      <c r="J211">
        <v>18</v>
      </c>
    </row>
    <row r="212" spans="1:10" x14ac:dyDescent="0.2">
      <c r="A212" s="4" t="s">
        <v>534</v>
      </c>
      <c r="B212" s="4" t="s">
        <v>535</v>
      </c>
      <c r="C212" s="4" t="s">
        <v>138</v>
      </c>
      <c r="D212">
        <v>211</v>
      </c>
      <c r="E212" cm="1">
        <f t="array" ref="E212">_xlfn.XLOOKUP(fifa_ranking_2026_06_08[[#This Row],[team]],fifa_ranking_2022_10_06[[#All],[team]],fifa_ranking_2022_10_06[[#All],[rank]])</f>
        <v>211</v>
      </c>
      <c r="F212">
        <f>fifa_ranking_2026_06_08[[#This Row],[2022_rank]]-fifa_ranking_2026_06_08[[#This Row],[2026_rank]]</f>
        <v>0</v>
      </c>
      <c r="G212">
        <v>211</v>
      </c>
      <c r="H212">
        <v>722.93372799999997</v>
      </c>
      <c r="I212">
        <v>726.330601</v>
      </c>
      <c r="J212">
        <v>46</v>
      </c>
    </row>
  </sheetData>
  <conditionalFormatting sqref="H213:H1048576 H1">
    <cfRule type="colorScale" priority="5">
      <colorScale>
        <cfvo type="min"/>
        <cfvo type="max"/>
        <color rgb="FFFF7128"/>
        <color theme="9"/>
      </colorScale>
    </cfRule>
  </conditionalFormatting>
  <conditionalFormatting sqref="H2:H212">
    <cfRule type="colorScale" priority="3">
      <colorScale>
        <cfvo type="min"/>
        <cfvo type="max"/>
        <color rgb="FFFF0000"/>
        <color theme="9"/>
      </colorScale>
    </cfRule>
  </conditionalFormatting>
  <conditionalFormatting sqref="F1:F1048576">
    <cfRule type="dataBar" priority="1">
      <dataBar>
        <cfvo type="min"/>
        <cfvo type="max"/>
        <color theme="7" tint="0.59999389629810485"/>
      </dataBar>
      <extLst>
        <ext xmlns:x14="http://schemas.microsoft.com/office/spreadsheetml/2009/9/main" uri="{B025F937-C7B1-47D3-B67F-A62EFF666E3E}">
          <x14:id>{7B2D1E2D-3388-0E44-82EA-7BAF98F00E4C}</x14:id>
        </ext>
      </extLst>
    </cfRule>
    <cfRule type="cellIs" dxfId="262" priority="2" stopIfTrue="1" operator="greaterThan">
      <formula>20</formula>
    </cfRule>
  </conditionalFormatting>
  <pageMargins left="0.7" right="0.7" top="0.75" bottom="0.75" header="0.3" footer="0.3"/>
  <pageSetup paperSize="9" orientation="portrait" horizontalDpi="0" verticalDpi="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B2D1E2D-3388-0E44-82EA-7BAF98F00E4C}">
            <x14:dataBar minLength="0" maxLength="100" border="1" gradient="0">
              <x14:cfvo type="autoMin"/>
              <x14:cfvo type="autoMax"/>
              <x14:borderColor rgb="FF000000"/>
              <x14:negativeFillColor rgb="FFFF0000"/>
              <x14:axisColor rgb="FF000000"/>
            </x14:dataBar>
          </x14:cfRule>
          <xm:sqref>F1:F1048576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D966D-3073-5947-87BC-8E4B14CF8706}">
  <dimension ref="A1:G212"/>
  <sheetViews>
    <sheetView zoomScale="208" workbookViewId="0">
      <pane ySplit="1" topLeftCell="A2" activePane="bottomLeft" state="frozen"/>
      <selection pane="bottomLeft"/>
    </sheetView>
  </sheetViews>
  <sheetFormatPr baseColWidth="10" defaultRowHeight="16" x14ac:dyDescent="0.2"/>
  <cols>
    <col min="1" max="1" width="25.6640625" bestFit="1" customWidth="1"/>
    <col min="2" max="2" width="12.83203125" bestFit="1" customWidth="1"/>
    <col min="3" max="3" width="13.33203125" bestFit="1" customWidth="1"/>
    <col min="4" max="4" width="7.33203125" bestFit="1" customWidth="1"/>
    <col min="5" max="5" width="15.1640625" bestFit="1" customWidth="1"/>
    <col min="6" max="6" width="8.83203125" bestFit="1" customWidth="1"/>
    <col min="7" max="7" width="16.6640625" bestFit="1" customWidth="1"/>
  </cols>
  <sheetData>
    <row r="1" spans="1:7" x14ac:dyDescent="0.2">
      <c r="A1" t="s">
        <v>127</v>
      </c>
      <c r="B1" t="s">
        <v>128</v>
      </c>
      <c r="C1" t="s">
        <v>129</v>
      </c>
      <c r="D1" t="s">
        <v>130</v>
      </c>
      <c r="E1" t="s">
        <v>131</v>
      </c>
      <c r="F1" t="s">
        <v>132</v>
      </c>
      <c r="G1" t="s">
        <v>133</v>
      </c>
    </row>
    <row r="2" spans="1:7" x14ac:dyDescent="0.2">
      <c r="A2" s="4" t="s">
        <v>12</v>
      </c>
      <c r="B2" s="4" t="s">
        <v>143</v>
      </c>
      <c r="C2" s="4" t="s">
        <v>136</v>
      </c>
      <c r="D2">
        <v>1</v>
      </c>
      <c r="E2">
        <v>1</v>
      </c>
      <c r="F2">
        <v>1841.3</v>
      </c>
      <c r="G2">
        <v>1837.56</v>
      </c>
    </row>
    <row r="3" spans="1:7" x14ac:dyDescent="0.2">
      <c r="A3" s="4" t="s">
        <v>148</v>
      </c>
      <c r="B3" s="4" t="s">
        <v>149</v>
      </c>
      <c r="C3" s="4" t="s">
        <v>138</v>
      </c>
      <c r="D3">
        <v>2</v>
      </c>
      <c r="E3">
        <v>2</v>
      </c>
      <c r="F3">
        <v>1816.71</v>
      </c>
      <c r="G3">
        <v>1821.92</v>
      </c>
    </row>
    <row r="4" spans="1:7" x14ac:dyDescent="0.2">
      <c r="A4" s="4" t="s">
        <v>26</v>
      </c>
      <c r="B4" s="4" t="s">
        <v>135</v>
      </c>
      <c r="C4" s="4" t="s">
        <v>136</v>
      </c>
      <c r="D4">
        <v>3</v>
      </c>
      <c r="E4">
        <v>3</v>
      </c>
      <c r="F4">
        <v>1773.88</v>
      </c>
      <c r="G4">
        <v>1770.65</v>
      </c>
    </row>
    <row r="5" spans="1:7" x14ac:dyDescent="0.2">
      <c r="A5" s="4" t="s">
        <v>87</v>
      </c>
      <c r="B5" s="4" t="s">
        <v>139</v>
      </c>
      <c r="C5" s="4" t="s">
        <v>138</v>
      </c>
      <c r="D5">
        <v>4</v>
      </c>
      <c r="E5">
        <v>4</v>
      </c>
      <c r="F5">
        <v>1759.78</v>
      </c>
      <c r="G5">
        <v>1764.85</v>
      </c>
    </row>
    <row r="6" spans="1:7" x14ac:dyDescent="0.2">
      <c r="A6" s="4" t="s">
        <v>52</v>
      </c>
      <c r="B6" s="4" t="s">
        <v>140</v>
      </c>
      <c r="C6" s="4" t="s">
        <v>138</v>
      </c>
      <c r="D6">
        <v>5</v>
      </c>
      <c r="E6">
        <v>5</v>
      </c>
      <c r="F6">
        <v>1728.47</v>
      </c>
      <c r="G6">
        <v>1737.46</v>
      </c>
    </row>
    <row r="7" spans="1:7" x14ac:dyDescent="0.2">
      <c r="A7" s="4" t="s">
        <v>97</v>
      </c>
      <c r="B7" s="4" t="s">
        <v>152</v>
      </c>
      <c r="C7" s="4" t="s">
        <v>138</v>
      </c>
      <c r="D7">
        <v>6</v>
      </c>
      <c r="E7">
        <v>7</v>
      </c>
      <c r="F7">
        <v>1726.14</v>
      </c>
      <c r="G7">
        <v>1713.86</v>
      </c>
    </row>
    <row r="8" spans="1:7" x14ac:dyDescent="0.2">
      <c r="A8" s="4" t="s">
        <v>20</v>
      </c>
      <c r="B8" s="4" t="s">
        <v>137</v>
      </c>
      <c r="C8" s="4" t="s">
        <v>138</v>
      </c>
      <c r="D8">
        <v>7</v>
      </c>
      <c r="E8">
        <v>6</v>
      </c>
      <c r="F8">
        <v>1715.22</v>
      </c>
      <c r="G8">
        <v>1716.93</v>
      </c>
    </row>
    <row r="9" spans="1:7" x14ac:dyDescent="0.2">
      <c r="A9" s="4" t="s">
        <v>95</v>
      </c>
      <c r="B9" s="4" t="s">
        <v>147</v>
      </c>
      <c r="C9" s="4" t="s">
        <v>138</v>
      </c>
      <c r="D9">
        <v>8</v>
      </c>
      <c r="E9">
        <v>8</v>
      </c>
      <c r="F9">
        <v>1694.51</v>
      </c>
      <c r="G9">
        <v>1679.41</v>
      </c>
    </row>
    <row r="10" spans="1:7" x14ac:dyDescent="0.2">
      <c r="A10" s="4" t="s">
        <v>141</v>
      </c>
      <c r="B10" s="4" t="s">
        <v>142</v>
      </c>
      <c r="C10" s="4" t="s">
        <v>138</v>
      </c>
      <c r="D10">
        <v>9</v>
      </c>
      <c r="E10">
        <v>9</v>
      </c>
      <c r="F10">
        <v>1676.56</v>
      </c>
      <c r="G10">
        <v>1678.65</v>
      </c>
    </row>
    <row r="11" spans="1:7" x14ac:dyDescent="0.2">
      <c r="A11" s="4" t="s">
        <v>167</v>
      </c>
      <c r="B11" s="4" t="s">
        <v>168</v>
      </c>
      <c r="C11" s="4" t="s">
        <v>138</v>
      </c>
      <c r="D11">
        <v>10</v>
      </c>
      <c r="E11">
        <v>10</v>
      </c>
      <c r="F11">
        <v>1666.57</v>
      </c>
      <c r="G11">
        <v>1665.47</v>
      </c>
    </row>
    <row r="12" spans="1:7" x14ac:dyDescent="0.2">
      <c r="A12" s="4" t="s">
        <v>92</v>
      </c>
      <c r="B12" s="4" t="s">
        <v>150</v>
      </c>
      <c r="C12" s="4" t="s">
        <v>138</v>
      </c>
      <c r="D12">
        <v>11</v>
      </c>
      <c r="E12">
        <v>11</v>
      </c>
      <c r="F12">
        <v>1650.21</v>
      </c>
      <c r="G12">
        <v>1658.96</v>
      </c>
    </row>
    <row r="13" spans="1:7" x14ac:dyDescent="0.2">
      <c r="A13" s="4" t="s">
        <v>90</v>
      </c>
      <c r="B13" s="4" t="s">
        <v>151</v>
      </c>
      <c r="C13" s="4" t="s">
        <v>138</v>
      </c>
      <c r="D13">
        <v>12</v>
      </c>
      <c r="E13">
        <v>15</v>
      </c>
      <c r="F13">
        <v>1645.64</v>
      </c>
      <c r="G13">
        <v>1632.15</v>
      </c>
    </row>
    <row r="14" spans="1:7" x14ac:dyDescent="0.2">
      <c r="A14" s="4" t="s">
        <v>106</v>
      </c>
      <c r="B14" s="4" t="s">
        <v>155</v>
      </c>
      <c r="C14" s="4" t="s">
        <v>156</v>
      </c>
      <c r="D14">
        <v>13</v>
      </c>
      <c r="E14">
        <v>12</v>
      </c>
      <c r="F14">
        <v>1644.89</v>
      </c>
      <c r="G14">
        <v>1649.57</v>
      </c>
    </row>
    <row r="15" spans="1:7" x14ac:dyDescent="0.2">
      <c r="A15" s="4" t="s">
        <v>121</v>
      </c>
      <c r="B15" s="4" t="s">
        <v>159</v>
      </c>
      <c r="C15" s="4" t="s">
        <v>136</v>
      </c>
      <c r="D15">
        <v>14</v>
      </c>
      <c r="E15">
        <v>13</v>
      </c>
      <c r="F15">
        <v>1638.71</v>
      </c>
      <c r="G15">
        <v>1640.95</v>
      </c>
    </row>
    <row r="16" spans="1:7" x14ac:dyDescent="0.2">
      <c r="A16" s="4" t="s">
        <v>118</v>
      </c>
      <c r="B16" s="4" t="s">
        <v>164</v>
      </c>
      <c r="C16" s="4" t="s">
        <v>138</v>
      </c>
      <c r="D16">
        <v>15</v>
      </c>
      <c r="E16">
        <v>16</v>
      </c>
      <c r="F16">
        <v>1635.92</v>
      </c>
      <c r="G16">
        <v>1621.43</v>
      </c>
    </row>
    <row r="17" spans="1:7" x14ac:dyDescent="0.2">
      <c r="A17" s="4" t="s">
        <v>160</v>
      </c>
      <c r="B17" s="4" t="s">
        <v>160</v>
      </c>
      <c r="C17" s="4" t="s">
        <v>156</v>
      </c>
      <c r="D17">
        <v>16</v>
      </c>
      <c r="E17">
        <v>14</v>
      </c>
      <c r="F17">
        <v>1627.48</v>
      </c>
      <c r="G17">
        <v>1635.01</v>
      </c>
    </row>
    <row r="18" spans="1:7" x14ac:dyDescent="0.2">
      <c r="A18" s="4" t="s">
        <v>153</v>
      </c>
      <c r="B18" s="4" t="s">
        <v>154</v>
      </c>
      <c r="C18" s="4" t="s">
        <v>136</v>
      </c>
      <c r="D18">
        <v>17</v>
      </c>
      <c r="E18">
        <v>17</v>
      </c>
      <c r="F18">
        <v>1611.04</v>
      </c>
      <c r="G18">
        <v>1604.07</v>
      </c>
    </row>
    <row r="19" spans="1:7" x14ac:dyDescent="0.2">
      <c r="A19" s="4" t="s">
        <v>157</v>
      </c>
      <c r="B19" s="4" t="s">
        <v>158</v>
      </c>
      <c r="C19" s="4" t="s">
        <v>146</v>
      </c>
      <c r="D19">
        <v>18</v>
      </c>
      <c r="E19">
        <v>18</v>
      </c>
      <c r="F19">
        <v>1584.38</v>
      </c>
      <c r="G19">
        <v>1584.59</v>
      </c>
    </row>
    <row r="20" spans="1:7" x14ac:dyDescent="0.2">
      <c r="A20" s="4" t="s">
        <v>197</v>
      </c>
      <c r="B20" s="4" t="s">
        <v>198</v>
      </c>
      <c r="C20" s="4" t="s">
        <v>138</v>
      </c>
      <c r="D20">
        <v>19</v>
      </c>
      <c r="E20">
        <v>19</v>
      </c>
      <c r="F20">
        <v>1569.82</v>
      </c>
      <c r="G20">
        <v>1582.13</v>
      </c>
    </row>
    <row r="21" spans="1:7" x14ac:dyDescent="0.2">
      <c r="A21" s="4" t="s">
        <v>165</v>
      </c>
      <c r="B21" s="4" t="s">
        <v>166</v>
      </c>
      <c r="C21" s="4" t="s">
        <v>163</v>
      </c>
      <c r="D21">
        <v>20</v>
      </c>
      <c r="E21">
        <v>22</v>
      </c>
      <c r="F21">
        <v>1564.61</v>
      </c>
      <c r="G21">
        <v>1558.64</v>
      </c>
    </row>
    <row r="22" spans="1:7" x14ac:dyDescent="0.2">
      <c r="A22" s="4" t="s">
        <v>207</v>
      </c>
      <c r="B22" s="4" t="s">
        <v>208</v>
      </c>
      <c r="C22" s="4" t="s">
        <v>138</v>
      </c>
      <c r="D22">
        <v>21</v>
      </c>
      <c r="E22">
        <v>25</v>
      </c>
      <c r="F22">
        <v>1563.62</v>
      </c>
      <c r="G22">
        <v>1549.53</v>
      </c>
    </row>
    <row r="23" spans="1:7" x14ac:dyDescent="0.2">
      <c r="A23" s="4" t="s">
        <v>144</v>
      </c>
      <c r="B23" s="4" t="s">
        <v>145</v>
      </c>
      <c r="C23" s="4" t="s">
        <v>146</v>
      </c>
      <c r="D23">
        <v>22</v>
      </c>
      <c r="E23">
        <v>23</v>
      </c>
      <c r="F23">
        <v>1563.5</v>
      </c>
      <c r="G23">
        <v>1558.35</v>
      </c>
    </row>
    <row r="24" spans="1:7" x14ac:dyDescent="0.2">
      <c r="A24" s="4" t="s">
        <v>223</v>
      </c>
      <c r="B24" s="4" t="s">
        <v>224</v>
      </c>
      <c r="C24" s="4" t="s">
        <v>136</v>
      </c>
      <c r="D24">
        <v>23</v>
      </c>
      <c r="E24">
        <v>21</v>
      </c>
      <c r="F24">
        <v>1561.01</v>
      </c>
      <c r="G24">
        <v>1562.24</v>
      </c>
    </row>
    <row r="25" spans="1:7" x14ac:dyDescent="0.2">
      <c r="A25" s="4" t="s">
        <v>161</v>
      </c>
      <c r="B25" s="4" t="s">
        <v>162</v>
      </c>
      <c r="C25" s="4" t="s">
        <v>163</v>
      </c>
      <c r="D25">
        <v>24</v>
      </c>
      <c r="E25">
        <v>24</v>
      </c>
      <c r="F25">
        <v>1559.54</v>
      </c>
      <c r="G25">
        <v>1554.69</v>
      </c>
    </row>
    <row r="26" spans="1:7" x14ac:dyDescent="0.2">
      <c r="A26" s="4" t="s">
        <v>116</v>
      </c>
      <c r="B26" s="4" t="s">
        <v>199</v>
      </c>
      <c r="C26" s="4" t="s">
        <v>138</v>
      </c>
      <c r="D26">
        <v>25</v>
      </c>
      <c r="E26">
        <v>20</v>
      </c>
      <c r="F26">
        <v>1553.33</v>
      </c>
      <c r="G26">
        <v>1563.44</v>
      </c>
    </row>
    <row r="27" spans="1:7" x14ac:dyDescent="0.2">
      <c r="A27" s="4" t="s">
        <v>195</v>
      </c>
      <c r="B27" s="4" t="s">
        <v>196</v>
      </c>
      <c r="C27" s="4" t="s">
        <v>138</v>
      </c>
      <c r="D27">
        <v>26</v>
      </c>
      <c r="E27">
        <v>26</v>
      </c>
      <c r="F27">
        <v>1548.59</v>
      </c>
      <c r="G27">
        <v>1546.18</v>
      </c>
    </row>
    <row r="28" spans="1:7" x14ac:dyDescent="0.2">
      <c r="A28" s="4" t="s">
        <v>188</v>
      </c>
      <c r="B28" s="4" t="s">
        <v>189</v>
      </c>
      <c r="C28" s="4" t="s">
        <v>138</v>
      </c>
      <c r="D28">
        <v>27</v>
      </c>
      <c r="E28">
        <v>27</v>
      </c>
      <c r="F28">
        <v>1536.99</v>
      </c>
      <c r="G28">
        <v>1542.79</v>
      </c>
    </row>
    <row r="29" spans="1:7" x14ac:dyDescent="0.2">
      <c r="A29" s="4" t="s">
        <v>175</v>
      </c>
      <c r="B29" s="4" t="s">
        <v>176</v>
      </c>
      <c r="C29" s="4" t="s">
        <v>163</v>
      </c>
      <c r="D29">
        <v>28</v>
      </c>
      <c r="E29">
        <v>28</v>
      </c>
      <c r="F29">
        <v>1530.3</v>
      </c>
      <c r="G29">
        <v>1526.02</v>
      </c>
    </row>
    <row r="30" spans="1:7" x14ac:dyDescent="0.2">
      <c r="A30" s="4" t="s">
        <v>113</v>
      </c>
      <c r="B30" s="4" t="s">
        <v>231</v>
      </c>
      <c r="C30" s="4" t="s">
        <v>136</v>
      </c>
      <c r="D30">
        <v>29</v>
      </c>
      <c r="E30">
        <v>29</v>
      </c>
      <c r="F30">
        <v>1509.61</v>
      </c>
      <c r="G30">
        <v>1514.86</v>
      </c>
    </row>
    <row r="31" spans="1:7" x14ac:dyDescent="0.2">
      <c r="A31" s="4" t="s">
        <v>213</v>
      </c>
      <c r="B31" s="4" t="s">
        <v>214</v>
      </c>
      <c r="C31" s="4" t="s">
        <v>146</v>
      </c>
      <c r="D31">
        <v>30</v>
      </c>
      <c r="E31">
        <v>30</v>
      </c>
      <c r="F31">
        <v>1507.54</v>
      </c>
      <c r="G31">
        <v>1507.86</v>
      </c>
    </row>
    <row r="32" spans="1:7" x14ac:dyDescent="0.2">
      <c r="A32" s="4" t="s">
        <v>225</v>
      </c>
      <c r="B32" s="4" t="s">
        <v>226</v>
      </c>
      <c r="C32" s="4" t="s">
        <v>156</v>
      </c>
      <c r="D32">
        <v>31</v>
      </c>
      <c r="E32">
        <v>34</v>
      </c>
      <c r="F32">
        <v>1503.59</v>
      </c>
      <c r="G32">
        <v>1500.06</v>
      </c>
    </row>
    <row r="33" spans="1:7" x14ac:dyDescent="0.2">
      <c r="A33" s="4" t="s">
        <v>177</v>
      </c>
      <c r="B33" s="4" t="s">
        <v>178</v>
      </c>
      <c r="C33" s="4" t="s">
        <v>146</v>
      </c>
      <c r="D33">
        <v>32</v>
      </c>
      <c r="E33">
        <v>31</v>
      </c>
      <c r="F33">
        <v>1498.47</v>
      </c>
      <c r="G33">
        <v>1504.7</v>
      </c>
    </row>
    <row r="34" spans="1:7" x14ac:dyDescent="0.2">
      <c r="A34" s="4" t="s">
        <v>89</v>
      </c>
      <c r="B34" s="4" t="s">
        <v>194</v>
      </c>
      <c r="C34" s="4" t="s">
        <v>138</v>
      </c>
      <c r="D34">
        <v>33</v>
      </c>
      <c r="E34">
        <v>35</v>
      </c>
      <c r="F34">
        <v>1496.11</v>
      </c>
      <c r="G34">
        <v>1493.42</v>
      </c>
    </row>
    <row r="35" spans="1:7" x14ac:dyDescent="0.2">
      <c r="A35" s="4" t="s">
        <v>173</v>
      </c>
      <c r="B35" s="4" t="s">
        <v>174</v>
      </c>
      <c r="C35" s="4" t="s">
        <v>138</v>
      </c>
      <c r="D35">
        <v>34</v>
      </c>
      <c r="E35">
        <v>33</v>
      </c>
      <c r="F35">
        <v>1492.95</v>
      </c>
      <c r="G35">
        <v>1502.47</v>
      </c>
    </row>
    <row r="36" spans="1:7" x14ac:dyDescent="0.2">
      <c r="A36" s="4" t="s">
        <v>200</v>
      </c>
      <c r="B36" s="4" t="s">
        <v>201</v>
      </c>
      <c r="C36" s="4" t="s">
        <v>138</v>
      </c>
      <c r="D36">
        <v>35</v>
      </c>
      <c r="E36">
        <v>32</v>
      </c>
      <c r="F36">
        <v>1492.21</v>
      </c>
      <c r="G36">
        <v>1502.9</v>
      </c>
    </row>
    <row r="37" spans="1:7" x14ac:dyDescent="0.2">
      <c r="A37" s="4" t="s">
        <v>119</v>
      </c>
      <c r="B37" s="4" t="s">
        <v>204</v>
      </c>
      <c r="C37" s="4" t="s">
        <v>138</v>
      </c>
      <c r="D37">
        <v>36</v>
      </c>
      <c r="E37">
        <v>37</v>
      </c>
      <c r="F37">
        <v>1492.2</v>
      </c>
      <c r="G37">
        <v>1486.76</v>
      </c>
    </row>
    <row r="38" spans="1:7" x14ac:dyDescent="0.2">
      <c r="A38" s="4" t="s">
        <v>181</v>
      </c>
      <c r="B38" s="4" t="s">
        <v>182</v>
      </c>
      <c r="C38" s="4" t="s">
        <v>146</v>
      </c>
      <c r="D38">
        <v>37</v>
      </c>
      <c r="E38">
        <v>41</v>
      </c>
      <c r="F38">
        <v>1489.1</v>
      </c>
      <c r="G38">
        <v>1480.59</v>
      </c>
    </row>
    <row r="39" spans="1:7" x14ac:dyDescent="0.2">
      <c r="A39" s="4" t="s">
        <v>179</v>
      </c>
      <c r="B39" s="4" t="s">
        <v>180</v>
      </c>
      <c r="C39" s="4" t="s">
        <v>163</v>
      </c>
      <c r="D39">
        <v>38</v>
      </c>
      <c r="E39">
        <v>39</v>
      </c>
      <c r="F39">
        <v>1488.72</v>
      </c>
      <c r="G39">
        <v>1483.73</v>
      </c>
    </row>
    <row r="40" spans="1:7" x14ac:dyDescent="0.2">
      <c r="A40" s="4" t="s">
        <v>183</v>
      </c>
      <c r="B40" s="4" t="s">
        <v>184</v>
      </c>
      <c r="C40" s="4" t="s">
        <v>146</v>
      </c>
      <c r="D40">
        <v>39</v>
      </c>
      <c r="E40">
        <v>40</v>
      </c>
      <c r="F40">
        <v>1486.44</v>
      </c>
      <c r="G40">
        <v>1482.63</v>
      </c>
    </row>
    <row r="41" spans="1:7" x14ac:dyDescent="0.2">
      <c r="A41" s="4" t="s">
        <v>205</v>
      </c>
      <c r="B41" s="4" t="s">
        <v>206</v>
      </c>
      <c r="C41" s="4" t="s">
        <v>138</v>
      </c>
      <c r="D41">
        <v>40</v>
      </c>
      <c r="E41">
        <v>45</v>
      </c>
      <c r="F41">
        <v>1479.53</v>
      </c>
      <c r="G41">
        <v>1462.96</v>
      </c>
    </row>
    <row r="42" spans="1:7" x14ac:dyDescent="0.2">
      <c r="A42" s="4" t="s">
        <v>185</v>
      </c>
      <c r="B42" s="4" t="s">
        <v>186</v>
      </c>
      <c r="C42" s="4" t="s">
        <v>156</v>
      </c>
      <c r="D42">
        <v>41</v>
      </c>
      <c r="E42">
        <v>43</v>
      </c>
      <c r="F42">
        <v>1475</v>
      </c>
      <c r="G42">
        <v>1473.82</v>
      </c>
    </row>
    <row r="43" spans="1:7" x14ac:dyDescent="0.2">
      <c r="A43" s="4" t="s">
        <v>19</v>
      </c>
      <c r="B43" s="4" t="s">
        <v>187</v>
      </c>
      <c r="C43" s="4" t="s">
        <v>138</v>
      </c>
      <c r="D43">
        <v>42</v>
      </c>
      <c r="E43">
        <v>36</v>
      </c>
      <c r="F43">
        <v>1473.04</v>
      </c>
      <c r="G43">
        <v>1488.57</v>
      </c>
    </row>
    <row r="44" spans="1:7" x14ac:dyDescent="0.2">
      <c r="A44" s="4" t="s">
        <v>209</v>
      </c>
      <c r="B44" s="4" t="s">
        <v>210</v>
      </c>
      <c r="C44" s="4" t="s">
        <v>146</v>
      </c>
      <c r="D44">
        <v>43</v>
      </c>
      <c r="E44">
        <v>38</v>
      </c>
      <c r="F44">
        <v>1471.44</v>
      </c>
      <c r="G44">
        <v>1484.95</v>
      </c>
    </row>
    <row r="45" spans="1:7" x14ac:dyDescent="0.2">
      <c r="A45" s="4" t="s">
        <v>171</v>
      </c>
      <c r="B45" s="4" t="s">
        <v>172</v>
      </c>
      <c r="C45" s="4" t="s">
        <v>136</v>
      </c>
      <c r="D45">
        <v>44</v>
      </c>
      <c r="E45">
        <v>44</v>
      </c>
      <c r="F45">
        <v>1464.39</v>
      </c>
      <c r="G45">
        <v>1463.74</v>
      </c>
    </row>
    <row r="46" spans="1:7" x14ac:dyDescent="0.2">
      <c r="A46" s="4" t="s">
        <v>169</v>
      </c>
      <c r="B46" s="4" t="s">
        <v>170</v>
      </c>
      <c r="C46" s="4" t="s">
        <v>138</v>
      </c>
      <c r="D46">
        <v>45</v>
      </c>
      <c r="E46">
        <v>42</v>
      </c>
      <c r="F46">
        <v>1460.14</v>
      </c>
      <c r="G46">
        <v>1475.13</v>
      </c>
    </row>
    <row r="47" spans="1:7" x14ac:dyDescent="0.2">
      <c r="A47" s="4" t="s">
        <v>229</v>
      </c>
      <c r="B47" s="4" t="s">
        <v>230</v>
      </c>
      <c r="C47" s="4" t="s">
        <v>146</v>
      </c>
      <c r="D47">
        <v>46</v>
      </c>
      <c r="E47">
        <v>46</v>
      </c>
      <c r="F47">
        <v>1448.85</v>
      </c>
      <c r="G47">
        <v>1442.88</v>
      </c>
    </row>
    <row r="48" spans="1:7" x14ac:dyDescent="0.2">
      <c r="A48" s="4" t="s">
        <v>202</v>
      </c>
      <c r="B48" s="4" t="s">
        <v>203</v>
      </c>
      <c r="C48" s="4" t="s">
        <v>136</v>
      </c>
      <c r="D48">
        <v>47</v>
      </c>
      <c r="E48">
        <v>50</v>
      </c>
      <c r="F48">
        <v>1448.77</v>
      </c>
      <c r="G48">
        <v>1440.13</v>
      </c>
    </row>
    <row r="49" spans="1:7" x14ac:dyDescent="0.2">
      <c r="A49" s="4" t="s">
        <v>190</v>
      </c>
      <c r="B49" s="4" t="s">
        <v>191</v>
      </c>
      <c r="C49" s="4" t="s">
        <v>146</v>
      </c>
      <c r="D49">
        <v>48</v>
      </c>
      <c r="E49">
        <v>52</v>
      </c>
      <c r="F49">
        <v>1443.06</v>
      </c>
      <c r="G49">
        <v>1435.91</v>
      </c>
    </row>
    <row r="50" spans="1:7" x14ac:dyDescent="0.2">
      <c r="A50" s="4" t="s">
        <v>235</v>
      </c>
      <c r="B50" s="4" t="s">
        <v>236</v>
      </c>
      <c r="C50" s="4" t="s">
        <v>138</v>
      </c>
      <c r="D50">
        <v>49</v>
      </c>
      <c r="E50">
        <v>47</v>
      </c>
      <c r="F50">
        <v>1440.19</v>
      </c>
      <c r="G50">
        <v>1442.48</v>
      </c>
    </row>
    <row r="51" spans="1:7" x14ac:dyDescent="0.2">
      <c r="A51" s="4" t="s">
        <v>86</v>
      </c>
      <c r="B51" s="4" t="s">
        <v>234</v>
      </c>
      <c r="C51" s="4" t="s">
        <v>163</v>
      </c>
      <c r="D51">
        <v>50</v>
      </c>
      <c r="E51">
        <v>48</v>
      </c>
      <c r="F51">
        <v>1439.89</v>
      </c>
      <c r="G51">
        <v>1441.97</v>
      </c>
    </row>
    <row r="52" spans="1:7" x14ac:dyDescent="0.2">
      <c r="A52" s="4" t="s">
        <v>240</v>
      </c>
      <c r="B52" s="4" t="s">
        <v>241</v>
      </c>
      <c r="C52" s="4" t="s">
        <v>163</v>
      </c>
      <c r="D52">
        <v>51</v>
      </c>
      <c r="E52">
        <v>53</v>
      </c>
      <c r="F52">
        <v>1437.78</v>
      </c>
      <c r="G52">
        <v>1435.74</v>
      </c>
    </row>
    <row r="53" spans="1:7" x14ac:dyDescent="0.2">
      <c r="A53" s="4" t="s">
        <v>217</v>
      </c>
      <c r="B53" s="4" t="s">
        <v>218</v>
      </c>
      <c r="C53" s="4" t="s">
        <v>138</v>
      </c>
      <c r="D53">
        <v>52</v>
      </c>
      <c r="E53">
        <v>49</v>
      </c>
      <c r="F53">
        <v>1437.6</v>
      </c>
      <c r="G53">
        <v>1441.45</v>
      </c>
    </row>
    <row r="54" spans="1:7" x14ac:dyDescent="0.2">
      <c r="A54" s="4" t="s">
        <v>227</v>
      </c>
      <c r="B54" s="4" t="s">
        <v>228</v>
      </c>
      <c r="C54" s="4" t="s">
        <v>138</v>
      </c>
      <c r="D54">
        <v>53</v>
      </c>
      <c r="E54">
        <v>54</v>
      </c>
      <c r="F54">
        <v>1434.68</v>
      </c>
      <c r="G54">
        <v>1427.84</v>
      </c>
    </row>
    <row r="55" spans="1:7" x14ac:dyDescent="0.2">
      <c r="A55" s="4" t="s">
        <v>242</v>
      </c>
      <c r="B55" s="4" t="s">
        <v>243</v>
      </c>
      <c r="C55" s="4" t="s">
        <v>146</v>
      </c>
      <c r="D55">
        <v>54</v>
      </c>
      <c r="E55">
        <v>55</v>
      </c>
      <c r="F55">
        <v>1432.25</v>
      </c>
      <c r="G55">
        <v>1425.64</v>
      </c>
    </row>
    <row r="56" spans="1:7" x14ac:dyDescent="0.2">
      <c r="A56" s="4" t="s">
        <v>215</v>
      </c>
      <c r="B56" s="4" t="s">
        <v>216</v>
      </c>
      <c r="C56" s="4" t="s">
        <v>138</v>
      </c>
      <c r="D56">
        <v>55</v>
      </c>
      <c r="E56">
        <v>51</v>
      </c>
      <c r="F56">
        <v>1425.59</v>
      </c>
      <c r="G56">
        <v>1439.99</v>
      </c>
    </row>
    <row r="57" spans="1:7" x14ac:dyDescent="0.2">
      <c r="A57" s="4" t="s">
        <v>268</v>
      </c>
      <c r="B57" s="4" t="s">
        <v>269</v>
      </c>
      <c r="C57" s="4" t="s">
        <v>138</v>
      </c>
      <c r="D57">
        <v>56</v>
      </c>
      <c r="E57">
        <v>59</v>
      </c>
      <c r="F57">
        <v>1405.6</v>
      </c>
      <c r="G57">
        <v>1398.41</v>
      </c>
    </row>
    <row r="58" spans="1:7" x14ac:dyDescent="0.2">
      <c r="A58" s="4" t="s">
        <v>219</v>
      </c>
      <c r="B58" s="4" t="s">
        <v>220</v>
      </c>
      <c r="C58" s="4" t="s">
        <v>136</v>
      </c>
      <c r="D58">
        <v>57</v>
      </c>
      <c r="E58">
        <v>56</v>
      </c>
      <c r="F58">
        <v>1404.37</v>
      </c>
      <c r="G58">
        <v>1405.17</v>
      </c>
    </row>
    <row r="59" spans="1:7" x14ac:dyDescent="0.2">
      <c r="A59" s="4" t="s">
        <v>246</v>
      </c>
      <c r="B59" s="4" t="s">
        <v>247</v>
      </c>
      <c r="C59" s="4" t="s">
        <v>138</v>
      </c>
      <c r="D59">
        <v>58</v>
      </c>
      <c r="E59">
        <v>57</v>
      </c>
      <c r="F59">
        <v>1403.51</v>
      </c>
      <c r="G59">
        <v>1403.98</v>
      </c>
    </row>
    <row r="60" spans="1:7" x14ac:dyDescent="0.2">
      <c r="A60" s="4" t="s">
        <v>258</v>
      </c>
      <c r="B60" s="4" t="s">
        <v>259</v>
      </c>
      <c r="C60" s="4" t="s">
        <v>138</v>
      </c>
      <c r="D60">
        <v>59</v>
      </c>
      <c r="E60">
        <v>58</v>
      </c>
      <c r="F60">
        <v>1396.55</v>
      </c>
      <c r="G60">
        <v>1399.1</v>
      </c>
    </row>
    <row r="61" spans="1:7" x14ac:dyDescent="0.2">
      <c r="A61" s="4" t="s">
        <v>192</v>
      </c>
      <c r="B61" s="4" t="s">
        <v>193</v>
      </c>
      <c r="C61" s="4" t="s">
        <v>156</v>
      </c>
      <c r="D61">
        <v>60</v>
      </c>
      <c r="E61">
        <v>61</v>
      </c>
      <c r="F61">
        <v>1393.28</v>
      </c>
      <c r="G61">
        <v>1389.27</v>
      </c>
    </row>
    <row r="62" spans="1:7" x14ac:dyDescent="0.2">
      <c r="A62" s="4" t="s">
        <v>264</v>
      </c>
      <c r="B62" s="4" t="s">
        <v>265</v>
      </c>
      <c r="C62" s="4" t="s">
        <v>146</v>
      </c>
      <c r="D62">
        <v>61</v>
      </c>
      <c r="E62">
        <v>60</v>
      </c>
      <c r="F62">
        <v>1393</v>
      </c>
      <c r="G62">
        <v>1393.47</v>
      </c>
    </row>
    <row r="63" spans="1:7" x14ac:dyDescent="0.2">
      <c r="A63" s="4" t="s">
        <v>266</v>
      </c>
      <c r="B63" s="4" t="s">
        <v>267</v>
      </c>
      <c r="C63" s="4" t="s">
        <v>138</v>
      </c>
      <c r="D63">
        <v>62</v>
      </c>
      <c r="E63">
        <v>63</v>
      </c>
      <c r="F63">
        <v>1384.41</v>
      </c>
      <c r="G63">
        <v>1379.61</v>
      </c>
    </row>
    <row r="64" spans="1:7" x14ac:dyDescent="0.2">
      <c r="A64" s="4" t="s">
        <v>237</v>
      </c>
      <c r="B64" s="4" t="s">
        <v>238</v>
      </c>
      <c r="C64" s="4" t="s">
        <v>138</v>
      </c>
      <c r="D64">
        <v>63</v>
      </c>
      <c r="E64">
        <v>65</v>
      </c>
      <c r="F64">
        <v>1384.04</v>
      </c>
      <c r="G64">
        <v>1372.48</v>
      </c>
    </row>
    <row r="65" spans="1:7" x14ac:dyDescent="0.2">
      <c r="A65" s="4" t="s">
        <v>260</v>
      </c>
      <c r="B65" s="4" t="s">
        <v>261</v>
      </c>
      <c r="C65" s="4" t="s">
        <v>156</v>
      </c>
      <c r="D65">
        <v>64</v>
      </c>
      <c r="E65">
        <v>62</v>
      </c>
      <c r="F65">
        <v>1378.86</v>
      </c>
      <c r="G65">
        <v>1382.06</v>
      </c>
    </row>
    <row r="66" spans="1:7" x14ac:dyDescent="0.2">
      <c r="A66" s="4" t="s">
        <v>256</v>
      </c>
      <c r="B66" s="4" t="s">
        <v>257</v>
      </c>
      <c r="C66" s="4" t="s">
        <v>138</v>
      </c>
      <c r="D66">
        <v>65</v>
      </c>
      <c r="E66">
        <v>64</v>
      </c>
      <c r="F66">
        <v>1358.51</v>
      </c>
      <c r="G66">
        <v>1375.2</v>
      </c>
    </row>
    <row r="67" spans="1:7" x14ac:dyDescent="0.2">
      <c r="A67" s="4" t="s">
        <v>250</v>
      </c>
      <c r="B67" s="4" t="s">
        <v>251</v>
      </c>
      <c r="C67" s="4" t="s">
        <v>138</v>
      </c>
      <c r="D67">
        <v>66</v>
      </c>
      <c r="E67">
        <v>66</v>
      </c>
      <c r="F67">
        <v>1354.11</v>
      </c>
      <c r="G67">
        <v>1361.81</v>
      </c>
    </row>
    <row r="68" spans="1:7" x14ac:dyDescent="0.2">
      <c r="A68" s="4" t="s">
        <v>94</v>
      </c>
      <c r="B68" s="4" t="s">
        <v>239</v>
      </c>
      <c r="C68" s="4" t="s">
        <v>146</v>
      </c>
      <c r="D68">
        <v>67</v>
      </c>
      <c r="E68">
        <v>68</v>
      </c>
      <c r="F68">
        <v>1349.59</v>
      </c>
      <c r="G68">
        <v>1350.55</v>
      </c>
    </row>
    <row r="69" spans="1:7" x14ac:dyDescent="0.2">
      <c r="A69" s="4" t="s">
        <v>232</v>
      </c>
      <c r="B69" s="4" t="s">
        <v>233</v>
      </c>
      <c r="C69" s="4" t="s">
        <v>163</v>
      </c>
      <c r="D69">
        <v>68</v>
      </c>
      <c r="E69">
        <v>70</v>
      </c>
      <c r="F69">
        <v>1343.01</v>
      </c>
      <c r="G69">
        <v>1338.91</v>
      </c>
    </row>
    <row r="70" spans="1:7" x14ac:dyDescent="0.2">
      <c r="A70" s="4" t="s">
        <v>278</v>
      </c>
      <c r="B70" s="4" t="s">
        <v>279</v>
      </c>
      <c r="C70" s="4" t="s">
        <v>138</v>
      </c>
      <c r="D70">
        <v>69</v>
      </c>
      <c r="E70">
        <v>67</v>
      </c>
      <c r="F70">
        <v>1341.03</v>
      </c>
      <c r="G70">
        <v>1354.59</v>
      </c>
    </row>
    <row r="71" spans="1:7" x14ac:dyDescent="0.2">
      <c r="A71" s="4" t="s">
        <v>254</v>
      </c>
      <c r="B71" s="4" t="s">
        <v>255</v>
      </c>
      <c r="C71" s="4" t="s">
        <v>163</v>
      </c>
      <c r="D71">
        <v>70</v>
      </c>
      <c r="E71">
        <v>69</v>
      </c>
      <c r="F71">
        <v>1337.57</v>
      </c>
      <c r="G71">
        <v>1346.09</v>
      </c>
    </row>
    <row r="72" spans="1:7" x14ac:dyDescent="0.2">
      <c r="A72" s="4" t="s">
        <v>252</v>
      </c>
      <c r="B72" s="4" t="s">
        <v>253</v>
      </c>
      <c r="C72" s="4" t="s">
        <v>146</v>
      </c>
      <c r="D72">
        <v>71</v>
      </c>
      <c r="E72">
        <v>73</v>
      </c>
      <c r="F72">
        <v>1336.05</v>
      </c>
      <c r="G72">
        <v>1331.46</v>
      </c>
    </row>
    <row r="73" spans="1:7" x14ac:dyDescent="0.2">
      <c r="A73" s="4" t="s">
        <v>293</v>
      </c>
      <c r="B73" s="4" t="s">
        <v>294</v>
      </c>
      <c r="C73" s="4" t="s">
        <v>138</v>
      </c>
      <c r="D73">
        <v>72</v>
      </c>
      <c r="E73">
        <v>74</v>
      </c>
      <c r="F73">
        <v>1335.36</v>
      </c>
      <c r="G73">
        <v>1325.16</v>
      </c>
    </row>
    <row r="74" spans="1:7" x14ac:dyDescent="0.2">
      <c r="A74" s="4" t="s">
        <v>211</v>
      </c>
      <c r="B74" s="4" t="s">
        <v>212</v>
      </c>
      <c r="C74" s="4" t="s">
        <v>146</v>
      </c>
      <c r="D74">
        <v>73</v>
      </c>
      <c r="E74">
        <v>72</v>
      </c>
      <c r="F74">
        <v>1333.92</v>
      </c>
      <c r="G74">
        <v>1332.84</v>
      </c>
    </row>
    <row r="75" spans="1:7" x14ac:dyDescent="0.2">
      <c r="A75" s="4" t="s">
        <v>319</v>
      </c>
      <c r="B75" s="4" t="s">
        <v>320</v>
      </c>
      <c r="C75" s="4" t="s">
        <v>156</v>
      </c>
      <c r="D75">
        <v>74</v>
      </c>
      <c r="E75">
        <v>71</v>
      </c>
      <c r="F75">
        <v>1330.51</v>
      </c>
      <c r="G75">
        <v>1333.48</v>
      </c>
    </row>
    <row r="76" spans="1:7" x14ac:dyDescent="0.2">
      <c r="A76" s="4" t="s">
        <v>276</v>
      </c>
      <c r="B76" s="4" t="s">
        <v>277</v>
      </c>
      <c r="C76" s="4" t="s">
        <v>163</v>
      </c>
      <c r="D76">
        <v>75</v>
      </c>
      <c r="E76">
        <v>75</v>
      </c>
      <c r="F76">
        <v>1320.29</v>
      </c>
      <c r="G76">
        <v>1323.03</v>
      </c>
    </row>
    <row r="77" spans="1:7" x14ac:dyDescent="0.2">
      <c r="A77" s="4" t="s">
        <v>270</v>
      </c>
      <c r="B77" s="4" t="s">
        <v>271</v>
      </c>
      <c r="C77" s="4" t="s">
        <v>138</v>
      </c>
      <c r="D77">
        <v>76</v>
      </c>
      <c r="E77">
        <v>76</v>
      </c>
      <c r="F77">
        <v>1316.55</v>
      </c>
      <c r="G77">
        <v>1316.35</v>
      </c>
    </row>
    <row r="78" spans="1:7" x14ac:dyDescent="0.2">
      <c r="A78" s="4" t="s">
        <v>221</v>
      </c>
      <c r="B78" s="4" t="s">
        <v>222</v>
      </c>
      <c r="C78" s="4" t="s">
        <v>163</v>
      </c>
      <c r="D78">
        <v>77</v>
      </c>
      <c r="E78">
        <v>77</v>
      </c>
      <c r="F78">
        <v>1309.98</v>
      </c>
      <c r="G78">
        <v>1306.6300000000001</v>
      </c>
    </row>
    <row r="79" spans="1:7" x14ac:dyDescent="0.2">
      <c r="A79" s="4" t="s">
        <v>262</v>
      </c>
      <c r="B79" s="4" t="s">
        <v>263</v>
      </c>
      <c r="C79" s="4" t="s">
        <v>138</v>
      </c>
      <c r="D79">
        <v>78</v>
      </c>
      <c r="E79">
        <v>82</v>
      </c>
      <c r="F79">
        <v>1307.3399999999999</v>
      </c>
      <c r="G79">
        <v>1296.46</v>
      </c>
    </row>
    <row r="80" spans="1:7" x14ac:dyDescent="0.2">
      <c r="A80" s="4" t="s">
        <v>303</v>
      </c>
      <c r="B80" s="4" t="s">
        <v>304</v>
      </c>
      <c r="C80" s="4" t="s">
        <v>163</v>
      </c>
      <c r="D80">
        <v>79</v>
      </c>
      <c r="E80">
        <v>78</v>
      </c>
      <c r="F80">
        <v>1305.06</v>
      </c>
      <c r="G80">
        <v>1305.06</v>
      </c>
    </row>
    <row r="81" spans="1:7" x14ac:dyDescent="0.2">
      <c r="A81" s="4" t="s">
        <v>248</v>
      </c>
      <c r="B81" s="4" t="s">
        <v>249</v>
      </c>
      <c r="C81" s="4" t="s">
        <v>156</v>
      </c>
      <c r="D81">
        <v>80</v>
      </c>
      <c r="E81">
        <v>80</v>
      </c>
      <c r="F81">
        <v>1301.98</v>
      </c>
      <c r="G81">
        <v>1299.69</v>
      </c>
    </row>
    <row r="82" spans="1:7" x14ac:dyDescent="0.2">
      <c r="A82" s="4" t="s">
        <v>291</v>
      </c>
      <c r="B82" s="4" t="s">
        <v>292</v>
      </c>
      <c r="C82" s="4" t="s">
        <v>146</v>
      </c>
      <c r="D82">
        <v>81</v>
      </c>
      <c r="E82">
        <v>79</v>
      </c>
      <c r="F82">
        <v>1301.8399999999999</v>
      </c>
      <c r="G82">
        <v>1301.8399999999999</v>
      </c>
    </row>
    <row r="83" spans="1:7" x14ac:dyDescent="0.2">
      <c r="A83" s="4" t="s">
        <v>272</v>
      </c>
      <c r="B83" s="4" t="s">
        <v>273</v>
      </c>
      <c r="C83" s="4" t="s">
        <v>136</v>
      </c>
      <c r="D83">
        <v>82</v>
      </c>
      <c r="E83">
        <v>81</v>
      </c>
      <c r="F83">
        <v>1296.28</v>
      </c>
      <c r="G83">
        <v>1298.81</v>
      </c>
    </row>
    <row r="84" spans="1:7" x14ac:dyDescent="0.2">
      <c r="A84" s="4" t="s">
        <v>280</v>
      </c>
      <c r="B84" s="4" t="s">
        <v>281</v>
      </c>
      <c r="C84" s="4" t="s">
        <v>146</v>
      </c>
      <c r="D84">
        <v>83</v>
      </c>
      <c r="E84">
        <v>83</v>
      </c>
      <c r="F84">
        <v>1290.47</v>
      </c>
      <c r="G84">
        <v>1294.8900000000001</v>
      </c>
    </row>
    <row r="85" spans="1:7" x14ac:dyDescent="0.2">
      <c r="A85" s="4" t="s">
        <v>244</v>
      </c>
      <c r="B85" s="4" t="s">
        <v>245</v>
      </c>
      <c r="C85" s="4" t="s">
        <v>163</v>
      </c>
      <c r="D85">
        <v>84</v>
      </c>
      <c r="E85">
        <v>86</v>
      </c>
      <c r="F85">
        <v>1289.99</v>
      </c>
      <c r="G85">
        <v>1279.74</v>
      </c>
    </row>
    <row r="86" spans="1:7" x14ac:dyDescent="0.2">
      <c r="A86" s="4" t="s">
        <v>305</v>
      </c>
      <c r="B86" s="4" t="s">
        <v>306</v>
      </c>
      <c r="C86" s="4" t="s">
        <v>163</v>
      </c>
      <c r="D86">
        <v>85</v>
      </c>
      <c r="E86">
        <v>85</v>
      </c>
      <c r="F86">
        <v>1280.6400000000001</v>
      </c>
      <c r="G86">
        <v>1289.25</v>
      </c>
    </row>
    <row r="87" spans="1:7" x14ac:dyDescent="0.2">
      <c r="A87" s="4" t="s">
        <v>282</v>
      </c>
      <c r="B87" s="4" t="s">
        <v>283</v>
      </c>
      <c r="C87" s="4" t="s">
        <v>156</v>
      </c>
      <c r="D87">
        <v>86</v>
      </c>
      <c r="E87">
        <v>84</v>
      </c>
      <c r="F87">
        <v>1278.6400000000001</v>
      </c>
      <c r="G87">
        <v>1293.3499999999999</v>
      </c>
    </row>
    <row r="88" spans="1:7" x14ac:dyDescent="0.2">
      <c r="A88" s="4" t="s">
        <v>284</v>
      </c>
      <c r="B88" s="4" t="s">
        <v>285</v>
      </c>
      <c r="C88" s="4" t="s">
        <v>156</v>
      </c>
      <c r="D88">
        <v>87</v>
      </c>
      <c r="E88">
        <v>88</v>
      </c>
      <c r="F88">
        <v>1269.07</v>
      </c>
      <c r="G88">
        <v>1269.07</v>
      </c>
    </row>
    <row r="89" spans="1:7" x14ac:dyDescent="0.2">
      <c r="A89" s="4" t="s">
        <v>301</v>
      </c>
      <c r="B89" s="4" t="s">
        <v>302</v>
      </c>
      <c r="C89" s="4" t="s">
        <v>146</v>
      </c>
      <c r="D89">
        <v>88</v>
      </c>
      <c r="E89">
        <v>87</v>
      </c>
      <c r="F89">
        <v>1267.4100000000001</v>
      </c>
      <c r="G89">
        <v>1270.8</v>
      </c>
    </row>
    <row r="90" spans="1:7" x14ac:dyDescent="0.2">
      <c r="A90" s="4" t="s">
        <v>295</v>
      </c>
      <c r="B90" s="4" t="s">
        <v>296</v>
      </c>
      <c r="C90" s="4" t="s">
        <v>146</v>
      </c>
      <c r="D90">
        <v>89</v>
      </c>
      <c r="E90">
        <v>90</v>
      </c>
      <c r="F90">
        <v>1260.69</v>
      </c>
      <c r="G90">
        <v>1264.56</v>
      </c>
    </row>
    <row r="91" spans="1:7" x14ac:dyDescent="0.2">
      <c r="A91" s="4" t="s">
        <v>286</v>
      </c>
      <c r="B91" s="4" t="s">
        <v>287</v>
      </c>
      <c r="C91" s="4" t="s">
        <v>163</v>
      </c>
      <c r="D91">
        <v>90</v>
      </c>
      <c r="E91">
        <v>89</v>
      </c>
      <c r="F91">
        <v>1255.92</v>
      </c>
      <c r="G91">
        <v>1265.03</v>
      </c>
    </row>
    <row r="92" spans="1:7" x14ac:dyDescent="0.2">
      <c r="A92" s="4" t="s">
        <v>299</v>
      </c>
      <c r="B92" s="4" t="s">
        <v>300</v>
      </c>
      <c r="C92" s="4" t="s">
        <v>146</v>
      </c>
      <c r="D92">
        <v>91</v>
      </c>
      <c r="E92">
        <v>91</v>
      </c>
      <c r="F92">
        <v>1247.47</v>
      </c>
      <c r="G92">
        <v>1258.71</v>
      </c>
    </row>
    <row r="93" spans="1:7" x14ac:dyDescent="0.2">
      <c r="A93" s="4" t="s">
        <v>314</v>
      </c>
      <c r="B93" s="4" t="s">
        <v>315</v>
      </c>
      <c r="C93" s="4" t="s">
        <v>138</v>
      </c>
      <c r="D93">
        <v>92</v>
      </c>
      <c r="E93">
        <v>93</v>
      </c>
      <c r="F93">
        <v>1243.8</v>
      </c>
      <c r="G93">
        <v>1235.3599999999999</v>
      </c>
    </row>
    <row r="94" spans="1:7" x14ac:dyDescent="0.2">
      <c r="A94" s="4" t="s">
        <v>331</v>
      </c>
      <c r="B94" s="4" t="s">
        <v>332</v>
      </c>
      <c r="C94" s="4" t="s">
        <v>138</v>
      </c>
      <c r="D94">
        <v>93</v>
      </c>
      <c r="E94">
        <v>92</v>
      </c>
      <c r="F94">
        <v>1233.93</v>
      </c>
      <c r="G94">
        <v>1242.42</v>
      </c>
    </row>
    <row r="95" spans="1:7" x14ac:dyDescent="0.2">
      <c r="A95" s="4" t="s">
        <v>308</v>
      </c>
      <c r="B95" s="4" t="s">
        <v>309</v>
      </c>
      <c r="C95" s="4" t="s">
        <v>163</v>
      </c>
      <c r="D95">
        <v>94</v>
      </c>
      <c r="E95">
        <v>94</v>
      </c>
      <c r="F95">
        <v>1233.72</v>
      </c>
      <c r="G95">
        <v>1233.72</v>
      </c>
    </row>
    <row r="96" spans="1:7" x14ac:dyDescent="0.2">
      <c r="A96" s="4" t="s">
        <v>329</v>
      </c>
      <c r="B96" s="4" t="s">
        <v>330</v>
      </c>
      <c r="C96" s="4" t="s">
        <v>163</v>
      </c>
      <c r="D96">
        <v>95</v>
      </c>
      <c r="E96">
        <v>95</v>
      </c>
      <c r="F96">
        <v>1230.22</v>
      </c>
      <c r="G96">
        <v>1232.9100000000001</v>
      </c>
    </row>
    <row r="97" spans="1:7" x14ac:dyDescent="0.2">
      <c r="A97" s="4" t="s">
        <v>25</v>
      </c>
      <c r="B97" s="4" t="s">
        <v>316</v>
      </c>
      <c r="C97" s="4" t="s">
        <v>163</v>
      </c>
      <c r="D97">
        <v>96</v>
      </c>
      <c r="E97">
        <v>97</v>
      </c>
      <c r="F97">
        <v>1226.6500000000001</v>
      </c>
      <c r="G97">
        <v>1218.8399999999999</v>
      </c>
    </row>
    <row r="98" spans="1:7" x14ac:dyDescent="0.2">
      <c r="A98" s="4" t="s">
        <v>310</v>
      </c>
      <c r="B98" s="4" t="s">
        <v>311</v>
      </c>
      <c r="C98" s="4" t="s">
        <v>138</v>
      </c>
      <c r="D98">
        <v>97</v>
      </c>
      <c r="E98">
        <v>96</v>
      </c>
      <c r="F98">
        <v>1221.06</v>
      </c>
      <c r="G98">
        <v>1226.55</v>
      </c>
    </row>
    <row r="99" spans="1:7" x14ac:dyDescent="0.2">
      <c r="A99" s="4" t="s">
        <v>327</v>
      </c>
      <c r="B99" s="4" t="s">
        <v>328</v>
      </c>
      <c r="C99" s="4" t="s">
        <v>146</v>
      </c>
      <c r="D99">
        <v>98</v>
      </c>
      <c r="E99">
        <v>98</v>
      </c>
      <c r="F99">
        <v>1215.6600000000001</v>
      </c>
      <c r="G99">
        <v>1215.33</v>
      </c>
    </row>
    <row r="100" spans="1:7" x14ac:dyDescent="0.2">
      <c r="A100" s="4" t="s">
        <v>345</v>
      </c>
      <c r="B100" s="4" t="s">
        <v>346</v>
      </c>
      <c r="C100" s="4" t="s">
        <v>163</v>
      </c>
      <c r="D100">
        <v>99</v>
      </c>
      <c r="E100">
        <v>100</v>
      </c>
      <c r="F100">
        <v>1211.71</v>
      </c>
      <c r="G100">
        <v>1211.71</v>
      </c>
    </row>
    <row r="101" spans="1:7" x14ac:dyDescent="0.2">
      <c r="A101" s="4" t="s">
        <v>385</v>
      </c>
      <c r="B101" s="4" t="s">
        <v>386</v>
      </c>
      <c r="C101" s="4" t="s">
        <v>146</v>
      </c>
      <c r="D101">
        <v>100</v>
      </c>
      <c r="E101">
        <v>99</v>
      </c>
      <c r="F101">
        <v>1208.79</v>
      </c>
      <c r="G101">
        <v>1215.0899999999999</v>
      </c>
    </row>
    <row r="102" spans="1:7" x14ac:dyDescent="0.2">
      <c r="A102" s="4" t="s">
        <v>335</v>
      </c>
      <c r="B102" s="4" t="s">
        <v>336</v>
      </c>
      <c r="C102" s="4" t="s">
        <v>146</v>
      </c>
      <c r="D102">
        <v>101</v>
      </c>
      <c r="E102">
        <v>102</v>
      </c>
      <c r="F102">
        <v>1202.26</v>
      </c>
      <c r="G102">
        <v>1202.26</v>
      </c>
    </row>
    <row r="103" spans="1:7" x14ac:dyDescent="0.2">
      <c r="A103" s="4" t="s">
        <v>325</v>
      </c>
      <c r="B103" s="4" t="s">
        <v>326</v>
      </c>
      <c r="C103" s="4" t="s">
        <v>146</v>
      </c>
      <c r="D103">
        <v>102</v>
      </c>
      <c r="E103">
        <v>105</v>
      </c>
      <c r="F103">
        <v>1200.74</v>
      </c>
      <c r="G103">
        <v>1193.78</v>
      </c>
    </row>
    <row r="104" spans="1:7" x14ac:dyDescent="0.2">
      <c r="A104" s="4" t="s">
        <v>347</v>
      </c>
      <c r="B104" s="4" t="s">
        <v>348</v>
      </c>
      <c r="C104" s="4" t="s">
        <v>146</v>
      </c>
      <c r="D104">
        <v>103</v>
      </c>
      <c r="E104">
        <v>107</v>
      </c>
      <c r="F104">
        <v>1197.58</v>
      </c>
      <c r="G104">
        <v>1181.8599999999999</v>
      </c>
    </row>
    <row r="105" spans="1:7" x14ac:dyDescent="0.2">
      <c r="A105" s="4" t="s">
        <v>323</v>
      </c>
      <c r="B105" s="4" t="s">
        <v>324</v>
      </c>
      <c r="C105" s="4" t="s">
        <v>156</v>
      </c>
      <c r="D105">
        <v>104</v>
      </c>
      <c r="E105">
        <v>101</v>
      </c>
      <c r="F105">
        <v>1195.29</v>
      </c>
      <c r="G105">
        <v>1205.8499999999999</v>
      </c>
    </row>
    <row r="106" spans="1:7" x14ac:dyDescent="0.2">
      <c r="A106" s="4" t="s">
        <v>288</v>
      </c>
      <c r="B106" s="4" t="s">
        <v>289</v>
      </c>
      <c r="C106" s="4" t="s">
        <v>290</v>
      </c>
      <c r="D106">
        <v>105</v>
      </c>
      <c r="E106">
        <v>103</v>
      </c>
      <c r="F106">
        <v>1193.98</v>
      </c>
      <c r="G106">
        <v>1198.96</v>
      </c>
    </row>
    <row r="107" spans="1:7" x14ac:dyDescent="0.2">
      <c r="A107" s="4" t="s">
        <v>6</v>
      </c>
      <c r="B107" s="4" t="s">
        <v>394</v>
      </c>
      <c r="C107" s="4" t="s">
        <v>163</v>
      </c>
      <c r="D107">
        <v>106</v>
      </c>
      <c r="E107">
        <v>104</v>
      </c>
      <c r="F107">
        <v>1192.0899999999999</v>
      </c>
      <c r="G107">
        <v>1198.6500000000001</v>
      </c>
    </row>
    <row r="108" spans="1:7" x14ac:dyDescent="0.2">
      <c r="A108" s="4" t="s">
        <v>274</v>
      </c>
      <c r="B108" s="4" t="s">
        <v>275</v>
      </c>
      <c r="C108" s="4" t="s">
        <v>138</v>
      </c>
      <c r="D108">
        <v>107</v>
      </c>
      <c r="E108">
        <v>106</v>
      </c>
      <c r="F108">
        <v>1187.01</v>
      </c>
      <c r="G108">
        <v>1183.9000000000001</v>
      </c>
    </row>
    <row r="109" spans="1:7" x14ac:dyDescent="0.2">
      <c r="A109" s="4" t="s">
        <v>317</v>
      </c>
      <c r="B109" s="4" t="s">
        <v>318</v>
      </c>
      <c r="C109" s="4" t="s">
        <v>163</v>
      </c>
      <c r="D109">
        <v>108</v>
      </c>
      <c r="E109">
        <v>109</v>
      </c>
      <c r="F109">
        <v>1185.7</v>
      </c>
      <c r="G109">
        <v>1179.0999999999999</v>
      </c>
    </row>
    <row r="110" spans="1:7" x14ac:dyDescent="0.2">
      <c r="A110" s="4" t="s">
        <v>373</v>
      </c>
      <c r="B110" s="4" t="s">
        <v>374</v>
      </c>
      <c r="C110" s="4" t="s">
        <v>138</v>
      </c>
      <c r="D110">
        <v>109</v>
      </c>
      <c r="E110">
        <v>110</v>
      </c>
      <c r="F110">
        <v>1184.6400000000001</v>
      </c>
      <c r="G110">
        <v>1177.4000000000001</v>
      </c>
    </row>
    <row r="111" spans="1:7" x14ac:dyDescent="0.2">
      <c r="A111" s="4" t="s">
        <v>363</v>
      </c>
      <c r="B111" s="4" t="s">
        <v>364</v>
      </c>
      <c r="C111" s="4" t="s">
        <v>138</v>
      </c>
      <c r="D111">
        <v>110</v>
      </c>
      <c r="E111">
        <v>108</v>
      </c>
      <c r="F111">
        <v>1183.82</v>
      </c>
      <c r="G111">
        <v>1180.52</v>
      </c>
    </row>
    <row r="112" spans="1:7" x14ac:dyDescent="0.2">
      <c r="A112" s="4" t="s">
        <v>39</v>
      </c>
      <c r="B112" s="4" t="s">
        <v>307</v>
      </c>
      <c r="C112" s="4" t="s">
        <v>163</v>
      </c>
      <c r="D112">
        <v>111</v>
      </c>
      <c r="E112">
        <v>111</v>
      </c>
      <c r="F112">
        <v>1174.92</v>
      </c>
      <c r="G112">
        <v>1170.69</v>
      </c>
    </row>
    <row r="113" spans="1:7" x14ac:dyDescent="0.2">
      <c r="A113" s="4" t="s">
        <v>357</v>
      </c>
      <c r="B113" s="4" t="s">
        <v>358</v>
      </c>
      <c r="C113" s="4" t="s">
        <v>163</v>
      </c>
      <c r="D113">
        <v>112</v>
      </c>
      <c r="E113">
        <v>112</v>
      </c>
      <c r="F113">
        <v>1169.96</v>
      </c>
      <c r="G113">
        <v>1169.96</v>
      </c>
    </row>
    <row r="114" spans="1:7" x14ac:dyDescent="0.2">
      <c r="A114" s="4" t="s">
        <v>337</v>
      </c>
      <c r="B114" s="4" t="s">
        <v>338</v>
      </c>
      <c r="C114" s="4" t="s">
        <v>138</v>
      </c>
      <c r="D114">
        <v>113</v>
      </c>
      <c r="E114">
        <v>114</v>
      </c>
      <c r="F114">
        <v>1166.6300000000001</v>
      </c>
      <c r="G114">
        <v>1166.28</v>
      </c>
    </row>
    <row r="115" spans="1:7" x14ac:dyDescent="0.2">
      <c r="A115" s="4" t="s">
        <v>321</v>
      </c>
      <c r="B115" s="4" t="s">
        <v>322</v>
      </c>
      <c r="C115" s="4" t="s">
        <v>146</v>
      </c>
      <c r="D115">
        <v>114</v>
      </c>
      <c r="E115">
        <v>116</v>
      </c>
      <c r="F115">
        <v>1165.22</v>
      </c>
      <c r="G115">
        <v>1165.4100000000001</v>
      </c>
    </row>
    <row r="116" spans="1:7" x14ac:dyDescent="0.2">
      <c r="A116" s="4" t="s">
        <v>359</v>
      </c>
      <c r="B116" s="4" t="s">
        <v>360</v>
      </c>
      <c r="C116" s="4" t="s">
        <v>146</v>
      </c>
      <c r="D116">
        <v>115</v>
      </c>
      <c r="E116">
        <v>117</v>
      </c>
      <c r="F116">
        <v>1164.1300000000001</v>
      </c>
      <c r="G116">
        <v>1164.1300000000001</v>
      </c>
    </row>
    <row r="117" spans="1:7" x14ac:dyDescent="0.2">
      <c r="A117" s="4" t="s">
        <v>381</v>
      </c>
      <c r="B117" s="4" t="s">
        <v>382</v>
      </c>
      <c r="C117" s="4" t="s">
        <v>146</v>
      </c>
      <c r="D117">
        <v>116</v>
      </c>
      <c r="E117">
        <v>115</v>
      </c>
      <c r="F117">
        <v>1160.71</v>
      </c>
      <c r="G117">
        <v>1165.53</v>
      </c>
    </row>
    <row r="118" spans="1:7" x14ac:dyDescent="0.2">
      <c r="A118" s="4" t="s">
        <v>353</v>
      </c>
      <c r="B118" s="4" t="s">
        <v>354</v>
      </c>
      <c r="C118" s="4" t="s">
        <v>146</v>
      </c>
      <c r="D118">
        <v>117</v>
      </c>
      <c r="E118">
        <v>113</v>
      </c>
      <c r="F118">
        <v>1160.31</v>
      </c>
      <c r="G118">
        <v>1169.71</v>
      </c>
    </row>
    <row r="119" spans="1:7" x14ac:dyDescent="0.2">
      <c r="A119" s="4" t="s">
        <v>312</v>
      </c>
      <c r="B119" s="4" t="s">
        <v>313</v>
      </c>
      <c r="C119" s="4" t="s">
        <v>156</v>
      </c>
      <c r="D119">
        <v>118</v>
      </c>
      <c r="E119">
        <v>118</v>
      </c>
      <c r="F119">
        <v>1156.7</v>
      </c>
      <c r="G119">
        <v>1161.96</v>
      </c>
    </row>
    <row r="120" spans="1:7" x14ac:dyDescent="0.2">
      <c r="A120" s="4" t="s">
        <v>297</v>
      </c>
      <c r="B120" s="4" t="s">
        <v>298</v>
      </c>
      <c r="C120" s="4" t="s">
        <v>146</v>
      </c>
      <c r="D120">
        <v>119</v>
      </c>
      <c r="E120">
        <v>120</v>
      </c>
      <c r="F120">
        <v>1155.9000000000001</v>
      </c>
      <c r="G120">
        <v>1149.08</v>
      </c>
    </row>
    <row r="121" spans="1:7" x14ac:dyDescent="0.2">
      <c r="A121" s="4" t="s">
        <v>339</v>
      </c>
      <c r="B121" s="4" t="s">
        <v>340</v>
      </c>
      <c r="C121" s="4" t="s">
        <v>146</v>
      </c>
      <c r="D121">
        <v>120</v>
      </c>
      <c r="E121">
        <v>121</v>
      </c>
      <c r="F121">
        <v>1154.25</v>
      </c>
      <c r="G121">
        <v>1148.3599999999999</v>
      </c>
    </row>
    <row r="122" spans="1:7" x14ac:dyDescent="0.2">
      <c r="A122" s="4" t="s">
        <v>341</v>
      </c>
      <c r="B122" s="4" t="s">
        <v>342</v>
      </c>
      <c r="C122" s="4" t="s">
        <v>146</v>
      </c>
      <c r="D122">
        <v>121</v>
      </c>
      <c r="E122">
        <v>119</v>
      </c>
      <c r="F122">
        <v>1152.8</v>
      </c>
      <c r="G122">
        <v>1155.23</v>
      </c>
    </row>
    <row r="123" spans="1:7" x14ac:dyDescent="0.2">
      <c r="A123" s="4" t="s">
        <v>367</v>
      </c>
      <c r="B123" s="4" t="s">
        <v>368</v>
      </c>
      <c r="C123" s="4" t="s">
        <v>138</v>
      </c>
      <c r="D123">
        <v>122</v>
      </c>
      <c r="E123">
        <v>125</v>
      </c>
      <c r="F123">
        <v>1147.17</v>
      </c>
      <c r="G123">
        <v>1136.29</v>
      </c>
    </row>
    <row r="124" spans="1:7" x14ac:dyDescent="0.2">
      <c r="A124" s="4" t="s">
        <v>369</v>
      </c>
      <c r="B124" s="4" t="s">
        <v>370</v>
      </c>
      <c r="C124" s="4" t="s">
        <v>138</v>
      </c>
      <c r="D124">
        <v>123</v>
      </c>
      <c r="E124">
        <v>128</v>
      </c>
      <c r="F124">
        <v>1146.72</v>
      </c>
      <c r="G124">
        <v>1127.17</v>
      </c>
    </row>
    <row r="125" spans="1:7" x14ac:dyDescent="0.2">
      <c r="A125" s="4" t="s">
        <v>375</v>
      </c>
      <c r="B125" s="4" t="s">
        <v>376</v>
      </c>
      <c r="C125" s="4" t="s">
        <v>146</v>
      </c>
      <c r="D125">
        <v>124</v>
      </c>
      <c r="E125">
        <v>122</v>
      </c>
      <c r="F125">
        <v>1144.97</v>
      </c>
      <c r="G125">
        <v>1144.77</v>
      </c>
    </row>
    <row r="126" spans="1:7" x14ac:dyDescent="0.2">
      <c r="A126" s="4" t="s">
        <v>377</v>
      </c>
      <c r="B126" s="4" t="s">
        <v>378</v>
      </c>
      <c r="C126" s="4" t="s">
        <v>146</v>
      </c>
      <c r="D126">
        <v>125</v>
      </c>
      <c r="E126">
        <v>123</v>
      </c>
      <c r="F126">
        <v>1138.56</v>
      </c>
      <c r="G126">
        <v>1138.56</v>
      </c>
    </row>
    <row r="127" spans="1:7" x14ac:dyDescent="0.2">
      <c r="A127" s="4" t="s">
        <v>349</v>
      </c>
      <c r="B127" s="4" t="s">
        <v>350</v>
      </c>
      <c r="C127" s="4" t="s">
        <v>146</v>
      </c>
      <c r="D127">
        <v>126</v>
      </c>
      <c r="E127">
        <v>124</v>
      </c>
      <c r="F127">
        <v>1137.47</v>
      </c>
      <c r="G127">
        <v>1137.47</v>
      </c>
    </row>
    <row r="128" spans="1:7" x14ac:dyDescent="0.2">
      <c r="A128" s="4" t="s">
        <v>361</v>
      </c>
      <c r="B128" s="4" t="s">
        <v>362</v>
      </c>
      <c r="C128" s="4" t="s">
        <v>146</v>
      </c>
      <c r="D128">
        <v>127</v>
      </c>
      <c r="E128">
        <v>126</v>
      </c>
      <c r="F128">
        <v>1128.92</v>
      </c>
      <c r="G128">
        <v>1130.22</v>
      </c>
    </row>
    <row r="129" spans="1:7" x14ac:dyDescent="0.2">
      <c r="A129" s="4" t="s">
        <v>351</v>
      </c>
      <c r="B129" s="4" t="s">
        <v>352</v>
      </c>
      <c r="C129" s="4" t="s">
        <v>146</v>
      </c>
      <c r="D129">
        <v>128</v>
      </c>
      <c r="E129">
        <v>130</v>
      </c>
      <c r="F129">
        <v>1127.3399999999999</v>
      </c>
      <c r="G129">
        <v>1124.9100000000001</v>
      </c>
    </row>
    <row r="130" spans="1:7" x14ac:dyDescent="0.2">
      <c r="A130" s="4" t="s">
        <v>333</v>
      </c>
      <c r="B130" s="4" t="s">
        <v>334</v>
      </c>
      <c r="C130" s="4" t="s">
        <v>146</v>
      </c>
      <c r="D130">
        <v>129</v>
      </c>
      <c r="E130">
        <v>127</v>
      </c>
      <c r="F130">
        <v>1123.18</v>
      </c>
      <c r="G130">
        <v>1127.44</v>
      </c>
    </row>
    <row r="131" spans="1:7" x14ac:dyDescent="0.2">
      <c r="A131" s="4" t="s">
        <v>343</v>
      </c>
      <c r="B131" s="4" t="s">
        <v>344</v>
      </c>
      <c r="C131" s="4" t="s">
        <v>146</v>
      </c>
      <c r="D131">
        <v>130</v>
      </c>
      <c r="E131">
        <v>131</v>
      </c>
      <c r="F131">
        <v>1119.8900000000001</v>
      </c>
      <c r="G131">
        <v>1121.9100000000001</v>
      </c>
    </row>
    <row r="132" spans="1:7" x14ac:dyDescent="0.2">
      <c r="A132" s="4" t="s">
        <v>438</v>
      </c>
      <c r="B132" s="4" t="s">
        <v>439</v>
      </c>
      <c r="C132" s="4" t="s">
        <v>156</v>
      </c>
      <c r="D132">
        <v>131</v>
      </c>
      <c r="E132">
        <v>132</v>
      </c>
      <c r="F132">
        <v>1117.01</v>
      </c>
      <c r="G132">
        <v>1117.01</v>
      </c>
    </row>
    <row r="133" spans="1:7" x14ac:dyDescent="0.2">
      <c r="A133" s="4" t="s">
        <v>392</v>
      </c>
      <c r="B133" s="4" t="s">
        <v>393</v>
      </c>
      <c r="C133" s="4" t="s">
        <v>146</v>
      </c>
      <c r="D133">
        <v>132</v>
      </c>
      <c r="E133">
        <v>133</v>
      </c>
      <c r="F133">
        <v>1116.97</v>
      </c>
      <c r="G133">
        <v>1116.06</v>
      </c>
    </row>
    <row r="134" spans="1:7" x14ac:dyDescent="0.2">
      <c r="A134" s="4" t="s">
        <v>30</v>
      </c>
      <c r="B134" s="4" t="s">
        <v>387</v>
      </c>
      <c r="C134" s="4" t="s">
        <v>163</v>
      </c>
      <c r="D134">
        <v>133</v>
      </c>
      <c r="E134">
        <v>134</v>
      </c>
      <c r="F134">
        <v>1115.1300000000001</v>
      </c>
      <c r="G134">
        <v>1115.1300000000001</v>
      </c>
    </row>
    <row r="135" spans="1:7" x14ac:dyDescent="0.2">
      <c r="A135" s="4" t="s">
        <v>388</v>
      </c>
      <c r="B135" s="4" t="s">
        <v>389</v>
      </c>
      <c r="C135" s="4" t="s">
        <v>138</v>
      </c>
      <c r="D135">
        <v>134</v>
      </c>
      <c r="E135">
        <v>129</v>
      </c>
      <c r="F135">
        <v>1114.21</v>
      </c>
      <c r="G135">
        <v>1125.3599999999999</v>
      </c>
    </row>
    <row r="136" spans="1:7" x14ac:dyDescent="0.2">
      <c r="A136" s="4" t="s">
        <v>395</v>
      </c>
      <c r="B136" s="4" t="s">
        <v>396</v>
      </c>
      <c r="C136" s="4" t="s">
        <v>163</v>
      </c>
      <c r="D136">
        <v>135</v>
      </c>
      <c r="E136">
        <v>135</v>
      </c>
      <c r="F136">
        <v>1100.47</v>
      </c>
      <c r="G136">
        <v>1100.47</v>
      </c>
    </row>
    <row r="137" spans="1:7" x14ac:dyDescent="0.2">
      <c r="A137" s="4" t="s">
        <v>421</v>
      </c>
      <c r="B137" s="4" t="s">
        <v>422</v>
      </c>
      <c r="C137" s="4" t="s">
        <v>290</v>
      </c>
      <c r="D137">
        <v>136</v>
      </c>
      <c r="E137">
        <v>137</v>
      </c>
      <c r="F137">
        <v>1095.7</v>
      </c>
      <c r="G137">
        <v>1092.56</v>
      </c>
    </row>
    <row r="138" spans="1:7" x14ac:dyDescent="0.2">
      <c r="A138" s="4" t="s">
        <v>371</v>
      </c>
      <c r="B138" s="4" t="s">
        <v>372</v>
      </c>
      <c r="C138" s="4" t="s">
        <v>146</v>
      </c>
      <c r="D138">
        <v>137</v>
      </c>
      <c r="E138">
        <v>136</v>
      </c>
      <c r="F138">
        <v>1093.6600000000001</v>
      </c>
      <c r="G138">
        <v>1095.04</v>
      </c>
    </row>
    <row r="139" spans="1:7" x14ac:dyDescent="0.2">
      <c r="A139" s="4" t="s">
        <v>399</v>
      </c>
      <c r="B139" s="4" t="s">
        <v>400</v>
      </c>
      <c r="C139" s="4" t="s">
        <v>146</v>
      </c>
      <c r="D139">
        <v>138</v>
      </c>
      <c r="E139">
        <v>138</v>
      </c>
      <c r="F139">
        <v>1091.19</v>
      </c>
      <c r="G139">
        <v>1088.27</v>
      </c>
    </row>
    <row r="140" spans="1:7" x14ac:dyDescent="0.2">
      <c r="A140" s="4" t="s">
        <v>365</v>
      </c>
      <c r="B140" s="4" t="s">
        <v>366</v>
      </c>
      <c r="C140" s="4" t="s">
        <v>156</v>
      </c>
      <c r="D140">
        <v>139</v>
      </c>
      <c r="E140">
        <v>143</v>
      </c>
      <c r="F140">
        <v>1077.3</v>
      </c>
      <c r="G140">
        <v>1072.24</v>
      </c>
    </row>
    <row r="141" spans="1:7" x14ac:dyDescent="0.2">
      <c r="A141" s="4" t="s">
        <v>419</v>
      </c>
      <c r="B141" s="4" t="s">
        <v>420</v>
      </c>
      <c r="C141" s="4" t="s">
        <v>156</v>
      </c>
      <c r="D141">
        <v>140</v>
      </c>
      <c r="E141">
        <v>140</v>
      </c>
      <c r="F141">
        <v>1076.9100000000001</v>
      </c>
      <c r="G141">
        <v>1076.9100000000001</v>
      </c>
    </row>
    <row r="142" spans="1:7" x14ac:dyDescent="0.2">
      <c r="A142" s="4" t="s">
        <v>397</v>
      </c>
      <c r="B142" s="4" t="s">
        <v>398</v>
      </c>
      <c r="C142" s="4" t="s">
        <v>146</v>
      </c>
      <c r="D142">
        <v>141</v>
      </c>
      <c r="E142">
        <v>141</v>
      </c>
      <c r="F142">
        <v>1076.26</v>
      </c>
      <c r="G142">
        <v>1076.26</v>
      </c>
    </row>
    <row r="143" spans="1:7" x14ac:dyDescent="0.2">
      <c r="A143" s="4" t="s">
        <v>379</v>
      </c>
      <c r="B143" s="4" t="s">
        <v>380</v>
      </c>
      <c r="C143" s="4" t="s">
        <v>156</v>
      </c>
      <c r="D143">
        <v>142</v>
      </c>
      <c r="E143">
        <v>139</v>
      </c>
      <c r="F143">
        <v>1071.83</v>
      </c>
      <c r="G143">
        <v>1079.18</v>
      </c>
    </row>
    <row r="144" spans="1:7" x14ac:dyDescent="0.2">
      <c r="A144" s="4" t="s">
        <v>444</v>
      </c>
      <c r="B144" s="4" t="s">
        <v>445</v>
      </c>
      <c r="C144" s="4" t="s">
        <v>146</v>
      </c>
      <c r="D144">
        <v>143</v>
      </c>
      <c r="E144">
        <v>144</v>
      </c>
      <c r="F144">
        <v>1070.8900000000001</v>
      </c>
      <c r="G144">
        <v>1070.8900000000001</v>
      </c>
    </row>
    <row r="145" spans="1:7" x14ac:dyDescent="0.2">
      <c r="A145" s="4" t="s">
        <v>411</v>
      </c>
      <c r="B145" s="4" t="s">
        <v>412</v>
      </c>
      <c r="C145" s="4" t="s">
        <v>138</v>
      </c>
      <c r="D145">
        <v>144</v>
      </c>
      <c r="E145">
        <v>142</v>
      </c>
      <c r="F145">
        <v>1069.75</v>
      </c>
      <c r="G145">
        <v>1074.08</v>
      </c>
    </row>
    <row r="146" spans="1:7" x14ac:dyDescent="0.2">
      <c r="A146" s="4" t="s">
        <v>538</v>
      </c>
      <c r="B146" s="4" t="s">
        <v>424</v>
      </c>
      <c r="C146" s="4" t="s">
        <v>163</v>
      </c>
      <c r="D146">
        <v>145</v>
      </c>
      <c r="E146">
        <v>147</v>
      </c>
      <c r="F146">
        <v>1062.3900000000001</v>
      </c>
      <c r="G146">
        <v>1058.3699999999999</v>
      </c>
    </row>
    <row r="147" spans="1:7" x14ac:dyDescent="0.2">
      <c r="A147" s="4" t="s">
        <v>390</v>
      </c>
      <c r="B147" s="4" t="s">
        <v>391</v>
      </c>
      <c r="C147" s="4" t="s">
        <v>163</v>
      </c>
      <c r="D147">
        <v>146</v>
      </c>
      <c r="E147">
        <v>148</v>
      </c>
      <c r="F147">
        <v>1062.32</v>
      </c>
      <c r="G147">
        <v>1057.5899999999999</v>
      </c>
    </row>
    <row r="148" spans="1:7" x14ac:dyDescent="0.2">
      <c r="A148" s="4" t="s">
        <v>407</v>
      </c>
      <c r="B148" s="4" t="s">
        <v>408</v>
      </c>
      <c r="C148" s="4" t="s">
        <v>146</v>
      </c>
      <c r="D148">
        <v>147</v>
      </c>
      <c r="E148">
        <v>145</v>
      </c>
      <c r="F148">
        <v>1061.4000000000001</v>
      </c>
      <c r="G148">
        <v>1061.4000000000001</v>
      </c>
    </row>
    <row r="149" spans="1:7" x14ac:dyDescent="0.2">
      <c r="A149" s="4" t="s">
        <v>409</v>
      </c>
      <c r="B149" s="4" t="s">
        <v>410</v>
      </c>
      <c r="C149" s="4" t="s">
        <v>146</v>
      </c>
      <c r="D149">
        <v>148</v>
      </c>
      <c r="E149">
        <v>146</v>
      </c>
      <c r="F149">
        <v>1056.46</v>
      </c>
      <c r="G149">
        <v>1060.17</v>
      </c>
    </row>
    <row r="150" spans="1:7" x14ac:dyDescent="0.2">
      <c r="A150" s="4" t="s">
        <v>383</v>
      </c>
      <c r="B150" s="4" t="s">
        <v>384</v>
      </c>
      <c r="C150" s="4" t="s">
        <v>163</v>
      </c>
      <c r="D150">
        <v>149</v>
      </c>
      <c r="E150">
        <v>149</v>
      </c>
      <c r="F150">
        <v>1053.4100000000001</v>
      </c>
      <c r="G150">
        <v>1053.4100000000001</v>
      </c>
    </row>
    <row r="151" spans="1:7" x14ac:dyDescent="0.2">
      <c r="A151" s="4" t="s">
        <v>403</v>
      </c>
      <c r="B151" s="4" t="s">
        <v>404</v>
      </c>
      <c r="C151" s="4" t="s">
        <v>146</v>
      </c>
      <c r="D151">
        <v>150</v>
      </c>
      <c r="E151">
        <v>150</v>
      </c>
      <c r="F151">
        <v>1049.6600000000001</v>
      </c>
      <c r="G151">
        <v>1051.25</v>
      </c>
    </row>
    <row r="152" spans="1:7" x14ac:dyDescent="0.2">
      <c r="A152" s="4" t="s">
        <v>458</v>
      </c>
      <c r="B152" s="4" t="s">
        <v>459</v>
      </c>
      <c r="C152" s="4" t="s">
        <v>138</v>
      </c>
      <c r="D152">
        <v>151</v>
      </c>
      <c r="E152">
        <v>152</v>
      </c>
      <c r="F152">
        <v>1035.2</v>
      </c>
      <c r="G152">
        <v>1028.7</v>
      </c>
    </row>
    <row r="153" spans="1:7" x14ac:dyDescent="0.2">
      <c r="A153" s="4" t="s">
        <v>355</v>
      </c>
      <c r="B153" s="4" t="s">
        <v>356</v>
      </c>
      <c r="C153" s="4" t="s">
        <v>163</v>
      </c>
      <c r="D153">
        <v>152</v>
      </c>
      <c r="E153">
        <v>155</v>
      </c>
      <c r="F153">
        <v>1033.9000000000001</v>
      </c>
      <c r="G153">
        <v>1019.19</v>
      </c>
    </row>
    <row r="154" spans="1:7" x14ac:dyDescent="0.2">
      <c r="A154" s="4" t="s">
        <v>401</v>
      </c>
      <c r="B154" s="4" t="s">
        <v>402</v>
      </c>
      <c r="C154" s="4" t="s">
        <v>156</v>
      </c>
      <c r="D154">
        <v>153</v>
      </c>
      <c r="E154">
        <v>151</v>
      </c>
      <c r="F154">
        <v>1031.8599999999999</v>
      </c>
      <c r="G154">
        <v>1031.8599999999999</v>
      </c>
    </row>
    <row r="155" spans="1:7" x14ac:dyDescent="0.2">
      <c r="A155" s="4" t="s">
        <v>460</v>
      </c>
      <c r="B155" s="4" t="s">
        <v>461</v>
      </c>
      <c r="C155" s="4" t="s">
        <v>163</v>
      </c>
      <c r="D155">
        <v>154</v>
      </c>
      <c r="E155">
        <v>156</v>
      </c>
      <c r="F155">
        <v>1026.0899999999999</v>
      </c>
      <c r="G155">
        <v>1018.25</v>
      </c>
    </row>
    <row r="156" spans="1:7" x14ac:dyDescent="0.2">
      <c r="A156" s="4" t="s">
        <v>405</v>
      </c>
      <c r="B156" s="4" t="s">
        <v>406</v>
      </c>
      <c r="C156" s="4" t="s">
        <v>163</v>
      </c>
      <c r="D156">
        <v>155</v>
      </c>
      <c r="E156">
        <v>153</v>
      </c>
      <c r="F156">
        <v>1023.52</v>
      </c>
      <c r="G156">
        <v>1023.52</v>
      </c>
    </row>
    <row r="157" spans="1:7" x14ac:dyDescent="0.2">
      <c r="A157" s="4" t="s">
        <v>452</v>
      </c>
      <c r="B157" s="4" t="s">
        <v>453</v>
      </c>
      <c r="C157" s="4" t="s">
        <v>163</v>
      </c>
      <c r="D157">
        <v>156</v>
      </c>
      <c r="E157">
        <v>154</v>
      </c>
      <c r="F157">
        <v>1023.04</v>
      </c>
      <c r="G157">
        <v>1023.04</v>
      </c>
    </row>
    <row r="158" spans="1:7" x14ac:dyDescent="0.2">
      <c r="A158" s="4" t="s">
        <v>462</v>
      </c>
      <c r="B158" s="4" t="s">
        <v>463</v>
      </c>
      <c r="C158" s="4" t="s">
        <v>163</v>
      </c>
      <c r="D158">
        <v>157</v>
      </c>
      <c r="E158">
        <v>157</v>
      </c>
      <c r="F158">
        <v>1017.78</v>
      </c>
      <c r="G158">
        <v>1017.78</v>
      </c>
    </row>
    <row r="159" spans="1:7" x14ac:dyDescent="0.2">
      <c r="A159" s="4" t="s">
        <v>15</v>
      </c>
      <c r="B159" s="4" t="s">
        <v>431</v>
      </c>
      <c r="C159" s="4" t="s">
        <v>163</v>
      </c>
      <c r="D159">
        <v>158</v>
      </c>
      <c r="E159">
        <v>158</v>
      </c>
      <c r="F159">
        <v>1007.89</v>
      </c>
      <c r="G159">
        <v>1011.91</v>
      </c>
    </row>
    <row r="160" spans="1:7" x14ac:dyDescent="0.2">
      <c r="A160" s="4" t="s">
        <v>450</v>
      </c>
      <c r="B160" s="4" t="s">
        <v>451</v>
      </c>
      <c r="C160" s="4" t="s">
        <v>290</v>
      </c>
      <c r="D160">
        <v>159</v>
      </c>
      <c r="E160">
        <v>161</v>
      </c>
      <c r="F160">
        <v>1007.46</v>
      </c>
      <c r="G160">
        <v>997.6</v>
      </c>
    </row>
    <row r="161" spans="1:7" x14ac:dyDescent="0.2">
      <c r="A161" s="4" t="s">
        <v>413</v>
      </c>
      <c r="B161" s="4" t="s">
        <v>414</v>
      </c>
      <c r="C161" s="4" t="s">
        <v>163</v>
      </c>
      <c r="D161">
        <v>160</v>
      </c>
      <c r="E161">
        <v>159</v>
      </c>
      <c r="F161">
        <v>1003.5</v>
      </c>
      <c r="G161">
        <v>1004.75</v>
      </c>
    </row>
    <row r="162" spans="1:7" x14ac:dyDescent="0.2">
      <c r="A162" s="4" t="s">
        <v>417</v>
      </c>
      <c r="B162" s="4" t="s">
        <v>418</v>
      </c>
      <c r="C162" s="4" t="s">
        <v>290</v>
      </c>
      <c r="D162">
        <v>161</v>
      </c>
      <c r="E162">
        <v>160</v>
      </c>
      <c r="F162">
        <v>995.58</v>
      </c>
      <c r="G162">
        <v>999.7</v>
      </c>
    </row>
    <row r="163" spans="1:7" x14ac:dyDescent="0.2">
      <c r="A163" s="4" t="s">
        <v>429</v>
      </c>
      <c r="B163" s="4" t="s">
        <v>430</v>
      </c>
      <c r="C163" s="4" t="s">
        <v>290</v>
      </c>
      <c r="D163">
        <v>162</v>
      </c>
      <c r="E163">
        <v>162</v>
      </c>
      <c r="F163">
        <v>995.11</v>
      </c>
      <c r="G163">
        <v>995.11</v>
      </c>
    </row>
    <row r="164" spans="1:7" x14ac:dyDescent="0.2">
      <c r="A164" s="4" t="s">
        <v>425</v>
      </c>
      <c r="B164" s="4" t="s">
        <v>426</v>
      </c>
      <c r="C164" s="4" t="s">
        <v>290</v>
      </c>
      <c r="D164">
        <v>163</v>
      </c>
      <c r="E164">
        <v>163</v>
      </c>
      <c r="F164">
        <v>989.43</v>
      </c>
      <c r="G164">
        <v>993.37</v>
      </c>
    </row>
    <row r="165" spans="1:7" x14ac:dyDescent="0.2">
      <c r="A165" s="4" t="s">
        <v>434</v>
      </c>
      <c r="B165" s="4" t="s">
        <v>435</v>
      </c>
      <c r="C165" s="4" t="s">
        <v>290</v>
      </c>
      <c r="D165">
        <v>164</v>
      </c>
      <c r="E165">
        <v>164</v>
      </c>
      <c r="F165">
        <v>985.62</v>
      </c>
      <c r="G165">
        <v>990.55</v>
      </c>
    </row>
    <row r="166" spans="1:7" x14ac:dyDescent="0.2">
      <c r="A166" s="4" t="s">
        <v>454</v>
      </c>
      <c r="B166" s="4" t="s">
        <v>455</v>
      </c>
      <c r="C166" s="4" t="s">
        <v>146</v>
      </c>
      <c r="D166">
        <v>165</v>
      </c>
      <c r="E166">
        <v>165</v>
      </c>
      <c r="F166">
        <v>983.99</v>
      </c>
      <c r="G166">
        <v>983.99</v>
      </c>
    </row>
    <row r="167" spans="1:7" x14ac:dyDescent="0.2">
      <c r="A167" s="4" t="s">
        <v>471</v>
      </c>
      <c r="B167" s="4" t="s">
        <v>472</v>
      </c>
      <c r="C167" s="4" t="s">
        <v>156</v>
      </c>
      <c r="D167">
        <v>166</v>
      </c>
      <c r="E167">
        <v>166</v>
      </c>
      <c r="F167">
        <v>982.27</v>
      </c>
      <c r="G167">
        <v>982.27</v>
      </c>
    </row>
    <row r="168" spans="1:7" x14ac:dyDescent="0.2">
      <c r="A168" s="4" t="s">
        <v>442</v>
      </c>
      <c r="B168" s="4" t="s">
        <v>443</v>
      </c>
      <c r="C168" s="4" t="s">
        <v>156</v>
      </c>
      <c r="D168">
        <v>167</v>
      </c>
      <c r="E168">
        <v>167</v>
      </c>
      <c r="F168">
        <v>978.65</v>
      </c>
      <c r="G168">
        <v>978.65</v>
      </c>
    </row>
    <row r="169" spans="1:7" x14ac:dyDescent="0.2">
      <c r="A169" s="4" t="s">
        <v>436</v>
      </c>
      <c r="B169" s="4" t="s">
        <v>437</v>
      </c>
      <c r="C169" s="4" t="s">
        <v>138</v>
      </c>
      <c r="D169">
        <v>168</v>
      </c>
      <c r="E169">
        <v>169</v>
      </c>
      <c r="F169">
        <v>977.92</v>
      </c>
      <c r="G169">
        <v>974.68</v>
      </c>
    </row>
    <row r="170" spans="1:7" x14ac:dyDescent="0.2">
      <c r="A170" s="4" t="s">
        <v>448</v>
      </c>
      <c r="B170" s="4" t="s">
        <v>449</v>
      </c>
      <c r="C170" s="4" t="s">
        <v>156</v>
      </c>
      <c r="D170">
        <v>169</v>
      </c>
      <c r="E170">
        <v>168</v>
      </c>
      <c r="F170">
        <v>977.47</v>
      </c>
      <c r="G170">
        <v>977.47</v>
      </c>
    </row>
    <row r="171" spans="1:7" x14ac:dyDescent="0.2">
      <c r="A171" s="4" t="s">
        <v>427</v>
      </c>
      <c r="B171" s="4" t="s">
        <v>428</v>
      </c>
      <c r="C171" s="4" t="s">
        <v>156</v>
      </c>
      <c r="D171">
        <v>170</v>
      </c>
      <c r="E171">
        <v>170</v>
      </c>
      <c r="F171">
        <v>974.32</v>
      </c>
      <c r="G171">
        <v>974.32</v>
      </c>
    </row>
    <row r="172" spans="1:7" x14ac:dyDescent="0.2">
      <c r="A172" s="4" t="s">
        <v>415</v>
      </c>
      <c r="B172" s="4" t="s">
        <v>416</v>
      </c>
      <c r="C172" s="4" t="s">
        <v>156</v>
      </c>
      <c r="D172">
        <v>171</v>
      </c>
      <c r="E172">
        <v>172</v>
      </c>
      <c r="F172">
        <v>968.74</v>
      </c>
      <c r="G172">
        <v>968.74</v>
      </c>
    </row>
    <row r="173" spans="1:7" x14ac:dyDescent="0.2">
      <c r="A173" s="4" t="s">
        <v>446</v>
      </c>
      <c r="B173" s="4" t="s">
        <v>447</v>
      </c>
      <c r="C173" s="4" t="s">
        <v>156</v>
      </c>
      <c r="D173">
        <v>172</v>
      </c>
      <c r="E173">
        <v>173</v>
      </c>
      <c r="F173">
        <v>965.66</v>
      </c>
      <c r="G173">
        <v>965.66</v>
      </c>
    </row>
    <row r="174" spans="1:7" x14ac:dyDescent="0.2">
      <c r="A174" s="4" t="s">
        <v>440</v>
      </c>
      <c r="B174" s="4" t="s">
        <v>441</v>
      </c>
      <c r="C174" s="4" t="s">
        <v>156</v>
      </c>
      <c r="D174">
        <v>173</v>
      </c>
      <c r="E174">
        <v>171</v>
      </c>
      <c r="F174">
        <v>963.72</v>
      </c>
      <c r="G174">
        <v>969</v>
      </c>
    </row>
    <row r="175" spans="1:7" x14ac:dyDescent="0.2">
      <c r="A175" s="4" t="s">
        <v>432</v>
      </c>
      <c r="B175" s="4" t="s">
        <v>433</v>
      </c>
      <c r="C175" s="4" t="s">
        <v>138</v>
      </c>
      <c r="D175">
        <v>174</v>
      </c>
      <c r="E175">
        <v>177</v>
      </c>
      <c r="F175">
        <v>961.23</v>
      </c>
      <c r="G175">
        <v>944.96</v>
      </c>
    </row>
    <row r="176" spans="1:7" x14ac:dyDescent="0.2">
      <c r="A176" s="4" t="s">
        <v>18</v>
      </c>
      <c r="B176" s="4" t="s">
        <v>468</v>
      </c>
      <c r="C176" s="4" t="s">
        <v>163</v>
      </c>
      <c r="D176">
        <v>175</v>
      </c>
      <c r="E176">
        <v>176</v>
      </c>
      <c r="F176">
        <v>954.86</v>
      </c>
      <c r="G176">
        <v>950.45</v>
      </c>
    </row>
    <row r="177" spans="1:7" x14ac:dyDescent="0.2">
      <c r="A177" s="4" t="s">
        <v>473</v>
      </c>
      <c r="B177" s="4" t="s">
        <v>474</v>
      </c>
      <c r="C177" s="4" t="s">
        <v>156</v>
      </c>
      <c r="D177">
        <v>176</v>
      </c>
      <c r="E177">
        <v>175</v>
      </c>
      <c r="F177">
        <v>950.88</v>
      </c>
      <c r="G177">
        <v>950.88</v>
      </c>
    </row>
    <row r="178" spans="1:7" x14ac:dyDescent="0.2">
      <c r="A178" s="4" t="s">
        <v>466</v>
      </c>
      <c r="B178" s="4" t="s">
        <v>467</v>
      </c>
      <c r="C178" s="4" t="s">
        <v>163</v>
      </c>
      <c r="D178">
        <v>177</v>
      </c>
      <c r="E178">
        <v>174</v>
      </c>
      <c r="F178">
        <v>948.62</v>
      </c>
      <c r="G178">
        <v>954.3</v>
      </c>
    </row>
    <row r="179" spans="1:7" x14ac:dyDescent="0.2">
      <c r="A179" s="4" t="s">
        <v>456</v>
      </c>
      <c r="B179" s="4" t="s">
        <v>457</v>
      </c>
      <c r="C179" s="4" t="s">
        <v>156</v>
      </c>
      <c r="D179">
        <v>178</v>
      </c>
      <c r="E179">
        <v>179</v>
      </c>
      <c r="F179">
        <v>945.25</v>
      </c>
      <c r="G179">
        <v>939.97</v>
      </c>
    </row>
    <row r="180" spans="1:7" x14ac:dyDescent="0.2">
      <c r="A180" s="4" t="s">
        <v>464</v>
      </c>
      <c r="B180" s="4" t="s">
        <v>465</v>
      </c>
      <c r="C180" s="4" t="s">
        <v>156</v>
      </c>
      <c r="D180">
        <v>179</v>
      </c>
      <c r="E180">
        <v>178</v>
      </c>
      <c r="F180">
        <v>940.78</v>
      </c>
      <c r="G180">
        <v>940.78</v>
      </c>
    </row>
    <row r="181" spans="1:7" x14ac:dyDescent="0.2">
      <c r="A181" s="4" t="s">
        <v>469</v>
      </c>
      <c r="B181" s="4" t="s">
        <v>470</v>
      </c>
      <c r="C181" s="4" t="s">
        <v>146</v>
      </c>
      <c r="D181">
        <v>180</v>
      </c>
      <c r="E181">
        <v>180</v>
      </c>
      <c r="F181">
        <v>932.02</v>
      </c>
      <c r="G181">
        <v>932.02</v>
      </c>
    </row>
    <row r="182" spans="1:7" x14ac:dyDescent="0.2">
      <c r="A182" s="4" t="s">
        <v>478</v>
      </c>
      <c r="B182" s="4" t="s">
        <v>479</v>
      </c>
      <c r="C182" s="4" t="s">
        <v>146</v>
      </c>
      <c r="D182">
        <v>181</v>
      </c>
      <c r="E182">
        <v>181</v>
      </c>
      <c r="F182">
        <v>930.22</v>
      </c>
      <c r="G182">
        <v>931.98</v>
      </c>
    </row>
    <row r="183" spans="1:7" x14ac:dyDescent="0.2">
      <c r="A183" s="4" t="s">
        <v>500</v>
      </c>
      <c r="B183" s="4" t="s">
        <v>501</v>
      </c>
      <c r="C183" s="4" t="s">
        <v>163</v>
      </c>
      <c r="D183">
        <v>182</v>
      </c>
      <c r="E183">
        <v>182</v>
      </c>
      <c r="F183">
        <v>922.1</v>
      </c>
      <c r="G183">
        <v>922.1</v>
      </c>
    </row>
    <row r="184" spans="1:7" x14ac:dyDescent="0.2">
      <c r="A184" s="4" t="s">
        <v>492</v>
      </c>
      <c r="B184" s="4" t="s">
        <v>493</v>
      </c>
      <c r="C184" s="4" t="s">
        <v>163</v>
      </c>
      <c r="D184">
        <v>183</v>
      </c>
      <c r="E184">
        <v>184</v>
      </c>
      <c r="F184">
        <v>913.55</v>
      </c>
      <c r="G184">
        <v>913.55</v>
      </c>
    </row>
    <row r="185" spans="1:7" x14ac:dyDescent="0.2">
      <c r="A185" s="4" t="s">
        <v>476</v>
      </c>
      <c r="B185" s="4" t="s">
        <v>477</v>
      </c>
      <c r="C185" s="4" t="s">
        <v>156</v>
      </c>
      <c r="D185">
        <v>184</v>
      </c>
      <c r="E185">
        <v>185</v>
      </c>
      <c r="F185">
        <v>911.51</v>
      </c>
      <c r="G185">
        <v>911.51</v>
      </c>
    </row>
    <row r="186" spans="1:7" x14ac:dyDescent="0.2">
      <c r="A186" s="4" t="s">
        <v>488</v>
      </c>
      <c r="B186" s="4" t="s">
        <v>489</v>
      </c>
      <c r="C186" s="4" t="s">
        <v>163</v>
      </c>
      <c r="D186">
        <v>185</v>
      </c>
      <c r="E186">
        <v>186</v>
      </c>
      <c r="F186">
        <v>910.96</v>
      </c>
      <c r="G186">
        <v>910.96</v>
      </c>
    </row>
    <row r="187" spans="1:7" x14ac:dyDescent="0.2">
      <c r="A187" s="4" t="s">
        <v>502</v>
      </c>
      <c r="B187" s="4" t="s">
        <v>503</v>
      </c>
      <c r="C187" s="4" t="s">
        <v>146</v>
      </c>
      <c r="D187">
        <v>186</v>
      </c>
      <c r="E187">
        <v>187</v>
      </c>
      <c r="F187">
        <v>908.18</v>
      </c>
      <c r="G187">
        <v>908.18</v>
      </c>
    </row>
    <row r="188" spans="1:7" x14ac:dyDescent="0.2">
      <c r="A188" s="4" t="s">
        <v>482</v>
      </c>
      <c r="B188" s="4" t="s">
        <v>483</v>
      </c>
      <c r="C188" s="4" t="s">
        <v>163</v>
      </c>
      <c r="D188">
        <v>187</v>
      </c>
      <c r="E188">
        <v>183</v>
      </c>
      <c r="F188">
        <v>905.51</v>
      </c>
      <c r="G188">
        <v>914.66</v>
      </c>
    </row>
    <row r="189" spans="1:7" x14ac:dyDescent="0.2">
      <c r="A189" s="4" t="s">
        <v>496</v>
      </c>
      <c r="B189" s="4" t="s">
        <v>497</v>
      </c>
      <c r="C189" s="4" t="s">
        <v>290</v>
      </c>
      <c r="D189">
        <v>188</v>
      </c>
      <c r="E189">
        <v>188</v>
      </c>
      <c r="F189">
        <v>900.27</v>
      </c>
      <c r="G189">
        <v>900.27</v>
      </c>
    </row>
    <row r="190" spans="1:7" x14ac:dyDescent="0.2">
      <c r="A190" s="4" t="s">
        <v>484</v>
      </c>
      <c r="B190" s="4" t="s">
        <v>485</v>
      </c>
      <c r="C190" s="4" t="s">
        <v>290</v>
      </c>
      <c r="D190">
        <v>189</v>
      </c>
      <c r="E190">
        <v>189</v>
      </c>
      <c r="F190">
        <v>899.33</v>
      </c>
      <c r="G190">
        <v>899.33</v>
      </c>
    </row>
    <row r="191" spans="1:7" x14ac:dyDescent="0.2">
      <c r="A191" s="4" t="s">
        <v>498</v>
      </c>
      <c r="B191" s="4" t="s">
        <v>499</v>
      </c>
      <c r="C191" s="4" t="s">
        <v>163</v>
      </c>
      <c r="D191">
        <v>190</v>
      </c>
      <c r="E191">
        <v>190</v>
      </c>
      <c r="F191">
        <v>898.41</v>
      </c>
      <c r="G191">
        <v>897.1</v>
      </c>
    </row>
    <row r="192" spans="1:7" x14ac:dyDescent="0.2">
      <c r="A192" s="4" t="s">
        <v>486</v>
      </c>
      <c r="B192" s="4" t="s">
        <v>487</v>
      </c>
      <c r="C192" s="4" t="s">
        <v>290</v>
      </c>
      <c r="D192">
        <v>191</v>
      </c>
      <c r="E192">
        <v>191</v>
      </c>
      <c r="F192">
        <v>894.26</v>
      </c>
      <c r="G192">
        <v>894.26</v>
      </c>
    </row>
    <row r="193" spans="1:7" x14ac:dyDescent="0.2">
      <c r="A193" s="4" t="s">
        <v>42</v>
      </c>
      <c r="B193" s="4" t="s">
        <v>475</v>
      </c>
      <c r="C193" s="4" t="s">
        <v>163</v>
      </c>
      <c r="D193">
        <v>192</v>
      </c>
      <c r="E193">
        <v>192</v>
      </c>
      <c r="F193">
        <v>884.45</v>
      </c>
      <c r="G193">
        <v>883.18</v>
      </c>
    </row>
    <row r="194" spans="1:7" x14ac:dyDescent="0.2">
      <c r="A194" s="4" t="s">
        <v>504</v>
      </c>
      <c r="B194" s="4" t="s">
        <v>505</v>
      </c>
      <c r="C194" s="4" t="s">
        <v>146</v>
      </c>
      <c r="D194">
        <v>193</v>
      </c>
      <c r="E194">
        <v>193</v>
      </c>
      <c r="F194">
        <v>875.05</v>
      </c>
      <c r="G194">
        <v>877.84</v>
      </c>
    </row>
    <row r="195" spans="1:7" x14ac:dyDescent="0.2">
      <c r="A195" s="4" t="s">
        <v>510</v>
      </c>
      <c r="B195" s="4" t="s">
        <v>511</v>
      </c>
      <c r="C195" s="4" t="s">
        <v>163</v>
      </c>
      <c r="D195">
        <v>194</v>
      </c>
      <c r="E195">
        <v>195</v>
      </c>
      <c r="F195">
        <v>866.81</v>
      </c>
      <c r="G195">
        <v>866.81</v>
      </c>
    </row>
    <row r="196" spans="1:7" x14ac:dyDescent="0.2">
      <c r="A196" s="4" t="s">
        <v>506</v>
      </c>
      <c r="B196" s="4" t="s">
        <v>507</v>
      </c>
      <c r="C196" s="4" t="s">
        <v>156</v>
      </c>
      <c r="D196">
        <v>195</v>
      </c>
      <c r="E196">
        <v>196</v>
      </c>
      <c r="F196">
        <v>865.72</v>
      </c>
      <c r="G196">
        <v>865.72</v>
      </c>
    </row>
    <row r="197" spans="1:7" x14ac:dyDescent="0.2">
      <c r="A197" s="4" t="s">
        <v>524</v>
      </c>
      <c r="B197" s="4" t="s">
        <v>525</v>
      </c>
      <c r="C197" s="4" t="s">
        <v>138</v>
      </c>
      <c r="D197">
        <v>196</v>
      </c>
      <c r="E197">
        <v>194</v>
      </c>
      <c r="F197">
        <v>862.39</v>
      </c>
      <c r="G197">
        <v>873.99</v>
      </c>
    </row>
    <row r="198" spans="1:7" x14ac:dyDescent="0.2">
      <c r="A198" s="4" t="s">
        <v>512</v>
      </c>
      <c r="B198" s="4" t="s">
        <v>513</v>
      </c>
      <c r="C198" s="4" t="s">
        <v>290</v>
      </c>
      <c r="D198">
        <v>197</v>
      </c>
      <c r="E198">
        <v>197</v>
      </c>
      <c r="F198">
        <v>861.81</v>
      </c>
      <c r="G198">
        <v>861.81</v>
      </c>
    </row>
    <row r="199" spans="1:7" x14ac:dyDescent="0.2">
      <c r="A199" s="4" t="s">
        <v>514</v>
      </c>
      <c r="B199" s="4" t="s">
        <v>515</v>
      </c>
      <c r="C199" s="4" t="s">
        <v>163</v>
      </c>
      <c r="D199">
        <v>198</v>
      </c>
      <c r="E199">
        <v>199</v>
      </c>
      <c r="F199">
        <v>860.06</v>
      </c>
      <c r="G199">
        <v>860.06</v>
      </c>
    </row>
    <row r="200" spans="1:7" x14ac:dyDescent="0.2">
      <c r="A200" s="4" t="s">
        <v>520</v>
      </c>
      <c r="B200" s="4" t="s">
        <v>521</v>
      </c>
      <c r="C200" s="4" t="s">
        <v>146</v>
      </c>
      <c r="D200">
        <v>199</v>
      </c>
      <c r="E200">
        <v>198</v>
      </c>
      <c r="F200">
        <v>859.56</v>
      </c>
      <c r="G200">
        <v>860.48</v>
      </c>
    </row>
    <row r="201" spans="1:7" x14ac:dyDescent="0.2">
      <c r="A201" s="4" t="s">
        <v>480</v>
      </c>
      <c r="B201" s="4" t="s">
        <v>481</v>
      </c>
      <c r="C201" s="4" t="s">
        <v>146</v>
      </c>
      <c r="D201">
        <v>200</v>
      </c>
      <c r="E201">
        <v>201</v>
      </c>
      <c r="F201">
        <v>855.56</v>
      </c>
      <c r="G201">
        <v>855.56</v>
      </c>
    </row>
    <row r="202" spans="1:7" x14ac:dyDescent="0.2">
      <c r="A202" s="4" t="s">
        <v>490</v>
      </c>
      <c r="B202" s="4" t="s">
        <v>491</v>
      </c>
      <c r="C202" s="4" t="s">
        <v>156</v>
      </c>
      <c r="D202">
        <v>201</v>
      </c>
      <c r="E202">
        <v>202</v>
      </c>
      <c r="F202">
        <v>855.37</v>
      </c>
      <c r="G202">
        <v>855.37</v>
      </c>
    </row>
    <row r="203" spans="1:7" x14ac:dyDescent="0.2">
      <c r="A203" s="4" t="s">
        <v>526</v>
      </c>
      <c r="B203" s="4" t="s">
        <v>527</v>
      </c>
      <c r="C203" s="4" t="s">
        <v>156</v>
      </c>
      <c r="D203">
        <v>202</v>
      </c>
      <c r="E203">
        <v>203</v>
      </c>
      <c r="F203">
        <v>854.8</v>
      </c>
      <c r="G203">
        <v>854.8</v>
      </c>
    </row>
    <row r="204" spans="1:7" x14ac:dyDescent="0.2">
      <c r="A204" s="4" t="s">
        <v>508</v>
      </c>
      <c r="B204" s="4" t="s">
        <v>509</v>
      </c>
      <c r="C204" s="4" t="s">
        <v>146</v>
      </c>
      <c r="D204">
        <v>203</v>
      </c>
      <c r="E204">
        <v>204</v>
      </c>
      <c r="F204">
        <v>854.72</v>
      </c>
      <c r="G204">
        <v>854.72</v>
      </c>
    </row>
    <row r="205" spans="1:7" x14ac:dyDescent="0.2">
      <c r="A205" s="4" t="s">
        <v>516</v>
      </c>
      <c r="B205" s="4" t="s">
        <v>517</v>
      </c>
      <c r="C205" s="4" t="s">
        <v>138</v>
      </c>
      <c r="D205">
        <v>204</v>
      </c>
      <c r="E205">
        <v>200</v>
      </c>
      <c r="F205">
        <v>852.16</v>
      </c>
      <c r="G205">
        <v>856.55</v>
      </c>
    </row>
    <row r="206" spans="1:7" x14ac:dyDescent="0.2">
      <c r="A206" s="4" t="s">
        <v>518</v>
      </c>
      <c r="B206" s="4" t="s">
        <v>519</v>
      </c>
      <c r="C206" s="4" t="s">
        <v>163</v>
      </c>
      <c r="D206">
        <v>205</v>
      </c>
      <c r="E206">
        <v>205</v>
      </c>
      <c r="F206">
        <v>838.33</v>
      </c>
      <c r="G206">
        <v>838.33</v>
      </c>
    </row>
    <row r="207" spans="1:7" x14ac:dyDescent="0.2">
      <c r="A207" s="4" t="s">
        <v>522</v>
      </c>
      <c r="B207" s="4" t="s">
        <v>523</v>
      </c>
      <c r="C207" s="4" t="s">
        <v>156</v>
      </c>
      <c r="D207">
        <v>206</v>
      </c>
      <c r="E207">
        <v>206</v>
      </c>
      <c r="F207">
        <v>832</v>
      </c>
      <c r="G207">
        <v>832</v>
      </c>
    </row>
    <row r="208" spans="1:7" x14ac:dyDescent="0.2">
      <c r="A208" s="4" t="s">
        <v>494</v>
      </c>
      <c r="B208" s="4" t="s">
        <v>495</v>
      </c>
      <c r="C208" s="4" t="s">
        <v>163</v>
      </c>
      <c r="D208">
        <v>207</v>
      </c>
      <c r="E208">
        <v>207</v>
      </c>
      <c r="F208">
        <v>825.25</v>
      </c>
      <c r="G208">
        <v>825.25</v>
      </c>
    </row>
    <row r="209" spans="1:7" x14ac:dyDescent="0.2">
      <c r="A209" s="4" t="s">
        <v>528</v>
      </c>
      <c r="B209" s="4" t="s">
        <v>529</v>
      </c>
      <c r="C209" s="4" t="s">
        <v>156</v>
      </c>
      <c r="D209">
        <v>208</v>
      </c>
      <c r="E209">
        <v>208</v>
      </c>
      <c r="F209">
        <v>823.97</v>
      </c>
      <c r="G209">
        <v>823.97</v>
      </c>
    </row>
    <row r="210" spans="1:7" x14ac:dyDescent="0.2">
      <c r="A210" s="4" t="s">
        <v>530</v>
      </c>
      <c r="B210" s="4" t="s">
        <v>531</v>
      </c>
      <c r="C210" s="4" t="s">
        <v>156</v>
      </c>
      <c r="D210">
        <v>209</v>
      </c>
      <c r="E210">
        <v>209</v>
      </c>
      <c r="F210">
        <v>809.32</v>
      </c>
      <c r="G210">
        <v>809.32</v>
      </c>
    </row>
    <row r="211" spans="1:7" x14ac:dyDescent="0.2">
      <c r="A211" s="4" t="s">
        <v>532</v>
      </c>
      <c r="B211" s="4" t="s">
        <v>533</v>
      </c>
      <c r="C211" s="4" t="s">
        <v>156</v>
      </c>
      <c r="D211">
        <v>210</v>
      </c>
      <c r="E211">
        <v>210</v>
      </c>
      <c r="F211">
        <v>790.74</v>
      </c>
      <c r="G211">
        <v>790.74</v>
      </c>
    </row>
    <row r="212" spans="1:7" x14ac:dyDescent="0.2">
      <c r="A212" s="4" t="s">
        <v>534</v>
      </c>
      <c r="B212" s="4" t="s">
        <v>535</v>
      </c>
      <c r="C212" s="4" t="s">
        <v>138</v>
      </c>
      <c r="D212">
        <v>211</v>
      </c>
      <c r="E212">
        <v>211</v>
      </c>
      <c r="F212">
        <v>762.22</v>
      </c>
      <c r="G212">
        <v>763.82</v>
      </c>
    </row>
  </sheetData>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EB01D-0931-DA43-A23D-18704A6F6CDF}">
  <dimension ref="B3:D7"/>
  <sheetViews>
    <sheetView zoomScale="246" workbookViewId="0">
      <selection activeCell="C5" sqref="C5"/>
    </sheetView>
  </sheetViews>
  <sheetFormatPr baseColWidth="10" defaultRowHeight="16" x14ac:dyDescent="0.2"/>
  <cols>
    <col min="2" max="2" width="15.1640625" customWidth="1"/>
    <col min="3" max="3" width="12.6640625" customWidth="1"/>
    <col min="4" max="4" width="13.33203125" customWidth="1"/>
  </cols>
  <sheetData>
    <row r="3" spans="2:4" x14ac:dyDescent="0.2">
      <c r="C3" s="6">
        <v>2026</v>
      </c>
      <c r="D3" s="6">
        <v>2022</v>
      </c>
    </row>
    <row r="4" spans="2:4" x14ac:dyDescent="0.2">
      <c r="B4" s="6" t="s">
        <v>542</v>
      </c>
      <c r="C4" s="7">
        <f>AVERAGE(fifa_ranking_2026_06_08[points])</f>
        <v>1229.9802168293838</v>
      </c>
      <c r="D4" s="7">
        <f>AVERAGE(fifa_ranking_2022_10_06[points])</f>
        <v>1220.6873459715639</v>
      </c>
    </row>
    <row r="5" spans="2:4" x14ac:dyDescent="0.2">
      <c r="B5" s="6" t="s">
        <v>541</v>
      </c>
      <c r="C5" s="7">
        <f>MIN(fifa_ranking_2026_06_08[points])</f>
        <v>722.93372799999997</v>
      </c>
      <c r="D5" s="7">
        <f>MIN(fifa_ranking_2022_10_06[points])</f>
        <v>762.22</v>
      </c>
    </row>
    <row r="6" spans="2:4" x14ac:dyDescent="0.2">
      <c r="B6" s="6" t="s">
        <v>539</v>
      </c>
      <c r="C6" s="7">
        <f>MAX(fifa_ranking_2026_06_08[points])</f>
        <v>1876.1183309999999</v>
      </c>
      <c r="D6" s="7">
        <f>MAX(fifa_ranking_2022_10_06[points])</f>
        <v>1841.3</v>
      </c>
    </row>
    <row r="7" spans="2:4" x14ac:dyDescent="0.2">
      <c r="B7" s="6" t="s">
        <v>540</v>
      </c>
      <c r="C7" s="8">
        <f>MEDIAN(fifa_ranking_2026_06_08[points])</f>
        <v>1191.655395</v>
      </c>
      <c r="D7" s="8">
        <f>MEDIAN(fifa_ranking_2022_10_06[points])</f>
        <v>1192.0899999999999</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C337B-BDC7-D248-B8CC-3C6FCAE6099F}">
  <dimension ref="A3:N118"/>
  <sheetViews>
    <sheetView topLeftCell="I78" zoomScale="125" workbookViewId="0">
      <selection activeCell="N89" sqref="N89"/>
    </sheetView>
  </sheetViews>
  <sheetFormatPr baseColWidth="10" defaultRowHeight="16" x14ac:dyDescent="0.2"/>
  <cols>
    <col min="1" max="1" width="13" bestFit="1" customWidth="1"/>
    <col min="2" max="2" width="16.5" bestFit="1" customWidth="1"/>
    <col min="3" max="3" width="20" bestFit="1" customWidth="1"/>
    <col min="4" max="4" width="16.5" bestFit="1" customWidth="1"/>
    <col min="7" max="7" width="17.5" bestFit="1" customWidth="1"/>
    <col min="8" max="8" width="20.5" bestFit="1" customWidth="1"/>
    <col min="9" max="9" width="20" bestFit="1" customWidth="1"/>
    <col min="10" max="10" width="16.5" bestFit="1" customWidth="1"/>
    <col min="13" max="13" width="13" bestFit="1" customWidth="1"/>
    <col min="14" max="14" width="23" bestFit="1" customWidth="1"/>
    <col min="15" max="15" width="16.5" bestFit="1" customWidth="1"/>
  </cols>
  <sheetData>
    <row r="3" spans="1:10" x14ac:dyDescent="0.2">
      <c r="A3" s="13" t="s">
        <v>8536</v>
      </c>
      <c r="B3" t="s">
        <v>8539</v>
      </c>
      <c r="C3" t="s">
        <v>8538</v>
      </c>
      <c r="D3" t="s">
        <v>8540</v>
      </c>
      <c r="G3" s="13" t="s">
        <v>8536</v>
      </c>
      <c r="H3" t="s">
        <v>8539</v>
      </c>
      <c r="I3" t="s">
        <v>8538</v>
      </c>
      <c r="J3" t="s">
        <v>8540</v>
      </c>
    </row>
    <row r="4" spans="1:10" x14ac:dyDescent="0.2">
      <c r="A4" s="14" t="s">
        <v>593</v>
      </c>
      <c r="B4" s="15">
        <v>2.3333333333333335</v>
      </c>
      <c r="C4" s="15">
        <v>1.4761904761904763</v>
      </c>
      <c r="D4" s="15">
        <v>80</v>
      </c>
      <c r="G4" s="14" t="s">
        <v>593</v>
      </c>
      <c r="H4" s="15">
        <v>2.3333333333333335</v>
      </c>
      <c r="I4" s="15">
        <v>1.4761904761904763</v>
      </c>
      <c r="J4" s="15">
        <v>80</v>
      </c>
    </row>
    <row r="5" spans="1:10" x14ac:dyDescent="0.2">
      <c r="A5" s="14" t="s">
        <v>8024</v>
      </c>
      <c r="B5" s="15">
        <v>3.8333333333333335</v>
      </c>
      <c r="C5" s="15">
        <v>1.3333333333333333</v>
      </c>
      <c r="D5" s="15">
        <v>31</v>
      </c>
      <c r="G5" s="14" t="s">
        <v>8024</v>
      </c>
      <c r="H5" s="15">
        <v>3.8333333333333335</v>
      </c>
      <c r="I5" s="15">
        <v>1.3333333333333333</v>
      </c>
      <c r="J5" s="15">
        <v>31</v>
      </c>
    </row>
    <row r="6" spans="1:10" x14ac:dyDescent="0.2">
      <c r="A6" s="14" t="s">
        <v>6062</v>
      </c>
      <c r="B6" s="15">
        <v>1.9722222222222223</v>
      </c>
      <c r="C6" s="15">
        <v>0.80555555555555558</v>
      </c>
      <c r="D6" s="15">
        <v>100</v>
      </c>
      <c r="G6" s="14" t="s">
        <v>6062</v>
      </c>
      <c r="H6" s="15">
        <v>1.9722222222222223</v>
      </c>
      <c r="I6" s="15">
        <v>0.80555555555555558</v>
      </c>
      <c r="J6" s="15">
        <v>100</v>
      </c>
    </row>
    <row r="7" spans="1:10" x14ac:dyDescent="0.2">
      <c r="A7" s="14" t="s">
        <v>6491</v>
      </c>
      <c r="B7" s="15">
        <v>1.6458333333333333</v>
      </c>
      <c r="C7" s="15">
        <v>0.91666666666666663</v>
      </c>
      <c r="D7" s="15">
        <v>123</v>
      </c>
      <c r="G7" s="14" t="s">
        <v>6491</v>
      </c>
      <c r="H7" s="15">
        <v>1.6458333333333333</v>
      </c>
      <c r="I7" s="15">
        <v>0.91666666666666663</v>
      </c>
      <c r="J7" s="15">
        <v>123</v>
      </c>
    </row>
    <row r="8" spans="1:10" x14ac:dyDescent="0.2">
      <c r="A8" s="14" t="s">
        <v>811</v>
      </c>
      <c r="B8" s="15">
        <v>1.6422487223168654</v>
      </c>
      <c r="C8" s="15">
        <v>1.0221465076660987</v>
      </c>
      <c r="D8" s="15">
        <v>1564</v>
      </c>
      <c r="G8" s="14" t="s">
        <v>811</v>
      </c>
      <c r="H8" s="15">
        <v>1.6422487223168654</v>
      </c>
      <c r="I8" s="15">
        <v>1.0221465076660987</v>
      </c>
      <c r="J8" s="15">
        <v>1564</v>
      </c>
    </row>
    <row r="9" spans="1:10" x14ac:dyDescent="0.2">
      <c r="A9" s="14" t="s">
        <v>7695</v>
      </c>
      <c r="B9" s="15">
        <v>3.2</v>
      </c>
      <c r="C9" s="15">
        <v>1</v>
      </c>
      <c r="D9" s="15">
        <v>21</v>
      </c>
      <c r="G9" s="14" t="s">
        <v>7695</v>
      </c>
      <c r="H9" s="15">
        <v>3.2</v>
      </c>
      <c r="I9" s="15">
        <v>1</v>
      </c>
      <c r="J9" s="15">
        <v>21</v>
      </c>
    </row>
    <row r="10" spans="1:10" x14ac:dyDescent="0.2">
      <c r="A10" s="14" t="s">
        <v>651</v>
      </c>
      <c r="B10" s="15">
        <v>1.7285714285714286</v>
      </c>
      <c r="C10" s="15">
        <v>1.0714285714285714</v>
      </c>
      <c r="D10" s="15">
        <v>196</v>
      </c>
      <c r="G10" s="14" t="s">
        <v>651</v>
      </c>
      <c r="H10" s="15">
        <v>1.7285714285714286</v>
      </c>
      <c r="I10" s="15">
        <v>1.0714285714285714</v>
      </c>
      <c r="J10" s="15">
        <v>196</v>
      </c>
    </row>
    <row r="11" spans="1:10" x14ac:dyDescent="0.2">
      <c r="A11" s="14" t="s">
        <v>714</v>
      </c>
      <c r="B11" s="15">
        <v>2.0412371134020617</v>
      </c>
      <c r="C11" s="15">
        <v>1.0824742268041236</v>
      </c>
      <c r="D11" s="15">
        <v>303</v>
      </c>
      <c r="G11" s="14" t="s">
        <v>714</v>
      </c>
      <c r="H11" s="15">
        <v>2.0412371134020617</v>
      </c>
      <c r="I11" s="15">
        <v>1.0824742268041236</v>
      </c>
      <c r="J11" s="15">
        <v>303</v>
      </c>
    </row>
    <row r="12" spans="1:10" x14ac:dyDescent="0.2">
      <c r="A12" s="14" t="s">
        <v>5953</v>
      </c>
      <c r="B12" s="15">
        <v>1.4166666666666667</v>
      </c>
      <c r="C12" s="15">
        <v>1</v>
      </c>
      <c r="D12" s="15">
        <v>29</v>
      </c>
      <c r="G12" s="14" t="s">
        <v>5953</v>
      </c>
      <c r="H12" s="15">
        <v>1.4166666666666667</v>
      </c>
      <c r="I12" s="15">
        <v>1</v>
      </c>
      <c r="J12" s="15">
        <v>29</v>
      </c>
    </row>
    <row r="13" spans="1:10" x14ac:dyDescent="0.2">
      <c r="A13" s="14" t="s">
        <v>6387</v>
      </c>
      <c r="B13" s="15">
        <v>1.875</v>
      </c>
      <c r="C13" s="15">
        <v>0.83333333333333337</v>
      </c>
      <c r="D13" s="15">
        <v>65</v>
      </c>
      <c r="G13" s="14" t="s">
        <v>6387</v>
      </c>
      <c r="H13" s="15">
        <v>1.875</v>
      </c>
      <c r="I13" s="15">
        <v>0.83333333333333337</v>
      </c>
      <c r="J13" s="15">
        <v>65</v>
      </c>
    </row>
    <row r="14" spans="1:10" x14ac:dyDescent="0.2">
      <c r="A14" s="14" t="s">
        <v>629</v>
      </c>
      <c r="B14" s="15">
        <v>2.1842105263157894</v>
      </c>
      <c r="C14" s="15">
        <v>1.2894736842105263</v>
      </c>
      <c r="D14" s="15">
        <v>132</v>
      </c>
      <c r="G14" s="14" t="s">
        <v>629</v>
      </c>
      <c r="H14" s="15">
        <v>2.1842105263157894</v>
      </c>
      <c r="I14" s="15">
        <v>1.2894736842105263</v>
      </c>
      <c r="J14" s="15">
        <v>132</v>
      </c>
    </row>
    <row r="15" spans="1:10" x14ac:dyDescent="0.2">
      <c r="A15" s="14" t="s">
        <v>616</v>
      </c>
      <c r="B15" s="15">
        <v>2.35</v>
      </c>
      <c r="C15" s="15">
        <v>1.45</v>
      </c>
      <c r="D15" s="15">
        <v>76</v>
      </c>
      <c r="G15" s="14" t="s">
        <v>616</v>
      </c>
      <c r="H15" s="15">
        <v>2.35</v>
      </c>
      <c r="I15" s="15">
        <v>1.45</v>
      </c>
      <c r="J15" s="15">
        <v>76</v>
      </c>
    </row>
    <row r="16" spans="1:10" x14ac:dyDescent="0.2">
      <c r="A16" s="14" t="s">
        <v>8537</v>
      </c>
      <c r="B16" s="15">
        <v>1.7769709543568464</v>
      </c>
      <c r="C16" s="15">
        <v>1.0446058091286308</v>
      </c>
      <c r="D16" s="15">
        <v>2720</v>
      </c>
      <c r="G16" s="14" t="s">
        <v>8537</v>
      </c>
      <c r="H16" s="15">
        <v>1.7769709543568464</v>
      </c>
      <c r="I16" s="15">
        <v>1.0446058091286308</v>
      </c>
      <c r="J16" s="15">
        <v>2720</v>
      </c>
    </row>
    <row r="23" spans="1:2" x14ac:dyDescent="0.2">
      <c r="A23" s="13" t="s">
        <v>8536</v>
      </c>
      <c r="B23" t="s">
        <v>8540</v>
      </c>
    </row>
    <row r="24" spans="1:2" x14ac:dyDescent="0.2">
      <c r="A24" s="14" t="s">
        <v>8541</v>
      </c>
      <c r="B24" s="16">
        <v>224</v>
      </c>
    </row>
    <row r="25" spans="1:2" x14ac:dyDescent="0.2">
      <c r="A25" s="14" t="s">
        <v>8542</v>
      </c>
      <c r="B25" s="16">
        <v>354</v>
      </c>
    </row>
    <row r="26" spans="1:2" x14ac:dyDescent="0.2">
      <c r="A26" s="14" t="s">
        <v>8543</v>
      </c>
      <c r="B26" s="16">
        <v>178</v>
      </c>
    </row>
    <row r="27" spans="1:2" x14ac:dyDescent="0.2">
      <c r="A27" s="14" t="s">
        <v>8544</v>
      </c>
      <c r="B27" s="16">
        <v>294</v>
      </c>
    </row>
    <row r="28" spans="1:2" x14ac:dyDescent="0.2">
      <c r="A28" s="14" t="s">
        <v>8545</v>
      </c>
      <c r="B28" s="16">
        <v>278</v>
      </c>
    </row>
    <row r="29" spans="1:2" x14ac:dyDescent="0.2">
      <c r="A29" s="14" t="s">
        <v>8546</v>
      </c>
      <c r="B29" s="16">
        <v>427</v>
      </c>
    </row>
    <row r="30" spans="1:2" x14ac:dyDescent="0.2">
      <c r="A30" s="14" t="s">
        <v>8547</v>
      </c>
      <c r="B30" s="16">
        <v>308</v>
      </c>
    </row>
    <row r="31" spans="1:2" x14ac:dyDescent="0.2">
      <c r="A31" s="14" t="s">
        <v>8548</v>
      </c>
      <c r="B31" s="16">
        <v>485</v>
      </c>
    </row>
    <row r="32" spans="1:2" x14ac:dyDescent="0.2">
      <c r="A32" s="14" t="s">
        <v>8549</v>
      </c>
      <c r="B32" s="16">
        <v>172</v>
      </c>
    </row>
    <row r="33" spans="1:2" x14ac:dyDescent="0.2">
      <c r="A33" s="14" t="s">
        <v>8537</v>
      </c>
      <c r="B33" s="16">
        <v>2720</v>
      </c>
    </row>
    <row r="39" spans="1:2" x14ac:dyDescent="0.2">
      <c r="A39" s="13" t="s">
        <v>8536</v>
      </c>
      <c r="B39" t="s">
        <v>8540</v>
      </c>
    </row>
    <row r="40" spans="1:2" x14ac:dyDescent="0.2">
      <c r="A40" s="14" t="s">
        <v>593</v>
      </c>
      <c r="B40" s="16">
        <v>80</v>
      </c>
    </row>
    <row r="41" spans="1:2" x14ac:dyDescent="0.2">
      <c r="A41" s="14" t="s">
        <v>8024</v>
      </c>
      <c r="B41" s="16">
        <v>31</v>
      </c>
    </row>
    <row r="42" spans="1:2" x14ac:dyDescent="0.2">
      <c r="A42" s="14" t="s">
        <v>6062</v>
      </c>
      <c r="B42" s="16">
        <v>100</v>
      </c>
    </row>
    <row r="43" spans="1:2" x14ac:dyDescent="0.2">
      <c r="A43" s="14" t="s">
        <v>6491</v>
      </c>
      <c r="B43" s="16">
        <v>123</v>
      </c>
    </row>
    <row r="44" spans="1:2" x14ac:dyDescent="0.2">
      <c r="A44" s="14" t="s">
        <v>811</v>
      </c>
      <c r="B44" s="16">
        <v>1564</v>
      </c>
    </row>
    <row r="45" spans="1:2" x14ac:dyDescent="0.2">
      <c r="A45" s="14" t="s">
        <v>7695</v>
      </c>
      <c r="B45" s="16">
        <v>21</v>
      </c>
    </row>
    <row r="46" spans="1:2" x14ac:dyDescent="0.2">
      <c r="A46" s="14" t="s">
        <v>651</v>
      </c>
      <c r="B46" s="16">
        <v>196</v>
      </c>
    </row>
    <row r="47" spans="1:2" x14ac:dyDescent="0.2">
      <c r="A47" s="14" t="s">
        <v>714</v>
      </c>
      <c r="B47" s="16">
        <v>303</v>
      </c>
    </row>
    <row r="48" spans="1:2" x14ac:dyDescent="0.2">
      <c r="A48" s="14" t="s">
        <v>5953</v>
      </c>
      <c r="B48" s="16">
        <v>29</v>
      </c>
    </row>
    <row r="49" spans="1:3" x14ac:dyDescent="0.2">
      <c r="A49" s="14" t="s">
        <v>6387</v>
      </c>
      <c r="B49" s="16">
        <v>65</v>
      </c>
    </row>
    <row r="50" spans="1:3" x14ac:dyDescent="0.2">
      <c r="A50" s="14" t="s">
        <v>629</v>
      </c>
      <c r="B50" s="16">
        <v>132</v>
      </c>
    </row>
    <row r="51" spans="1:3" x14ac:dyDescent="0.2">
      <c r="A51" s="14" t="s">
        <v>616</v>
      </c>
      <c r="B51" s="16">
        <v>76</v>
      </c>
    </row>
    <row r="52" spans="1:3" x14ac:dyDescent="0.2">
      <c r="A52" s="14" t="s">
        <v>8537</v>
      </c>
      <c r="B52" s="16">
        <v>2720</v>
      </c>
    </row>
    <row r="62" spans="1:3" x14ac:dyDescent="0.2">
      <c r="A62" s="10"/>
      <c r="B62" s="11"/>
      <c r="C62" s="12"/>
    </row>
    <row r="63" spans="1:3" x14ac:dyDescent="0.2">
      <c r="A63" s="30"/>
      <c r="B63" s="31"/>
      <c r="C63" s="32"/>
    </row>
    <row r="64" spans="1:3" x14ac:dyDescent="0.2">
      <c r="A64" s="30"/>
      <c r="B64" s="31"/>
      <c r="C64" s="32"/>
    </row>
    <row r="65" spans="1:3" x14ac:dyDescent="0.2">
      <c r="A65" s="30"/>
      <c r="B65" s="31"/>
      <c r="C65" s="32"/>
    </row>
    <row r="66" spans="1:3" x14ac:dyDescent="0.2">
      <c r="A66" s="30"/>
      <c r="B66" s="31"/>
      <c r="C66" s="32"/>
    </row>
    <row r="67" spans="1:3" x14ac:dyDescent="0.2">
      <c r="A67" s="30"/>
      <c r="B67" s="31"/>
      <c r="C67" s="32"/>
    </row>
    <row r="68" spans="1:3" x14ac:dyDescent="0.2">
      <c r="A68" s="30"/>
      <c r="B68" s="31"/>
      <c r="C68" s="32"/>
    </row>
    <row r="69" spans="1:3" x14ac:dyDescent="0.2">
      <c r="A69" s="30"/>
      <c r="B69" s="31"/>
      <c r="C69" s="32"/>
    </row>
    <row r="70" spans="1:3" x14ac:dyDescent="0.2">
      <c r="A70" s="30"/>
      <c r="B70" s="31"/>
      <c r="C70" s="32"/>
    </row>
    <row r="71" spans="1:3" x14ac:dyDescent="0.2">
      <c r="A71" s="30"/>
      <c r="B71" s="31"/>
      <c r="C71" s="32"/>
    </row>
    <row r="72" spans="1:3" x14ac:dyDescent="0.2">
      <c r="A72" s="30"/>
      <c r="B72" s="31"/>
      <c r="C72" s="32"/>
    </row>
    <row r="73" spans="1:3" x14ac:dyDescent="0.2">
      <c r="A73" s="30"/>
      <c r="B73" s="31"/>
      <c r="C73" s="32"/>
    </row>
    <row r="74" spans="1:3" x14ac:dyDescent="0.2">
      <c r="A74" s="30"/>
      <c r="B74" s="31"/>
      <c r="C74" s="32"/>
    </row>
    <row r="75" spans="1:3" x14ac:dyDescent="0.2">
      <c r="A75" s="30"/>
      <c r="B75" s="31"/>
      <c r="C75" s="32"/>
    </row>
    <row r="76" spans="1:3" x14ac:dyDescent="0.2">
      <c r="A76" s="30"/>
      <c r="B76" s="31"/>
      <c r="C76" s="32"/>
    </row>
    <row r="77" spans="1:3" x14ac:dyDescent="0.2">
      <c r="A77" s="30"/>
      <c r="B77" s="31"/>
      <c r="C77" s="32"/>
    </row>
    <row r="78" spans="1:3" x14ac:dyDescent="0.2">
      <c r="A78" s="30"/>
      <c r="B78" s="31"/>
      <c r="C78" s="32"/>
    </row>
    <row r="79" spans="1:3" x14ac:dyDescent="0.2">
      <c r="A79" s="33"/>
      <c r="B79" s="34"/>
      <c r="C79" s="35"/>
    </row>
    <row r="85" spans="1:14" x14ac:dyDescent="0.2">
      <c r="A85" s="13" t="s">
        <v>8536</v>
      </c>
      <c r="B85" t="s">
        <v>8555</v>
      </c>
      <c r="M85" s="13" t="s">
        <v>8536</v>
      </c>
      <c r="N85" t="s">
        <v>8562</v>
      </c>
    </row>
    <row r="86" spans="1:14" x14ac:dyDescent="0.2">
      <c r="A86" s="14" t="s">
        <v>92</v>
      </c>
      <c r="B86" s="36">
        <v>0.25293015565300681</v>
      </c>
      <c r="G86" s="13" t="s">
        <v>8536</v>
      </c>
      <c r="H86" t="s">
        <v>8560</v>
      </c>
      <c r="M86" s="14">
        <v>1930</v>
      </c>
      <c r="N86" s="4">
        <v>32808</v>
      </c>
    </row>
    <row r="87" spans="1:14" x14ac:dyDescent="0.2">
      <c r="A87" s="14" t="s">
        <v>106</v>
      </c>
      <c r="B87" s="36">
        <v>0.22850443818820665</v>
      </c>
      <c r="G87" s="14" t="s">
        <v>12</v>
      </c>
      <c r="H87" s="4">
        <v>5</v>
      </c>
      <c r="M87" s="14">
        <v>1934</v>
      </c>
      <c r="N87" s="4">
        <v>21353</v>
      </c>
    </row>
    <row r="88" spans="1:14" x14ac:dyDescent="0.2">
      <c r="A88" s="14" t="s">
        <v>12</v>
      </c>
      <c r="B88" s="36">
        <v>0.20207428659829985</v>
      </c>
      <c r="G88" s="14" t="s">
        <v>97</v>
      </c>
      <c r="H88" s="4">
        <v>4</v>
      </c>
      <c r="M88" s="14">
        <v>1938</v>
      </c>
      <c r="N88" s="4">
        <v>20872</v>
      </c>
    </row>
    <row r="89" spans="1:14" x14ac:dyDescent="0.2">
      <c r="A89" s="14" t="s">
        <v>102</v>
      </c>
      <c r="B89" s="36">
        <v>0.17078530526527638</v>
      </c>
      <c r="G89" s="14" t="s">
        <v>26</v>
      </c>
      <c r="H89" s="4">
        <v>3</v>
      </c>
      <c r="M89" s="14">
        <v>1950</v>
      </c>
      <c r="N89" s="4">
        <v>47511</v>
      </c>
    </row>
    <row r="90" spans="1:14" x14ac:dyDescent="0.2">
      <c r="A90" s="14" t="s">
        <v>97</v>
      </c>
      <c r="B90" s="36">
        <v>0.14570581429521037</v>
      </c>
      <c r="G90" s="14" t="s">
        <v>121</v>
      </c>
      <c r="H90" s="4">
        <v>2</v>
      </c>
      <c r="M90" s="14">
        <v>1954</v>
      </c>
      <c r="N90" s="4">
        <v>29562</v>
      </c>
    </row>
    <row r="91" spans="1:14" x14ac:dyDescent="0.2">
      <c r="A91" s="14" t="s">
        <v>8537</v>
      </c>
      <c r="B91" s="36">
        <v>1</v>
      </c>
      <c r="G91" s="14" t="s">
        <v>104</v>
      </c>
      <c r="H91" s="4">
        <v>2</v>
      </c>
      <c r="M91" s="14">
        <v>1958</v>
      </c>
      <c r="N91" s="4">
        <v>23423</v>
      </c>
    </row>
    <row r="92" spans="1:14" x14ac:dyDescent="0.2">
      <c r="G92" s="14" t="s">
        <v>87</v>
      </c>
      <c r="H92" s="4">
        <v>2</v>
      </c>
      <c r="M92" s="14">
        <v>1962</v>
      </c>
      <c r="N92" s="4">
        <v>27912</v>
      </c>
    </row>
    <row r="93" spans="1:14" x14ac:dyDescent="0.2">
      <c r="G93" s="14" t="s">
        <v>92</v>
      </c>
      <c r="H93" s="4">
        <v>2</v>
      </c>
      <c r="M93" s="14">
        <v>1966</v>
      </c>
      <c r="N93" s="4">
        <v>48848</v>
      </c>
    </row>
    <row r="94" spans="1:14" x14ac:dyDescent="0.2">
      <c r="G94" s="14" t="s">
        <v>8537</v>
      </c>
      <c r="H94" s="4">
        <v>20</v>
      </c>
      <c r="M94" s="14">
        <v>1970</v>
      </c>
      <c r="N94" s="4">
        <v>50124</v>
      </c>
    </row>
    <row r="95" spans="1:14" x14ac:dyDescent="0.2">
      <c r="M95" s="14">
        <v>1974</v>
      </c>
      <c r="N95" s="4">
        <v>49099</v>
      </c>
    </row>
    <row r="96" spans="1:14" x14ac:dyDescent="0.2">
      <c r="M96" s="14">
        <v>1978</v>
      </c>
      <c r="N96" s="4">
        <v>40679</v>
      </c>
    </row>
    <row r="97" spans="1:14" x14ac:dyDescent="0.2">
      <c r="M97" s="14">
        <v>1982</v>
      </c>
      <c r="N97" s="4">
        <v>40572</v>
      </c>
    </row>
    <row r="98" spans="1:14" x14ac:dyDescent="0.2">
      <c r="M98" s="14">
        <v>1986</v>
      </c>
      <c r="N98" s="4">
        <v>46039</v>
      </c>
    </row>
    <row r="99" spans="1:14" x14ac:dyDescent="0.2">
      <c r="M99" s="14">
        <v>1990</v>
      </c>
      <c r="N99" s="4">
        <v>48389</v>
      </c>
    </row>
    <row r="100" spans="1:14" x14ac:dyDescent="0.2">
      <c r="M100" s="14">
        <v>1994</v>
      </c>
      <c r="N100" s="4">
        <v>68991</v>
      </c>
    </row>
    <row r="101" spans="1:14" x14ac:dyDescent="0.2">
      <c r="M101" s="14">
        <v>1998</v>
      </c>
      <c r="N101" s="4">
        <v>45367</v>
      </c>
    </row>
    <row r="102" spans="1:14" x14ac:dyDescent="0.2">
      <c r="M102" s="14">
        <v>2002</v>
      </c>
      <c r="N102" s="4">
        <v>42271</v>
      </c>
    </row>
    <row r="103" spans="1:14" x14ac:dyDescent="0.2">
      <c r="M103" s="14">
        <v>2006</v>
      </c>
      <c r="N103" s="4">
        <v>52384</v>
      </c>
    </row>
    <row r="104" spans="1:14" x14ac:dyDescent="0.2">
      <c r="M104" s="14">
        <v>2010</v>
      </c>
      <c r="N104" s="4">
        <v>49670</v>
      </c>
    </row>
    <row r="105" spans="1:14" x14ac:dyDescent="0.2">
      <c r="M105" s="14">
        <v>2014</v>
      </c>
      <c r="N105" s="4">
        <v>53592</v>
      </c>
    </row>
    <row r="106" spans="1:14" x14ac:dyDescent="0.2">
      <c r="M106" s="14">
        <v>2018</v>
      </c>
      <c r="N106" s="4">
        <v>47371</v>
      </c>
    </row>
    <row r="107" spans="1:14" x14ac:dyDescent="0.2">
      <c r="M107" s="14">
        <v>2022</v>
      </c>
      <c r="N107" s="4">
        <v>53191</v>
      </c>
    </row>
    <row r="108" spans="1:14" x14ac:dyDescent="0.2">
      <c r="M108" s="14" t="s">
        <v>8537</v>
      </c>
      <c r="N108" s="4">
        <v>42728.545454545456</v>
      </c>
    </row>
    <row r="112" spans="1:14" x14ac:dyDescent="0.2">
      <c r="A112" s="13" t="s">
        <v>8536</v>
      </c>
      <c r="B112" t="s">
        <v>8556</v>
      </c>
      <c r="C112" t="s">
        <v>8557</v>
      </c>
      <c r="F112" s="13" t="s">
        <v>8536</v>
      </c>
      <c r="G112" s="13" t="s">
        <v>8556</v>
      </c>
      <c r="H112" t="s">
        <v>8557</v>
      </c>
    </row>
    <row r="113" spans="1:8" x14ac:dyDescent="0.2">
      <c r="A113" s="14" t="s">
        <v>26</v>
      </c>
      <c r="B113" s="4">
        <v>1</v>
      </c>
      <c r="C113" s="4">
        <v>3</v>
      </c>
      <c r="F113" s="14" t="s">
        <v>26</v>
      </c>
      <c r="G113" s="4">
        <v>1</v>
      </c>
      <c r="H113" s="4">
        <v>3</v>
      </c>
    </row>
    <row r="114" spans="1:8" x14ac:dyDescent="0.2">
      <c r="A114" s="14" t="s">
        <v>20</v>
      </c>
      <c r="B114" s="4">
        <v>2</v>
      </c>
      <c r="C114" s="4">
        <v>7</v>
      </c>
      <c r="F114" s="14" t="s">
        <v>20</v>
      </c>
      <c r="G114" s="4">
        <v>2</v>
      </c>
      <c r="H114" s="4">
        <v>7</v>
      </c>
    </row>
    <row r="115" spans="1:8" x14ac:dyDescent="0.2">
      <c r="A115" s="14" t="s">
        <v>87</v>
      </c>
      <c r="B115" s="4">
        <v>3</v>
      </c>
      <c r="C115" s="4">
        <v>4</v>
      </c>
      <c r="F115" s="14" t="s">
        <v>87</v>
      </c>
      <c r="G115" s="4">
        <v>3</v>
      </c>
      <c r="H115" s="4">
        <v>4</v>
      </c>
    </row>
    <row r="116" spans="1:8" x14ac:dyDescent="0.2">
      <c r="A116" s="14" t="s">
        <v>52</v>
      </c>
      <c r="B116" s="4">
        <v>4</v>
      </c>
      <c r="C116" s="4">
        <v>5</v>
      </c>
      <c r="F116" s="14" t="s">
        <v>52</v>
      </c>
      <c r="G116" s="4">
        <v>4</v>
      </c>
      <c r="H116" s="4">
        <v>5</v>
      </c>
    </row>
    <row r="117" spans="1:8" x14ac:dyDescent="0.2">
      <c r="A117" s="14" t="s">
        <v>141</v>
      </c>
      <c r="B117" s="4">
        <v>5</v>
      </c>
      <c r="C117" s="4">
        <v>9</v>
      </c>
      <c r="F117" s="14" t="s">
        <v>141</v>
      </c>
      <c r="G117" s="4">
        <v>5</v>
      </c>
      <c r="H117" s="4">
        <v>9</v>
      </c>
    </row>
    <row r="118" spans="1:8" x14ac:dyDescent="0.2">
      <c r="A118" s="14" t="s">
        <v>8537</v>
      </c>
      <c r="B118" s="4">
        <v>5</v>
      </c>
      <c r="C118" s="4">
        <v>9</v>
      </c>
      <c r="F118" s="14" t="s">
        <v>8537</v>
      </c>
      <c r="G118" s="4">
        <v>5</v>
      </c>
      <c r="H118" s="4">
        <v>9</v>
      </c>
    </row>
  </sheetData>
  <pageMargins left="0.7" right="0.7" top="0.75" bottom="0.75" header="0.3" footer="0.3"/>
  <pageSetup paperSize="9" orientation="portrait" horizontalDpi="0" verticalDpi="0"/>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99D8-DCDF-E646-9925-A999C0D643AE}">
  <dimension ref="A1:K31"/>
  <sheetViews>
    <sheetView showGridLines="0" tabSelected="1" workbookViewId="0">
      <selection activeCell="N4" sqref="N4"/>
    </sheetView>
  </sheetViews>
  <sheetFormatPr baseColWidth="10" defaultRowHeight="16" x14ac:dyDescent="0.2"/>
  <cols>
    <col min="4" max="4" width="8.5" customWidth="1"/>
    <col min="7" max="7" width="11.5" customWidth="1"/>
    <col min="8" max="8" width="10.83203125" customWidth="1"/>
    <col min="9" max="9" width="11.6640625" bestFit="1" customWidth="1"/>
    <col min="10" max="10" width="12.83203125" customWidth="1"/>
    <col min="11" max="11" width="12.83203125" bestFit="1" customWidth="1"/>
  </cols>
  <sheetData>
    <row r="1" spans="1:11" x14ac:dyDescent="0.2">
      <c r="A1" s="18" t="s">
        <v>8550</v>
      </c>
      <c r="B1" s="17"/>
      <c r="C1" s="17"/>
      <c r="D1" s="17"/>
      <c r="E1" s="17"/>
      <c r="F1" s="17"/>
      <c r="G1" s="17"/>
      <c r="H1" s="17"/>
      <c r="I1" s="17"/>
      <c r="J1" s="17"/>
      <c r="K1" s="17"/>
    </row>
    <row r="2" spans="1:11" x14ac:dyDescent="0.2">
      <c r="A2" s="17"/>
      <c r="B2" s="17"/>
      <c r="C2" s="17"/>
      <c r="D2" s="17"/>
      <c r="E2" s="17"/>
      <c r="F2" s="17"/>
      <c r="G2" s="17"/>
      <c r="H2" s="17"/>
      <c r="I2" s="17"/>
      <c r="J2" s="17"/>
      <c r="K2" s="17"/>
    </row>
    <row r="3" spans="1:11" ht="17" thickBot="1" x14ac:dyDescent="0.25">
      <c r="A3" s="17"/>
      <c r="B3" s="17"/>
      <c r="C3" s="17"/>
      <c r="D3" s="17"/>
      <c r="E3" s="17"/>
      <c r="F3" s="17"/>
      <c r="G3" s="17"/>
      <c r="H3" s="17"/>
      <c r="I3" s="17"/>
      <c r="J3" s="17"/>
      <c r="K3" s="17"/>
    </row>
    <row r="4" spans="1:11" x14ac:dyDescent="0.2">
      <c r="A4" s="19" t="s">
        <v>542</v>
      </c>
      <c r="B4" s="20"/>
      <c r="C4" s="19" t="s">
        <v>8551</v>
      </c>
      <c r="D4" s="20"/>
      <c r="E4" s="19" t="s">
        <v>541</v>
      </c>
      <c r="F4" s="20"/>
      <c r="G4" s="28" t="s">
        <v>8552</v>
      </c>
      <c r="H4" s="28" t="s">
        <v>8553</v>
      </c>
      <c r="I4" s="28" t="s">
        <v>8554</v>
      </c>
    </row>
    <row r="5" spans="1:11" x14ac:dyDescent="0.2">
      <c r="A5" s="21">
        <v>2022</v>
      </c>
      <c r="B5" s="22">
        <v>2026</v>
      </c>
      <c r="C5" s="21">
        <v>2022</v>
      </c>
      <c r="D5" s="22">
        <v>2026</v>
      </c>
      <c r="E5" s="21">
        <v>2022</v>
      </c>
      <c r="F5" s="22">
        <v>2026</v>
      </c>
      <c r="G5" s="29"/>
      <c r="H5" s="29">
        <v>2026</v>
      </c>
      <c r="I5" s="29">
        <v>2026</v>
      </c>
    </row>
    <row r="6" spans="1:11" ht="17" thickBot="1" x14ac:dyDescent="0.25">
      <c r="A6" s="23">
        <f>summary!D4</f>
        <v>1220.6873459715639</v>
      </c>
      <c r="B6" s="24">
        <f>summary!C4</f>
        <v>1229.9802168293838</v>
      </c>
      <c r="C6" s="25">
        <f>summary!D6</f>
        <v>1841.3</v>
      </c>
      <c r="D6" s="26">
        <f>summary!C6</f>
        <v>1876.1183309999999</v>
      </c>
      <c r="E6" s="25">
        <f>summary!D5</f>
        <v>762.22</v>
      </c>
      <c r="F6" s="26">
        <f>summary!C5</f>
        <v>722.93372799999997</v>
      </c>
      <c r="G6" s="27">
        <f>GETPIVOTDATA("Average of home_score",pivot!$A$3)</f>
        <v>1.7769709543568464</v>
      </c>
      <c r="H6" s="27">
        <f>GETPIVOTDATA("Average of away_score",pivot!$A$3)</f>
        <v>1.0446058091286308</v>
      </c>
      <c r="I6" s="27">
        <f>GETPIVOTDATA("Sum of Total Goals",pivot!$A$3)</f>
        <v>2720</v>
      </c>
    </row>
    <row r="7" spans="1:11" ht="6" customHeight="1" x14ac:dyDescent="0.2">
      <c r="A7" s="2"/>
      <c r="B7" s="2"/>
    </row>
    <row r="20" spans="9:11" ht="17" thickBot="1" x14ac:dyDescent="0.25"/>
    <row r="21" spans="9:11" x14ac:dyDescent="0.2">
      <c r="I21" s="19" t="s">
        <v>8561</v>
      </c>
      <c r="J21" s="37"/>
      <c r="K21" s="20"/>
    </row>
    <row r="22" spans="9:11" ht="6" customHeight="1" x14ac:dyDescent="0.2">
      <c r="I22" s="38"/>
      <c r="J22" s="39"/>
      <c r="K22" s="40"/>
    </row>
    <row r="23" spans="9:11" ht="31" customHeight="1" x14ac:dyDescent="0.2">
      <c r="I23" s="41" t="s">
        <v>79</v>
      </c>
      <c r="J23" s="42" t="s">
        <v>8558</v>
      </c>
      <c r="K23" s="43" t="s">
        <v>8559</v>
      </c>
    </row>
    <row r="24" spans="9:11" x14ac:dyDescent="0.2">
      <c r="I24" s="44" t="s">
        <v>26</v>
      </c>
      <c r="J24" s="45">
        <v>1</v>
      </c>
      <c r="K24" s="46">
        <v>3</v>
      </c>
    </row>
    <row r="25" spans="9:11" x14ac:dyDescent="0.2">
      <c r="I25" s="44" t="s">
        <v>20</v>
      </c>
      <c r="J25" s="45">
        <v>2</v>
      </c>
      <c r="K25" s="46">
        <v>7</v>
      </c>
    </row>
    <row r="26" spans="9:11" x14ac:dyDescent="0.2">
      <c r="I26" s="44" t="s">
        <v>87</v>
      </c>
      <c r="J26" s="45">
        <v>3</v>
      </c>
      <c r="K26" s="46">
        <v>4</v>
      </c>
    </row>
    <row r="27" spans="9:11" x14ac:dyDescent="0.2">
      <c r="I27" s="44" t="s">
        <v>52</v>
      </c>
      <c r="J27" s="45">
        <v>4</v>
      </c>
      <c r="K27" s="46">
        <v>5</v>
      </c>
    </row>
    <row r="28" spans="9:11" x14ac:dyDescent="0.2">
      <c r="I28" s="44" t="s">
        <v>141</v>
      </c>
      <c r="J28" s="45">
        <v>5</v>
      </c>
      <c r="K28" s="46">
        <v>9</v>
      </c>
    </row>
    <row r="29" spans="9:11" x14ac:dyDescent="0.2">
      <c r="I29" s="44" t="s">
        <v>12</v>
      </c>
      <c r="J29" s="45">
        <v>6</v>
      </c>
      <c r="K29" s="46">
        <v>1</v>
      </c>
    </row>
    <row r="30" spans="9:11" x14ac:dyDescent="0.2">
      <c r="I30" s="44" t="s">
        <v>144</v>
      </c>
      <c r="J30" s="45">
        <v>7</v>
      </c>
      <c r="K30" s="46">
        <v>22</v>
      </c>
    </row>
    <row r="31" spans="9:11" ht="17" thickBot="1" x14ac:dyDescent="0.25">
      <c r="I31" s="47" t="s">
        <v>8537</v>
      </c>
      <c r="J31" s="48">
        <v>7</v>
      </c>
      <c r="K31" s="49">
        <v>22</v>
      </c>
    </row>
  </sheetData>
  <mergeCells count="8">
    <mergeCell ref="I21:K22"/>
    <mergeCell ref="A1:K3"/>
    <mergeCell ref="A4:B4"/>
    <mergeCell ref="C4:D4"/>
    <mergeCell ref="E4:F4"/>
    <mergeCell ref="G4:G5"/>
    <mergeCell ref="H4:H5"/>
    <mergeCell ref="I4:I5"/>
  </mergeCells>
  <pageMargins left="0.7" right="0.7" top="0.75" bottom="0.75" header="0.3" footer="0.3"/>
  <pageSetup paperSize="9" orientation="landscape" horizontalDpi="0" verticalDpi="0"/>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B8071-C7EC-6048-87FD-A412B2EF69BF}">
  <dimension ref="A1:AR965"/>
  <sheetViews>
    <sheetView zoomScale="173" workbookViewId="0">
      <pane ySplit="1" topLeftCell="A2" activePane="bottomLeft" state="frozen"/>
      <selection pane="bottomLeft"/>
    </sheetView>
  </sheetViews>
  <sheetFormatPr baseColWidth="10" defaultRowHeight="16" x14ac:dyDescent="0.2"/>
  <cols>
    <col min="1" max="2" width="20.5" bestFit="1" customWidth="1"/>
    <col min="3" max="3" width="13.83203125" bestFit="1" customWidth="1"/>
    <col min="4" max="4" width="11" bestFit="1" customWidth="1"/>
    <col min="5" max="5" width="15.1640625" bestFit="1" customWidth="1"/>
    <col min="6" max="6" width="13.33203125" bestFit="1" customWidth="1"/>
    <col min="7" max="7" width="10.5" bestFit="1" customWidth="1"/>
    <col min="8" max="8" width="14.6640625" bestFit="1" customWidth="1"/>
    <col min="9" max="9" width="28.5" bestFit="1" customWidth="1"/>
    <col min="10" max="10" width="22.83203125" bestFit="1" customWidth="1"/>
    <col min="11" max="11" width="28.5" bestFit="1" customWidth="1"/>
    <col min="12" max="12" width="23.33203125" bestFit="1" customWidth="1"/>
    <col min="13" max="13" width="13.1640625" bestFit="1" customWidth="1"/>
    <col min="14" max="14" width="56.6640625" bestFit="1" customWidth="1"/>
    <col min="15" max="15" width="80.6640625" bestFit="1" customWidth="1"/>
    <col min="16" max="16" width="17.33203125" bestFit="1" customWidth="1"/>
    <col min="17" max="17" width="8.5" bestFit="1" customWidth="1"/>
    <col min="18" max="18" width="9.1640625" bestFit="1" customWidth="1"/>
    <col min="19" max="19" width="26.6640625" bestFit="1" customWidth="1"/>
    <col min="20" max="20" width="47" bestFit="1" customWidth="1"/>
    <col min="21" max="21" width="19" bestFit="1" customWidth="1"/>
    <col min="22" max="22" width="7.33203125" bestFit="1" customWidth="1"/>
    <col min="23" max="26" width="80.6640625" bestFit="1" customWidth="1"/>
    <col min="27" max="27" width="26.33203125" bestFit="1" customWidth="1"/>
    <col min="28" max="28" width="24.5" bestFit="1" customWidth="1"/>
    <col min="29" max="29" width="41.83203125" bestFit="1" customWidth="1"/>
    <col min="30" max="30" width="44.5" bestFit="1" customWidth="1"/>
    <col min="31" max="31" width="61.5" bestFit="1" customWidth="1"/>
    <col min="32" max="32" width="63.6640625" bestFit="1" customWidth="1"/>
    <col min="33" max="34" width="80.6640625" bestFit="1" customWidth="1"/>
    <col min="35" max="35" width="66.33203125" bestFit="1" customWidth="1"/>
    <col min="36" max="36" width="62.5" bestFit="1" customWidth="1"/>
    <col min="37" max="37" width="33.33203125" bestFit="1" customWidth="1"/>
    <col min="38" max="38" width="37.33203125" bestFit="1" customWidth="1"/>
    <col min="39" max="39" width="31.1640625" bestFit="1" customWidth="1"/>
    <col min="40" max="40" width="46.5" bestFit="1" customWidth="1"/>
    <col min="41" max="44" width="80.6640625" bestFit="1" customWidth="1"/>
  </cols>
  <sheetData>
    <row r="1" spans="1:44" x14ac:dyDescent="0.2">
      <c r="A1" t="s">
        <v>546</v>
      </c>
      <c r="B1" t="s">
        <v>547</v>
      </c>
      <c r="C1" t="s">
        <v>548</v>
      </c>
      <c r="D1" t="s">
        <v>549</v>
      </c>
      <c r="E1" t="s">
        <v>550</v>
      </c>
      <c r="F1" t="s">
        <v>551</v>
      </c>
      <c r="G1" t="s">
        <v>552</v>
      </c>
      <c r="H1" t="s">
        <v>553</v>
      </c>
      <c r="I1" t="s">
        <v>554</v>
      </c>
      <c r="J1" t="s">
        <v>555</v>
      </c>
      <c r="K1" t="s">
        <v>556</v>
      </c>
      <c r="L1" t="s">
        <v>557</v>
      </c>
      <c r="M1" t="s">
        <v>83</v>
      </c>
      <c r="N1" t="s">
        <v>558</v>
      </c>
      <c r="O1" t="s">
        <v>559</v>
      </c>
      <c r="P1" t="s">
        <v>560</v>
      </c>
      <c r="Q1" t="s">
        <v>561</v>
      </c>
      <c r="R1" t="s">
        <v>562</v>
      </c>
      <c r="S1" t="s">
        <v>563</v>
      </c>
      <c r="T1" t="s">
        <v>564</v>
      </c>
      <c r="U1" t="s">
        <v>78</v>
      </c>
      <c r="V1" t="s">
        <v>77</v>
      </c>
      <c r="W1" t="s">
        <v>565</v>
      </c>
      <c r="X1" t="s">
        <v>566</v>
      </c>
      <c r="Y1" t="s">
        <v>567</v>
      </c>
      <c r="Z1" t="s">
        <v>568</v>
      </c>
      <c r="AA1" t="s">
        <v>569</v>
      </c>
      <c r="AB1" t="s">
        <v>570</v>
      </c>
      <c r="AC1" t="s">
        <v>571</v>
      </c>
      <c r="AD1" t="s">
        <v>572</v>
      </c>
      <c r="AE1" t="s">
        <v>573</v>
      </c>
      <c r="AF1" t="s">
        <v>574</v>
      </c>
      <c r="AG1" t="s">
        <v>575</v>
      </c>
      <c r="AH1" t="s">
        <v>576</v>
      </c>
      <c r="AI1" t="s">
        <v>577</v>
      </c>
      <c r="AJ1" t="s">
        <v>578</v>
      </c>
      <c r="AK1" t="s">
        <v>579</v>
      </c>
      <c r="AL1" t="s">
        <v>580</v>
      </c>
      <c r="AM1" t="s">
        <v>581</v>
      </c>
      <c r="AN1" t="s">
        <v>582</v>
      </c>
      <c r="AO1" t="s">
        <v>583</v>
      </c>
      <c r="AP1" t="s">
        <v>584</v>
      </c>
      <c r="AQ1" t="s">
        <v>585</v>
      </c>
      <c r="AR1" t="s">
        <v>586</v>
      </c>
    </row>
    <row r="2" spans="1:44" x14ac:dyDescent="0.2">
      <c r="A2" s="4" t="s">
        <v>26</v>
      </c>
      <c r="B2" s="4" t="s">
        <v>87</v>
      </c>
      <c r="C2">
        <v>3</v>
      </c>
      <c r="D2">
        <v>3.3</v>
      </c>
      <c r="E2">
        <v>4</v>
      </c>
      <c r="F2">
        <v>3</v>
      </c>
      <c r="G2">
        <v>2.2000000000000002</v>
      </c>
      <c r="H2">
        <v>2</v>
      </c>
      <c r="I2" s="4" t="s">
        <v>587</v>
      </c>
      <c r="J2" s="4" t="s">
        <v>588</v>
      </c>
      <c r="K2" s="4" t="s">
        <v>589</v>
      </c>
      <c r="L2" s="4" t="s">
        <v>590</v>
      </c>
      <c r="M2">
        <v>88966</v>
      </c>
      <c r="N2" s="4" t="s">
        <v>591</v>
      </c>
      <c r="O2" s="4" t="s">
        <v>592</v>
      </c>
      <c r="P2" s="4" t="s">
        <v>593</v>
      </c>
      <c r="Q2" s="9">
        <v>44913</v>
      </c>
      <c r="R2" s="4" t="s">
        <v>594</v>
      </c>
      <c r="S2" s="4" t="s">
        <v>595</v>
      </c>
      <c r="T2" s="4" t="s">
        <v>596</v>
      </c>
      <c r="U2" s="4" t="s">
        <v>86</v>
      </c>
      <c r="V2">
        <v>2022</v>
      </c>
      <c r="W2" s="4" t="s">
        <v>597</v>
      </c>
      <c r="X2" s="4" t="s">
        <v>598</v>
      </c>
      <c r="Y2" s="4" t="s">
        <v>599</v>
      </c>
      <c r="Z2" s="4" t="s">
        <v>600</v>
      </c>
      <c r="AA2" s="4" t="s">
        <v>47</v>
      </c>
      <c r="AB2" s="4" t="s">
        <v>47</v>
      </c>
      <c r="AC2" s="4" t="s">
        <v>601</v>
      </c>
      <c r="AD2" s="4" t="s">
        <v>602</v>
      </c>
      <c r="AE2" s="4" t="s">
        <v>47</v>
      </c>
      <c r="AF2" s="4" t="s">
        <v>47</v>
      </c>
      <c r="AG2" s="4" t="s">
        <v>603</v>
      </c>
      <c r="AH2" s="4" t="s">
        <v>604</v>
      </c>
      <c r="AI2" s="4" t="s">
        <v>47</v>
      </c>
      <c r="AJ2" s="4" t="s">
        <v>605</v>
      </c>
      <c r="AK2" s="4" t="s">
        <v>47</v>
      </c>
      <c r="AL2" s="4" t="s">
        <v>47</v>
      </c>
      <c r="AM2" s="4" t="s">
        <v>47</v>
      </c>
      <c r="AN2" s="4" t="s">
        <v>47</v>
      </c>
      <c r="AO2" s="4" t="s">
        <v>606</v>
      </c>
      <c r="AP2" s="4" t="s">
        <v>607</v>
      </c>
      <c r="AQ2" s="4" t="s">
        <v>608</v>
      </c>
      <c r="AR2" s="4" t="s">
        <v>609</v>
      </c>
    </row>
    <row r="3" spans="1:44" x14ac:dyDescent="0.2">
      <c r="A3" s="4" t="s">
        <v>90</v>
      </c>
      <c r="B3" s="4" t="s">
        <v>144</v>
      </c>
      <c r="C3">
        <v>2</v>
      </c>
      <c r="D3">
        <v>0.7</v>
      </c>
      <c r="F3">
        <v>1</v>
      </c>
      <c r="G3">
        <v>1.2</v>
      </c>
      <c r="I3" s="4" t="s">
        <v>610</v>
      </c>
      <c r="J3" s="4" t="s">
        <v>611</v>
      </c>
      <c r="K3" s="4" t="s">
        <v>612</v>
      </c>
      <c r="L3" s="4" t="s">
        <v>613</v>
      </c>
      <c r="M3">
        <v>44137</v>
      </c>
      <c r="N3" s="4" t="s">
        <v>614</v>
      </c>
      <c r="O3" s="4" t="s">
        <v>615</v>
      </c>
      <c r="P3" s="4" t="s">
        <v>616</v>
      </c>
      <c r="Q3" s="9">
        <v>44912</v>
      </c>
      <c r="R3" s="4" t="s">
        <v>617</v>
      </c>
      <c r="S3" s="4" t="s">
        <v>618</v>
      </c>
      <c r="T3" s="4" t="s">
        <v>47</v>
      </c>
      <c r="U3" s="4" t="s">
        <v>86</v>
      </c>
      <c r="V3">
        <v>2022</v>
      </c>
      <c r="W3" s="4" t="s">
        <v>619</v>
      </c>
      <c r="X3" s="4" t="s">
        <v>620</v>
      </c>
      <c r="Y3" s="4" t="s">
        <v>621</v>
      </c>
      <c r="Z3" s="4" t="s">
        <v>622</v>
      </c>
      <c r="AA3" s="4" t="s">
        <v>47</v>
      </c>
      <c r="AB3" s="4" t="s">
        <v>47</v>
      </c>
      <c r="AC3" s="4" t="s">
        <v>47</v>
      </c>
      <c r="AD3" s="4" t="s">
        <v>47</v>
      </c>
      <c r="AE3" s="4" t="s">
        <v>47</v>
      </c>
      <c r="AF3" s="4" t="s">
        <v>47</v>
      </c>
      <c r="AG3" s="4" t="s">
        <v>47</v>
      </c>
      <c r="AH3" s="4" t="s">
        <v>47</v>
      </c>
      <c r="AI3" s="4" t="s">
        <v>47</v>
      </c>
      <c r="AJ3" s="4" t="s">
        <v>47</v>
      </c>
      <c r="AK3" s="4" t="s">
        <v>47</v>
      </c>
      <c r="AL3" s="4" t="s">
        <v>47</v>
      </c>
      <c r="AM3" s="4" t="s">
        <v>47</v>
      </c>
      <c r="AN3" s="4" t="s">
        <v>47</v>
      </c>
      <c r="AO3" s="4" t="s">
        <v>47</v>
      </c>
      <c r="AP3" s="4" t="s">
        <v>623</v>
      </c>
      <c r="AQ3" s="4" t="s">
        <v>624</v>
      </c>
      <c r="AR3" s="4" t="s">
        <v>625</v>
      </c>
    </row>
    <row r="4" spans="1:44" x14ac:dyDescent="0.2">
      <c r="A4" s="4" t="s">
        <v>87</v>
      </c>
      <c r="B4" s="4" t="s">
        <v>144</v>
      </c>
      <c r="C4">
        <v>2</v>
      </c>
      <c r="D4">
        <v>2</v>
      </c>
      <c r="F4">
        <v>0</v>
      </c>
      <c r="G4">
        <v>0.9</v>
      </c>
      <c r="I4" s="4" t="s">
        <v>589</v>
      </c>
      <c r="J4" s="4" t="s">
        <v>590</v>
      </c>
      <c r="K4" s="4" t="s">
        <v>612</v>
      </c>
      <c r="L4" s="4" t="s">
        <v>626</v>
      </c>
      <c r="M4">
        <v>68294</v>
      </c>
      <c r="N4" s="4" t="s">
        <v>627</v>
      </c>
      <c r="O4" s="4" t="s">
        <v>628</v>
      </c>
      <c r="P4" s="4" t="s">
        <v>629</v>
      </c>
      <c r="Q4" s="9">
        <v>44909</v>
      </c>
      <c r="R4" s="4" t="s">
        <v>630</v>
      </c>
      <c r="S4" s="4" t="s">
        <v>631</v>
      </c>
      <c r="T4" s="4" t="s">
        <v>47</v>
      </c>
      <c r="U4" s="4" t="s">
        <v>86</v>
      </c>
      <c r="V4">
        <v>2022</v>
      </c>
      <c r="W4" s="4" t="s">
        <v>632</v>
      </c>
      <c r="X4" s="4" t="s">
        <v>47</v>
      </c>
      <c r="Y4" s="4" t="s">
        <v>633</v>
      </c>
      <c r="Z4" s="4" t="s">
        <v>47</v>
      </c>
      <c r="AA4" s="4" t="s">
        <v>47</v>
      </c>
      <c r="AB4" s="4" t="s">
        <v>47</v>
      </c>
      <c r="AC4" s="4" t="s">
        <v>47</v>
      </c>
      <c r="AD4" s="4" t="s">
        <v>47</v>
      </c>
      <c r="AE4" s="4" t="s">
        <v>47</v>
      </c>
      <c r="AF4" s="4" t="s">
        <v>47</v>
      </c>
      <c r="AG4" s="4" t="s">
        <v>47</v>
      </c>
      <c r="AH4" s="4" t="s">
        <v>47</v>
      </c>
      <c r="AI4" s="4" t="s">
        <v>47</v>
      </c>
      <c r="AJ4" s="4" t="s">
        <v>47</v>
      </c>
      <c r="AK4" s="4" t="s">
        <v>47</v>
      </c>
      <c r="AL4" s="4" t="s">
        <v>47</v>
      </c>
      <c r="AM4" s="4" t="s">
        <v>47</v>
      </c>
      <c r="AN4" s="4" t="s">
        <v>47</v>
      </c>
      <c r="AO4" s="4" t="s">
        <v>47</v>
      </c>
      <c r="AP4" s="4" t="s">
        <v>634</v>
      </c>
      <c r="AQ4" s="4" t="s">
        <v>635</v>
      </c>
      <c r="AR4" s="4" t="s">
        <v>636</v>
      </c>
    </row>
    <row r="5" spans="1:44" x14ac:dyDescent="0.2">
      <c r="A5" s="4" t="s">
        <v>26</v>
      </c>
      <c r="B5" s="4" t="s">
        <v>90</v>
      </c>
      <c r="C5">
        <v>3</v>
      </c>
      <c r="D5">
        <v>2.2999999999999998</v>
      </c>
      <c r="F5">
        <v>0</v>
      </c>
      <c r="G5">
        <v>0.5</v>
      </c>
      <c r="I5" s="4" t="s">
        <v>587</v>
      </c>
      <c r="J5" s="4" t="s">
        <v>588</v>
      </c>
      <c r="K5" s="4" t="s">
        <v>610</v>
      </c>
      <c r="L5" s="4" t="s">
        <v>611</v>
      </c>
      <c r="M5">
        <v>88966</v>
      </c>
      <c r="N5" s="4" t="s">
        <v>591</v>
      </c>
      <c r="O5" s="4" t="s">
        <v>637</v>
      </c>
      <c r="P5" s="4" t="s">
        <v>629</v>
      </c>
      <c r="Q5" s="9">
        <v>44908</v>
      </c>
      <c r="R5" s="4" t="s">
        <v>638</v>
      </c>
      <c r="S5" s="4" t="s">
        <v>639</v>
      </c>
      <c r="T5" s="4" t="s">
        <v>47</v>
      </c>
      <c r="U5" s="4" t="s">
        <v>86</v>
      </c>
      <c r="V5">
        <v>2022</v>
      </c>
      <c r="W5" s="4" t="s">
        <v>640</v>
      </c>
      <c r="X5" s="4" t="s">
        <v>47</v>
      </c>
      <c r="Y5" s="4" t="s">
        <v>641</v>
      </c>
      <c r="Z5" s="4" t="s">
        <v>47</v>
      </c>
      <c r="AA5" s="4" t="s">
        <v>47</v>
      </c>
      <c r="AB5" s="4" t="s">
        <v>47</v>
      </c>
      <c r="AC5" s="4" t="s">
        <v>642</v>
      </c>
      <c r="AD5" s="4" t="s">
        <v>47</v>
      </c>
      <c r="AE5" s="4" t="s">
        <v>47</v>
      </c>
      <c r="AF5" s="4" t="s">
        <v>47</v>
      </c>
      <c r="AG5" s="4" t="s">
        <v>47</v>
      </c>
      <c r="AH5" s="4" t="s">
        <v>47</v>
      </c>
      <c r="AI5" s="4" t="s">
        <v>47</v>
      </c>
      <c r="AJ5" s="4" t="s">
        <v>47</v>
      </c>
      <c r="AK5" s="4" t="s">
        <v>47</v>
      </c>
      <c r="AL5" s="4" t="s">
        <v>47</v>
      </c>
      <c r="AM5" s="4" t="s">
        <v>47</v>
      </c>
      <c r="AN5" s="4" t="s">
        <v>47</v>
      </c>
      <c r="AO5" s="4" t="s">
        <v>643</v>
      </c>
      <c r="AP5" s="4" t="s">
        <v>644</v>
      </c>
      <c r="AQ5" s="4" t="s">
        <v>645</v>
      </c>
      <c r="AR5" s="4" t="s">
        <v>646</v>
      </c>
    </row>
    <row r="6" spans="1:44" x14ac:dyDescent="0.2">
      <c r="A6" s="4" t="s">
        <v>144</v>
      </c>
      <c r="B6" s="4" t="s">
        <v>141</v>
      </c>
      <c r="C6">
        <v>1</v>
      </c>
      <c r="D6">
        <v>1.4</v>
      </c>
      <c r="F6">
        <v>0</v>
      </c>
      <c r="G6">
        <v>0.9</v>
      </c>
      <c r="I6" s="4" t="s">
        <v>612</v>
      </c>
      <c r="J6" s="4" t="s">
        <v>626</v>
      </c>
      <c r="K6" s="4" t="s">
        <v>647</v>
      </c>
      <c r="L6" s="4" t="s">
        <v>648</v>
      </c>
      <c r="M6">
        <v>44198</v>
      </c>
      <c r="N6" s="4" t="s">
        <v>649</v>
      </c>
      <c r="O6" s="4" t="s">
        <v>650</v>
      </c>
      <c r="P6" s="4" t="s">
        <v>651</v>
      </c>
      <c r="Q6" s="9">
        <v>44905</v>
      </c>
      <c r="R6" s="4" t="s">
        <v>652</v>
      </c>
      <c r="S6" s="4" t="s">
        <v>653</v>
      </c>
      <c r="T6" s="4" t="s">
        <v>47</v>
      </c>
      <c r="U6" s="4" t="s">
        <v>86</v>
      </c>
      <c r="V6">
        <v>2022</v>
      </c>
      <c r="W6" s="4" t="s">
        <v>654</v>
      </c>
      <c r="X6" s="4" t="s">
        <v>47</v>
      </c>
      <c r="Y6" s="4" t="s">
        <v>655</v>
      </c>
      <c r="Z6" s="4" t="s">
        <v>47</v>
      </c>
      <c r="AA6" s="4" t="s">
        <v>47</v>
      </c>
      <c r="AB6" s="4" t="s">
        <v>47</v>
      </c>
      <c r="AC6" s="4" t="s">
        <v>47</v>
      </c>
      <c r="AD6" s="4" t="s">
        <v>47</v>
      </c>
      <c r="AE6" s="4" t="s">
        <v>47</v>
      </c>
      <c r="AF6" s="4" t="s">
        <v>47</v>
      </c>
      <c r="AG6" s="4" t="s">
        <v>47</v>
      </c>
      <c r="AH6" s="4" t="s">
        <v>47</v>
      </c>
      <c r="AI6" s="4" t="s">
        <v>47</v>
      </c>
      <c r="AJ6" s="4" t="s">
        <v>47</v>
      </c>
      <c r="AK6" s="4" t="s">
        <v>47</v>
      </c>
      <c r="AL6" s="4" t="s">
        <v>47</v>
      </c>
      <c r="AM6" s="4" t="s">
        <v>656</v>
      </c>
      <c r="AN6" s="4" t="s">
        <v>47</v>
      </c>
      <c r="AO6" s="4" t="s">
        <v>657</v>
      </c>
      <c r="AP6" s="4" t="s">
        <v>658</v>
      </c>
      <c r="AQ6" s="4" t="s">
        <v>659</v>
      </c>
      <c r="AR6" s="4" t="s">
        <v>660</v>
      </c>
    </row>
    <row r="7" spans="1:44" x14ac:dyDescent="0.2">
      <c r="A7" s="4" t="s">
        <v>52</v>
      </c>
      <c r="B7" s="4" t="s">
        <v>87</v>
      </c>
      <c r="C7">
        <v>1</v>
      </c>
      <c r="D7">
        <v>2.4</v>
      </c>
      <c r="F7">
        <v>2</v>
      </c>
      <c r="G7">
        <v>0.9</v>
      </c>
      <c r="I7" s="4" t="s">
        <v>661</v>
      </c>
      <c r="J7" s="4" t="s">
        <v>662</v>
      </c>
      <c r="K7" s="4" t="s">
        <v>589</v>
      </c>
      <c r="L7" s="4" t="s">
        <v>590</v>
      </c>
      <c r="M7">
        <v>68895</v>
      </c>
      <c r="N7" s="4" t="s">
        <v>627</v>
      </c>
      <c r="O7" s="4" t="s">
        <v>663</v>
      </c>
      <c r="P7" s="4" t="s">
        <v>651</v>
      </c>
      <c r="Q7" s="9">
        <v>44905</v>
      </c>
      <c r="R7" s="4" t="s">
        <v>664</v>
      </c>
      <c r="S7" s="4" t="s">
        <v>665</v>
      </c>
      <c r="T7" s="4" t="s">
        <v>47</v>
      </c>
      <c r="U7" s="4" t="s">
        <v>86</v>
      </c>
      <c r="V7">
        <v>2022</v>
      </c>
      <c r="W7" s="4" t="s">
        <v>47</v>
      </c>
      <c r="X7" s="4" t="s">
        <v>666</v>
      </c>
      <c r="Y7" s="4" t="s">
        <v>47</v>
      </c>
      <c r="Z7" s="4" t="s">
        <v>667</v>
      </c>
      <c r="AA7" s="4" t="s">
        <v>47</v>
      </c>
      <c r="AB7" s="4" t="s">
        <v>47</v>
      </c>
      <c r="AC7" s="4" t="s">
        <v>668</v>
      </c>
      <c r="AD7" s="4" t="s">
        <v>47</v>
      </c>
      <c r="AE7" s="4" t="s">
        <v>669</v>
      </c>
      <c r="AF7" s="4" t="s">
        <v>47</v>
      </c>
      <c r="AG7" s="4" t="s">
        <v>47</v>
      </c>
      <c r="AH7" s="4" t="s">
        <v>47</v>
      </c>
      <c r="AI7" s="4" t="s">
        <v>47</v>
      </c>
      <c r="AJ7" s="4" t="s">
        <v>47</v>
      </c>
      <c r="AK7" s="4" t="s">
        <v>47</v>
      </c>
      <c r="AL7" s="4" t="s">
        <v>47</v>
      </c>
      <c r="AM7" s="4" t="s">
        <v>47</v>
      </c>
      <c r="AN7" s="4" t="s">
        <v>47</v>
      </c>
      <c r="AO7" s="4" t="s">
        <v>670</v>
      </c>
      <c r="AP7" s="4" t="s">
        <v>671</v>
      </c>
      <c r="AQ7" s="4" t="s">
        <v>672</v>
      </c>
      <c r="AR7" s="4" t="s">
        <v>673</v>
      </c>
    </row>
    <row r="8" spans="1:44" x14ac:dyDescent="0.2">
      <c r="A8" s="4" t="s">
        <v>90</v>
      </c>
      <c r="B8" s="4" t="s">
        <v>12</v>
      </c>
      <c r="C8">
        <v>1</v>
      </c>
      <c r="D8">
        <v>0.6</v>
      </c>
      <c r="E8">
        <v>4</v>
      </c>
      <c r="F8">
        <v>1</v>
      </c>
      <c r="G8">
        <v>2.5</v>
      </c>
      <c r="H8">
        <v>2</v>
      </c>
      <c r="I8" s="4" t="s">
        <v>610</v>
      </c>
      <c r="J8" s="4" t="s">
        <v>611</v>
      </c>
      <c r="K8" s="4" t="s">
        <v>674</v>
      </c>
      <c r="L8" s="4" t="s">
        <v>675</v>
      </c>
      <c r="M8">
        <v>43893</v>
      </c>
      <c r="N8" s="4" t="s">
        <v>676</v>
      </c>
      <c r="O8" s="4" t="s">
        <v>677</v>
      </c>
      <c r="P8" s="4" t="s">
        <v>651</v>
      </c>
      <c r="Q8" s="9">
        <v>44904</v>
      </c>
      <c r="R8" s="4" t="s">
        <v>678</v>
      </c>
      <c r="S8" s="4" t="s">
        <v>679</v>
      </c>
      <c r="T8" s="4" t="s">
        <v>680</v>
      </c>
      <c r="U8" s="4" t="s">
        <v>86</v>
      </c>
      <c r="V8">
        <v>2022</v>
      </c>
      <c r="W8" s="4" t="s">
        <v>681</v>
      </c>
      <c r="X8" s="4" t="s">
        <v>682</v>
      </c>
      <c r="Y8" s="4" t="s">
        <v>683</v>
      </c>
      <c r="Z8" s="4" t="s">
        <v>684</v>
      </c>
      <c r="AA8" s="4" t="s">
        <v>47</v>
      </c>
      <c r="AB8" s="4" t="s">
        <v>47</v>
      </c>
      <c r="AC8" s="4" t="s">
        <v>47</v>
      </c>
      <c r="AD8" s="4" t="s">
        <v>47</v>
      </c>
      <c r="AE8" s="4" t="s">
        <v>47</v>
      </c>
      <c r="AF8" s="4" t="s">
        <v>47</v>
      </c>
      <c r="AG8" s="4" t="s">
        <v>685</v>
      </c>
      <c r="AH8" s="4" t="s">
        <v>686</v>
      </c>
      <c r="AI8" s="4" t="s">
        <v>47</v>
      </c>
      <c r="AJ8" s="4" t="s">
        <v>687</v>
      </c>
      <c r="AK8" s="4" t="s">
        <v>47</v>
      </c>
      <c r="AL8" s="4" t="s">
        <v>47</v>
      </c>
      <c r="AM8" s="4" t="s">
        <v>47</v>
      </c>
      <c r="AN8" s="4" t="s">
        <v>47</v>
      </c>
      <c r="AO8" s="4" t="s">
        <v>688</v>
      </c>
      <c r="AP8" s="4" t="s">
        <v>689</v>
      </c>
      <c r="AQ8" s="4" t="s">
        <v>690</v>
      </c>
      <c r="AR8" s="4" t="s">
        <v>691</v>
      </c>
    </row>
    <row r="9" spans="1:44" x14ac:dyDescent="0.2">
      <c r="A9" s="4" t="s">
        <v>95</v>
      </c>
      <c r="B9" s="4" t="s">
        <v>26</v>
      </c>
      <c r="C9">
        <v>2</v>
      </c>
      <c r="D9">
        <v>0.6</v>
      </c>
      <c r="E9">
        <v>3</v>
      </c>
      <c r="F9">
        <v>2</v>
      </c>
      <c r="G9">
        <v>1.9</v>
      </c>
      <c r="H9">
        <v>4</v>
      </c>
      <c r="I9" s="4" t="s">
        <v>692</v>
      </c>
      <c r="J9" s="4" t="s">
        <v>693</v>
      </c>
      <c r="K9" s="4" t="s">
        <v>587</v>
      </c>
      <c r="L9" s="4" t="s">
        <v>588</v>
      </c>
      <c r="M9">
        <v>88235</v>
      </c>
      <c r="N9" s="4" t="s">
        <v>591</v>
      </c>
      <c r="O9" s="4" t="s">
        <v>694</v>
      </c>
      <c r="P9" s="4" t="s">
        <v>651</v>
      </c>
      <c r="Q9" s="9">
        <v>44904</v>
      </c>
      <c r="R9" s="4" t="s">
        <v>695</v>
      </c>
      <c r="S9" s="4" t="s">
        <v>696</v>
      </c>
      <c r="T9" s="4" t="s">
        <v>596</v>
      </c>
      <c r="U9" s="4" t="s">
        <v>86</v>
      </c>
      <c r="V9">
        <v>2022</v>
      </c>
      <c r="W9" s="4" t="s">
        <v>697</v>
      </c>
      <c r="X9" s="4" t="s">
        <v>698</v>
      </c>
      <c r="Y9" s="4" t="s">
        <v>699</v>
      </c>
      <c r="Z9" s="4" t="s">
        <v>700</v>
      </c>
      <c r="AA9" s="4" t="s">
        <v>47</v>
      </c>
      <c r="AB9" s="4" t="s">
        <v>47</v>
      </c>
      <c r="AC9" s="4" t="s">
        <v>47</v>
      </c>
      <c r="AD9" s="4" t="s">
        <v>701</v>
      </c>
      <c r="AE9" s="4" t="s">
        <v>47</v>
      </c>
      <c r="AF9" s="4" t="s">
        <v>47</v>
      </c>
      <c r="AG9" s="4" t="s">
        <v>702</v>
      </c>
      <c r="AH9" s="4" t="s">
        <v>703</v>
      </c>
      <c r="AI9" s="4" t="s">
        <v>704</v>
      </c>
      <c r="AJ9" s="4" t="s">
        <v>705</v>
      </c>
      <c r="AK9" s="4" t="s">
        <v>47</v>
      </c>
      <c r="AL9" s="4" t="s">
        <v>47</v>
      </c>
      <c r="AM9" s="4" t="s">
        <v>706</v>
      </c>
      <c r="AN9" s="4" t="s">
        <v>47</v>
      </c>
      <c r="AO9" s="4" t="s">
        <v>707</v>
      </c>
      <c r="AP9" s="4" t="s">
        <v>708</v>
      </c>
      <c r="AQ9" s="4" t="s">
        <v>709</v>
      </c>
      <c r="AR9" s="4" t="s">
        <v>710</v>
      </c>
    </row>
    <row r="10" spans="1:44" x14ac:dyDescent="0.2">
      <c r="A10" s="4" t="s">
        <v>144</v>
      </c>
      <c r="B10" s="4" t="s">
        <v>20</v>
      </c>
      <c r="C10">
        <v>0</v>
      </c>
      <c r="D10">
        <v>0.7</v>
      </c>
      <c r="E10">
        <v>3</v>
      </c>
      <c r="F10">
        <v>0</v>
      </c>
      <c r="G10">
        <v>1</v>
      </c>
      <c r="H10">
        <v>0</v>
      </c>
      <c r="I10" s="4" t="s">
        <v>612</v>
      </c>
      <c r="J10" s="4" t="s">
        <v>626</v>
      </c>
      <c r="K10" s="4" t="s">
        <v>711</v>
      </c>
      <c r="L10" s="4" t="s">
        <v>712</v>
      </c>
      <c r="M10">
        <v>44667</v>
      </c>
      <c r="N10" s="4" t="s">
        <v>676</v>
      </c>
      <c r="O10" s="4" t="s">
        <v>713</v>
      </c>
      <c r="P10" s="4" t="s">
        <v>714</v>
      </c>
      <c r="Q10" s="9">
        <v>44901</v>
      </c>
      <c r="R10" s="4" t="s">
        <v>715</v>
      </c>
      <c r="S10" s="4" t="s">
        <v>716</v>
      </c>
      <c r="T10" s="4" t="s">
        <v>717</v>
      </c>
      <c r="U10" s="4" t="s">
        <v>86</v>
      </c>
      <c r="V10">
        <v>2022</v>
      </c>
      <c r="W10" s="4" t="s">
        <v>47</v>
      </c>
      <c r="X10" s="4" t="s">
        <v>47</v>
      </c>
      <c r="Y10" s="4" t="s">
        <v>47</v>
      </c>
      <c r="Z10" s="4" t="s">
        <v>47</v>
      </c>
      <c r="AA10" s="4" t="s">
        <v>47</v>
      </c>
      <c r="AB10" s="4" t="s">
        <v>47</v>
      </c>
      <c r="AC10" s="4" t="s">
        <v>47</v>
      </c>
      <c r="AD10" s="4" t="s">
        <v>47</v>
      </c>
      <c r="AE10" s="4" t="s">
        <v>47</v>
      </c>
      <c r="AF10" s="4" t="s">
        <v>47</v>
      </c>
      <c r="AG10" s="4" t="s">
        <v>718</v>
      </c>
      <c r="AH10" s="4" t="s">
        <v>47</v>
      </c>
      <c r="AI10" s="4" t="s">
        <v>719</v>
      </c>
      <c r="AJ10" s="4" t="s">
        <v>720</v>
      </c>
      <c r="AK10" s="4" t="s">
        <v>47</v>
      </c>
      <c r="AL10" s="4" t="s">
        <v>47</v>
      </c>
      <c r="AM10" s="4" t="s">
        <v>47</v>
      </c>
      <c r="AN10" s="4" t="s">
        <v>47</v>
      </c>
      <c r="AO10" s="4" t="s">
        <v>721</v>
      </c>
      <c r="AP10" s="4" t="s">
        <v>722</v>
      </c>
      <c r="AQ10" s="4" t="s">
        <v>723</v>
      </c>
      <c r="AR10" s="4" t="s">
        <v>724</v>
      </c>
    </row>
    <row r="11" spans="1:44" x14ac:dyDescent="0.2">
      <c r="A11" s="4" t="s">
        <v>141</v>
      </c>
      <c r="B11" s="4" t="s">
        <v>118</v>
      </c>
      <c r="C11">
        <v>6</v>
      </c>
      <c r="D11">
        <v>2.2999999999999998</v>
      </c>
      <c r="F11">
        <v>1</v>
      </c>
      <c r="G11">
        <v>1.2</v>
      </c>
      <c r="I11" s="4" t="s">
        <v>647</v>
      </c>
      <c r="J11" s="4" t="s">
        <v>648</v>
      </c>
      <c r="K11" s="4" t="s">
        <v>725</v>
      </c>
      <c r="L11" s="4" t="s">
        <v>726</v>
      </c>
      <c r="M11">
        <v>83720</v>
      </c>
      <c r="N11" s="4" t="s">
        <v>591</v>
      </c>
      <c r="O11" s="4" t="s">
        <v>727</v>
      </c>
      <c r="P11" s="4" t="s">
        <v>714</v>
      </c>
      <c r="Q11" s="9">
        <v>44901</v>
      </c>
      <c r="R11" s="4" t="s">
        <v>728</v>
      </c>
      <c r="S11" s="4" t="s">
        <v>631</v>
      </c>
      <c r="T11" s="4" t="s">
        <v>47</v>
      </c>
      <c r="U11" s="4" t="s">
        <v>86</v>
      </c>
      <c r="V11">
        <v>2022</v>
      </c>
      <c r="W11" s="4" t="s">
        <v>729</v>
      </c>
      <c r="X11" s="4" t="s">
        <v>730</v>
      </c>
      <c r="Y11" s="4" t="s">
        <v>731</v>
      </c>
      <c r="Z11" s="4" t="s">
        <v>732</v>
      </c>
      <c r="AA11" s="4" t="s">
        <v>47</v>
      </c>
      <c r="AB11" s="4" t="s">
        <v>47</v>
      </c>
      <c r="AC11" s="4" t="s">
        <v>47</v>
      </c>
      <c r="AD11" s="4" t="s">
        <v>47</v>
      </c>
      <c r="AE11" s="4" t="s">
        <v>47</v>
      </c>
      <c r="AF11" s="4" t="s">
        <v>47</v>
      </c>
      <c r="AG11" s="4" t="s">
        <v>47</v>
      </c>
      <c r="AH11" s="4" t="s">
        <v>47</v>
      </c>
      <c r="AI11" s="4" t="s">
        <v>47</v>
      </c>
      <c r="AJ11" s="4" t="s">
        <v>47</v>
      </c>
      <c r="AK11" s="4" t="s">
        <v>47</v>
      </c>
      <c r="AL11" s="4" t="s">
        <v>47</v>
      </c>
      <c r="AM11" s="4" t="s">
        <v>47</v>
      </c>
      <c r="AN11" s="4" t="s">
        <v>47</v>
      </c>
      <c r="AO11" s="4" t="s">
        <v>47</v>
      </c>
      <c r="AP11" s="4" t="s">
        <v>733</v>
      </c>
      <c r="AQ11" s="4" t="s">
        <v>734</v>
      </c>
      <c r="AR11" s="4" t="s">
        <v>735</v>
      </c>
    </row>
    <row r="12" spans="1:44" x14ac:dyDescent="0.2">
      <c r="A12" s="4" t="s">
        <v>161</v>
      </c>
      <c r="B12" s="4" t="s">
        <v>90</v>
      </c>
      <c r="C12">
        <v>1</v>
      </c>
      <c r="D12">
        <v>1.2</v>
      </c>
      <c r="E12">
        <v>1</v>
      </c>
      <c r="F12">
        <v>1</v>
      </c>
      <c r="G12">
        <v>1.4</v>
      </c>
      <c r="H12">
        <v>3</v>
      </c>
      <c r="I12" s="4" t="s">
        <v>736</v>
      </c>
      <c r="J12" s="4" t="s">
        <v>737</v>
      </c>
      <c r="K12" s="4" t="s">
        <v>610</v>
      </c>
      <c r="L12" s="4" t="s">
        <v>611</v>
      </c>
      <c r="M12">
        <v>42523</v>
      </c>
      <c r="N12" s="4" t="s">
        <v>738</v>
      </c>
      <c r="O12" s="4" t="s">
        <v>739</v>
      </c>
      <c r="P12" s="4" t="s">
        <v>714</v>
      </c>
      <c r="Q12" s="9">
        <v>44900</v>
      </c>
      <c r="R12" s="4" t="s">
        <v>740</v>
      </c>
      <c r="S12" s="4" t="s">
        <v>741</v>
      </c>
      <c r="T12" s="4" t="s">
        <v>680</v>
      </c>
      <c r="U12" s="4" t="s">
        <v>86</v>
      </c>
      <c r="V12">
        <v>2022</v>
      </c>
      <c r="W12" s="4" t="s">
        <v>742</v>
      </c>
      <c r="X12" s="4" t="s">
        <v>743</v>
      </c>
      <c r="Y12" s="4" t="s">
        <v>744</v>
      </c>
      <c r="Z12" s="4" t="s">
        <v>745</v>
      </c>
      <c r="AA12" s="4" t="s">
        <v>47</v>
      </c>
      <c r="AB12" s="4" t="s">
        <v>47</v>
      </c>
      <c r="AC12" s="4" t="s">
        <v>47</v>
      </c>
      <c r="AD12" s="4" t="s">
        <v>47</v>
      </c>
      <c r="AE12" s="4" t="s">
        <v>47</v>
      </c>
      <c r="AF12" s="4" t="s">
        <v>47</v>
      </c>
      <c r="AG12" s="4" t="s">
        <v>746</v>
      </c>
      <c r="AH12" s="4" t="s">
        <v>747</v>
      </c>
      <c r="AI12" s="4" t="s">
        <v>748</v>
      </c>
      <c r="AJ12" s="4" t="s">
        <v>749</v>
      </c>
      <c r="AK12" s="4" t="s">
        <v>47</v>
      </c>
      <c r="AL12" s="4" t="s">
        <v>47</v>
      </c>
      <c r="AM12" s="4" t="s">
        <v>47</v>
      </c>
      <c r="AN12" s="4" t="s">
        <v>47</v>
      </c>
      <c r="AO12" s="4" t="s">
        <v>47</v>
      </c>
      <c r="AP12" s="4" t="s">
        <v>750</v>
      </c>
      <c r="AQ12" s="4" t="s">
        <v>751</v>
      </c>
      <c r="AR12" s="4" t="s">
        <v>752</v>
      </c>
    </row>
    <row r="13" spans="1:44" x14ac:dyDescent="0.2">
      <c r="A13" s="4" t="s">
        <v>12</v>
      </c>
      <c r="B13" s="4" t="s">
        <v>175</v>
      </c>
      <c r="C13">
        <v>4</v>
      </c>
      <c r="D13">
        <v>3.6</v>
      </c>
      <c r="F13">
        <v>1</v>
      </c>
      <c r="G13">
        <v>0.5</v>
      </c>
      <c r="I13" s="4" t="s">
        <v>674</v>
      </c>
      <c r="J13" s="4" t="s">
        <v>675</v>
      </c>
      <c r="K13" s="4" t="s">
        <v>753</v>
      </c>
      <c r="L13" s="4" t="s">
        <v>754</v>
      </c>
      <c r="M13">
        <v>43847</v>
      </c>
      <c r="N13" s="4" t="s">
        <v>755</v>
      </c>
      <c r="O13" s="4" t="s">
        <v>756</v>
      </c>
      <c r="P13" s="4" t="s">
        <v>714</v>
      </c>
      <c r="Q13" s="9">
        <v>44900</v>
      </c>
      <c r="R13" s="4" t="s">
        <v>757</v>
      </c>
      <c r="S13" s="4" t="s">
        <v>758</v>
      </c>
      <c r="T13" s="4" t="s">
        <v>47</v>
      </c>
      <c r="U13" s="4" t="s">
        <v>86</v>
      </c>
      <c r="V13">
        <v>2022</v>
      </c>
      <c r="W13" s="4" t="s">
        <v>759</v>
      </c>
      <c r="X13" s="4" t="s">
        <v>760</v>
      </c>
      <c r="Y13" s="4" t="s">
        <v>761</v>
      </c>
      <c r="Z13" s="4" t="s">
        <v>762</v>
      </c>
      <c r="AA13" s="4" t="s">
        <v>47</v>
      </c>
      <c r="AB13" s="4" t="s">
        <v>47</v>
      </c>
      <c r="AC13" s="4" t="s">
        <v>763</v>
      </c>
      <c r="AD13" s="4" t="s">
        <v>47</v>
      </c>
      <c r="AE13" s="4" t="s">
        <v>47</v>
      </c>
      <c r="AF13" s="4" t="s">
        <v>47</v>
      </c>
      <c r="AG13" s="4" t="s">
        <v>47</v>
      </c>
      <c r="AH13" s="4" t="s">
        <v>47</v>
      </c>
      <c r="AI13" s="4" t="s">
        <v>47</v>
      </c>
      <c r="AJ13" s="4" t="s">
        <v>47</v>
      </c>
      <c r="AK13" s="4" t="s">
        <v>47</v>
      </c>
      <c r="AL13" s="4" t="s">
        <v>47</v>
      </c>
      <c r="AM13" s="4" t="s">
        <v>47</v>
      </c>
      <c r="AN13" s="4" t="s">
        <v>47</v>
      </c>
      <c r="AO13" s="4" t="s">
        <v>47</v>
      </c>
      <c r="AP13" s="4" t="s">
        <v>764</v>
      </c>
      <c r="AQ13" s="4" t="s">
        <v>765</v>
      </c>
      <c r="AR13" s="4" t="s">
        <v>766</v>
      </c>
    </row>
    <row r="14" spans="1:44" x14ac:dyDescent="0.2">
      <c r="A14" s="4" t="s">
        <v>87</v>
      </c>
      <c r="B14" s="4" t="s">
        <v>195</v>
      </c>
      <c r="C14">
        <v>3</v>
      </c>
      <c r="D14">
        <v>1.4</v>
      </c>
      <c r="F14">
        <v>1</v>
      </c>
      <c r="G14">
        <v>1.7</v>
      </c>
      <c r="I14" s="4" t="s">
        <v>589</v>
      </c>
      <c r="J14" s="4" t="s">
        <v>590</v>
      </c>
      <c r="K14" s="4" t="s">
        <v>767</v>
      </c>
      <c r="L14" s="4" t="s">
        <v>768</v>
      </c>
      <c r="M14">
        <v>40989</v>
      </c>
      <c r="N14" s="4" t="s">
        <v>649</v>
      </c>
      <c r="O14" s="4" t="s">
        <v>769</v>
      </c>
      <c r="P14" s="4" t="s">
        <v>714</v>
      </c>
      <c r="Q14" s="9">
        <v>44899</v>
      </c>
      <c r="R14" s="4" t="s">
        <v>770</v>
      </c>
      <c r="S14" s="4" t="s">
        <v>771</v>
      </c>
      <c r="T14" s="4" t="s">
        <v>47</v>
      </c>
      <c r="U14" s="4" t="s">
        <v>86</v>
      </c>
      <c r="V14">
        <v>2022</v>
      </c>
      <c r="W14" s="4" t="s">
        <v>772</v>
      </c>
      <c r="X14" s="4" t="s">
        <v>47</v>
      </c>
      <c r="Y14" s="4" t="s">
        <v>773</v>
      </c>
      <c r="Z14" s="4" t="s">
        <v>47</v>
      </c>
      <c r="AA14" s="4" t="s">
        <v>47</v>
      </c>
      <c r="AB14" s="4" t="s">
        <v>47</v>
      </c>
      <c r="AC14" s="4" t="s">
        <v>47</v>
      </c>
      <c r="AD14" s="4" t="s">
        <v>774</v>
      </c>
      <c r="AE14" s="4" t="s">
        <v>47</v>
      </c>
      <c r="AF14" s="4" t="s">
        <v>47</v>
      </c>
      <c r="AG14" s="4" t="s">
        <v>47</v>
      </c>
      <c r="AH14" s="4" t="s">
        <v>47</v>
      </c>
      <c r="AI14" s="4" t="s">
        <v>47</v>
      </c>
      <c r="AJ14" s="4" t="s">
        <v>47</v>
      </c>
      <c r="AK14" s="4" t="s">
        <v>47</v>
      </c>
      <c r="AL14" s="4" t="s">
        <v>47</v>
      </c>
      <c r="AM14" s="4" t="s">
        <v>47</v>
      </c>
      <c r="AN14" s="4" t="s">
        <v>47</v>
      </c>
      <c r="AO14" s="4" t="s">
        <v>775</v>
      </c>
      <c r="AP14" s="4" t="s">
        <v>776</v>
      </c>
      <c r="AQ14" s="4" t="s">
        <v>777</v>
      </c>
      <c r="AR14" s="4" t="s">
        <v>778</v>
      </c>
    </row>
    <row r="15" spans="1:44" x14ac:dyDescent="0.2">
      <c r="A15" s="4" t="s">
        <v>52</v>
      </c>
      <c r="B15" s="4" t="s">
        <v>157</v>
      </c>
      <c r="C15">
        <v>3</v>
      </c>
      <c r="D15">
        <v>1</v>
      </c>
      <c r="F15">
        <v>0</v>
      </c>
      <c r="G15">
        <v>0.8</v>
      </c>
      <c r="I15" s="4" t="s">
        <v>661</v>
      </c>
      <c r="J15" s="4" t="s">
        <v>662</v>
      </c>
      <c r="K15" s="4" t="s">
        <v>779</v>
      </c>
      <c r="L15" s="4" t="s">
        <v>780</v>
      </c>
      <c r="M15">
        <v>65985</v>
      </c>
      <c r="N15" s="4" t="s">
        <v>627</v>
      </c>
      <c r="O15" s="4" t="s">
        <v>781</v>
      </c>
      <c r="P15" s="4" t="s">
        <v>714</v>
      </c>
      <c r="Q15" s="9">
        <v>44899</v>
      </c>
      <c r="R15" s="4" t="s">
        <v>638</v>
      </c>
      <c r="S15" s="4" t="s">
        <v>782</v>
      </c>
      <c r="T15" s="4" t="s">
        <v>47</v>
      </c>
      <c r="U15" s="4" t="s">
        <v>86</v>
      </c>
      <c r="V15">
        <v>2022</v>
      </c>
      <c r="W15" s="4" t="s">
        <v>783</v>
      </c>
      <c r="X15" s="4" t="s">
        <v>47</v>
      </c>
      <c r="Y15" s="4" t="s">
        <v>784</v>
      </c>
      <c r="Z15" s="4" t="s">
        <v>47</v>
      </c>
      <c r="AA15" s="4" t="s">
        <v>47</v>
      </c>
      <c r="AB15" s="4" t="s">
        <v>47</v>
      </c>
      <c r="AC15" s="4" t="s">
        <v>47</v>
      </c>
      <c r="AD15" s="4" t="s">
        <v>47</v>
      </c>
      <c r="AE15" s="4" t="s">
        <v>47</v>
      </c>
      <c r="AF15" s="4" t="s">
        <v>47</v>
      </c>
      <c r="AG15" s="4" t="s">
        <v>47</v>
      </c>
      <c r="AH15" s="4" t="s">
        <v>47</v>
      </c>
      <c r="AI15" s="4" t="s">
        <v>47</v>
      </c>
      <c r="AJ15" s="4" t="s">
        <v>47</v>
      </c>
      <c r="AK15" s="4" t="s">
        <v>47</v>
      </c>
      <c r="AL15" s="4" t="s">
        <v>47</v>
      </c>
      <c r="AM15" s="4" t="s">
        <v>47</v>
      </c>
      <c r="AN15" s="4" t="s">
        <v>47</v>
      </c>
      <c r="AO15" s="4" t="s">
        <v>47</v>
      </c>
      <c r="AP15" s="4" t="s">
        <v>785</v>
      </c>
      <c r="AQ15" s="4" t="s">
        <v>786</v>
      </c>
      <c r="AR15" s="4" t="s">
        <v>787</v>
      </c>
    </row>
    <row r="16" spans="1:44" x14ac:dyDescent="0.2">
      <c r="A16" s="4" t="s">
        <v>95</v>
      </c>
      <c r="B16" s="4" t="s">
        <v>102</v>
      </c>
      <c r="C16">
        <v>3</v>
      </c>
      <c r="D16">
        <v>1.7</v>
      </c>
      <c r="F16">
        <v>1</v>
      </c>
      <c r="G16">
        <v>1.5</v>
      </c>
      <c r="I16" s="4" t="s">
        <v>692</v>
      </c>
      <c r="J16" s="4" t="s">
        <v>693</v>
      </c>
      <c r="K16" s="4" t="s">
        <v>788</v>
      </c>
      <c r="L16" s="4" t="s">
        <v>789</v>
      </c>
      <c r="M16">
        <v>44846</v>
      </c>
      <c r="N16" s="4" t="s">
        <v>614</v>
      </c>
      <c r="O16" s="4" t="s">
        <v>790</v>
      </c>
      <c r="P16" s="4" t="s">
        <v>714</v>
      </c>
      <c r="Q16" s="9">
        <v>44898</v>
      </c>
      <c r="R16" s="4" t="s">
        <v>770</v>
      </c>
      <c r="S16" s="4" t="s">
        <v>665</v>
      </c>
      <c r="T16" s="4" t="s">
        <v>47</v>
      </c>
      <c r="U16" s="4" t="s">
        <v>86</v>
      </c>
      <c r="V16">
        <v>2022</v>
      </c>
      <c r="W16" s="4" t="s">
        <v>791</v>
      </c>
      <c r="X16" s="4" t="s">
        <v>792</v>
      </c>
      <c r="Y16" s="4" t="s">
        <v>793</v>
      </c>
      <c r="Z16" s="4" t="s">
        <v>794</v>
      </c>
      <c r="AA16" s="4" t="s">
        <v>47</v>
      </c>
      <c r="AB16" s="4" t="s">
        <v>47</v>
      </c>
      <c r="AC16" s="4" t="s">
        <v>47</v>
      </c>
      <c r="AD16" s="4" t="s">
        <v>47</v>
      </c>
      <c r="AE16" s="4" t="s">
        <v>47</v>
      </c>
      <c r="AF16" s="4" t="s">
        <v>47</v>
      </c>
      <c r="AG16" s="4" t="s">
        <v>47</v>
      </c>
      <c r="AH16" s="4" t="s">
        <v>47</v>
      </c>
      <c r="AI16" s="4" t="s">
        <v>47</v>
      </c>
      <c r="AJ16" s="4" t="s">
        <v>47</v>
      </c>
      <c r="AK16" s="4" t="s">
        <v>47</v>
      </c>
      <c r="AL16" s="4" t="s">
        <v>47</v>
      </c>
      <c r="AM16" s="4" t="s">
        <v>47</v>
      </c>
      <c r="AN16" s="4" t="s">
        <v>47</v>
      </c>
      <c r="AO16" s="4" t="s">
        <v>795</v>
      </c>
      <c r="AP16" s="4" t="s">
        <v>47</v>
      </c>
      <c r="AQ16" s="4" t="s">
        <v>796</v>
      </c>
      <c r="AR16" s="4" t="s">
        <v>797</v>
      </c>
    </row>
    <row r="17" spans="1:44" x14ac:dyDescent="0.2">
      <c r="A17" s="4" t="s">
        <v>26</v>
      </c>
      <c r="B17" s="4" t="s">
        <v>179</v>
      </c>
      <c r="C17">
        <v>2</v>
      </c>
      <c r="D17">
        <v>1.6</v>
      </c>
      <c r="F17">
        <v>1</v>
      </c>
      <c r="G17">
        <v>0.6</v>
      </c>
      <c r="I17" s="4" t="s">
        <v>587</v>
      </c>
      <c r="J17" s="4" t="s">
        <v>588</v>
      </c>
      <c r="K17" s="4" t="s">
        <v>798</v>
      </c>
      <c r="L17" s="4" t="s">
        <v>799</v>
      </c>
      <c r="M17">
        <v>45032</v>
      </c>
      <c r="N17" s="4" t="s">
        <v>800</v>
      </c>
      <c r="O17" s="4" t="s">
        <v>801</v>
      </c>
      <c r="P17" s="4" t="s">
        <v>714</v>
      </c>
      <c r="Q17" s="9">
        <v>44898</v>
      </c>
      <c r="R17" s="4" t="s">
        <v>617</v>
      </c>
      <c r="S17" s="4" t="s">
        <v>595</v>
      </c>
      <c r="T17" s="4" t="s">
        <v>47</v>
      </c>
      <c r="U17" s="4" t="s">
        <v>86</v>
      </c>
      <c r="V17">
        <v>2022</v>
      </c>
      <c r="W17" s="4" t="s">
        <v>802</v>
      </c>
      <c r="X17" s="4" t="s">
        <v>47</v>
      </c>
      <c r="Y17" s="4" t="s">
        <v>803</v>
      </c>
      <c r="Z17" s="4" t="s">
        <v>47</v>
      </c>
      <c r="AA17" s="4" t="s">
        <v>47</v>
      </c>
      <c r="AB17" s="4" t="s">
        <v>804</v>
      </c>
      <c r="AC17" s="4" t="s">
        <v>47</v>
      </c>
      <c r="AD17" s="4" t="s">
        <v>47</v>
      </c>
      <c r="AE17" s="4" t="s">
        <v>47</v>
      </c>
      <c r="AF17" s="4" t="s">
        <v>47</v>
      </c>
      <c r="AG17" s="4" t="s">
        <v>47</v>
      </c>
      <c r="AH17" s="4" t="s">
        <v>47</v>
      </c>
      <c r="AI17" s="4" t="s">
        <v>47</v>
      </c>
      <c r="AJ17" s="4" t="s">
        <v>47</v>
      </c>
      <c r="AK17" s="4" t="s">
        <v>47</v>
      </c>
      <c r="AL17" s="4" t="s">
        <v>47</v>
      </c>
      <c r="AM17" s="4" t="s">
        <v>47</v>
      </c>
      <c r="AN17" s="4" t="s">
        <v>47</v>
      </c>
      <c r="AO17" s="4" t="s">
        <v>47</v>
      </c>
      <c r="AP17" s="4" t="s">
        <v>805</v>
      </c>
      <c r="AQ17" s="4" t="s">
        <v>806</v>
      </c>
      <c r="AR17" s="4" t="s">
        <v>807</v>
      </c>
    </row>
    <row r="18" spans="1:44" x14ac:dyDescent="0.2">
      <c r="A18" s="4" t="s">
        <v>175</v>
      </c>
      <c r="B18" s="4" t="s">
        <v>141</v>
      </c>
      <c r="C18">
        <v>2</v>
      </c>
      <c r="D18">
        <v>1.7</v>
      </c>
      <c r="F18">
        <v>1</v>
      </c>
      <c r="G18">
        <v>1.3</v>
      </c>
      <c r="I18" s="4" t="s">
        <v>808</v>
      </c>
      <c r="J18" s="4" t="s">
        <v>754</v>
      </c>
      <c r="K18" s="4" t="s">
        <v>647</v>
      </c>
      <c r="L18" s="4" t="s">
        <v>809</v>
      </c>
      <c r="M18">
        <v>44097</v>
      </c>
      <c r="N18" s="4" t="s">
        <v>676</v>
      </c>
      <c r="O18" s="4" t="s">
        <v>810</v>
      </c>
      <c r="P18" s="4" t="s">
        <v>811</v>
      </c>
      <c r="Q18" s="9">
        <v>44897</v>
      </c>
      <c r="R18" s="4" t="s">
        <v>617</v>
      </c>
      <c r="S18" s="4" t="s">
        <v>653</v>
      </c>
      <c r="T18" s="4" t="s">
        <v>47</v>
      </c>
      <c r="U18" s="4" t="s">
        <v>86</v>
      </c>
      <c r="V18">
        <v>2022</v>
      </c>
      <c r="W18" s="4" t="s">
        <v>812</v>
      </c>
      <c r="X18" s="4" t="s">
        <v>813</v>
      </c>
      <c r="Y18" s="4" t="s">
        <v>814</v>
      </c>
      <c r="Z18" s="4" t="s">
        <v>815</v>
      </c>
      <c r="AA18" s="4" t="s">
        <v>47</v>
      </c>
      <c r="AB18" s="4" t="s">
        <v>47</v>
      </c>
      <c r="AC18" s="4" t="s">
        <v>47</v>
      </c>
      <c r="AD18" s="4" t="s">
        <v>47</v>
      </c>
      <c r="AE18" s="4" t="s">
        <v>47</v>
      </c>
      <c r="AF18" s="4" t="s">
        <v>47</v>
      </c>
      <c r="AG18" s="4" t="s">
        <v>47</v>
      </c>
      <c r="AH18" s="4" t="s">
        <v>47</v>
      </c>
      <c r="AI18" s="4" t="s">
        <v>47</v>
      </c>
      <c r="AJ18" s="4" t="s">
        <v>47</v>
      </c>
      <c r="AK18" s="4" t="s">
        <v>47</v>
      </c>
      <c r="AL18" s="4" t="s">
        <v>47</v>
      </c>
      <c r="AM18" s="4" t="s">
        <v>47</v>
      </c>
      <c r="AN18" s="4" t="s">
        <v>47</v>
      </c>
      <c r="AO18" s="4" t="s">
        <v>816</v>
      </c>
      <c r="AP18" s="4" t="s">
        <v>47</v>
      </c>
      <c r="AQ18" s="4" t="s">
        <v>817</v>
      </c>
      <c r="AR18" s="4" t="s">
        <v>818</v>
      </c>
    </row>
    <row r="19" spans="1:44" x14ac:dyDescent="0.2">
      <c r="A19" s="4" t="s">
        <v>264</v>
      </c>
      <c r="B19" s="4" t="s">
        <v>121</v>
      </c>
      <c r="C19">
        <v>0</v>
      </c>
      <c r="D19">
        <v>1.6</v>
      </c>
      <c r="F19">
        <v>2</v>
      </c>
      <c r="G19">
        <v>1.8</v>
      </c>
      <c r="I19" s="4" t="s">
        <v>819</v>
      </c>
      <c r="J19" s="4" t="s">
        <v>820</v>
      </c>
      <c r="K19" s="4" t="s">
        <v>821</v>
      </c>
      <c r="L19" s="4" t="s">
        <v>822</v>
      </c>
      <c r="M19">
        <v>43443</v>
      </c>
      <c r="N19" s="4" t="s">
        <v>738</v>
      </c>
      <c r="O19" s="4" t="s">
        <v>823</v>
      </c>
      <c r="P19" s="4" t="s">
        <v>811</v>
      </c>
      <c r="Q19" s="9">
        <v>44897</v>
      </c>
      <c r="R19" s="4" t="s">
        <v>824</v>
      </c>
      <c r="S19" s="4" t="s">
        <v>825</v>
      </c>
      <c r="T19" s="4" t="s">
        <v>47</v>
      </c>
      <c r="U19" s="4" t="s">
        <v>86</v>
      </c>
      <c r="V19">
        <v>2022</v>
      </c>
      <c r="W19" s="4" t="s">
        <v>47</v>
      </c>
      <c r="X19" s="4" t="s">
        <v>826</v>
      </c>
      <c r="Y19" s="4" t="s">
        <v>47</v>
      </c>
      <c r="Z19" s="4" t="s">
        <v>827</v>
      </c>
      <c r="AA19" s="4" t="s">
        <v>47</v>
      </c>
      <c r="AB19" s="4" t="s">
        <v>47</v>
      </c>
      <c r="AC19" s="4" t="s">
        <v>47</v>
      </c>
      <c r="AD19" s="4" t="s">
        <v>47</v>
      </c>
      <c r="AE19" s="4" t="s">
        <v>828</v>
      </c>
      <c r="AF19" s="4" t="s">
        <v>47</v>
      </c>
      <c r="AG19" s="4" t="s">
        <v>47</v>
      </c>
      <c r="AH19" s="4" t="s">
        <v>47</v>
      </c>
      <c r="AI19" s="4" t="s">
        <v>47</v>
      </c>
      <c r="AJ19" s="4" t="s">
        <v>47</v>
      </c>
      <c r="AK19" s="4" t="s">
        <v>47</v>
      </c>
      <c r="AL19" s="4" t="s">
        <v>47</v>
      </c>
      <c r="AM19" s="4" t="s">
        <v>47</v>
      </c>
      <c r="AN19" s="4" t="s">
        <v>47</v>
      </c>
      <c r="AO19" s="4" t="s">
        <v>829</v>
      </c>
      <c r="AP19" s="4" t="s">
        <v>830</v>
      </c>
      <c r="AQ19" s="4" t="s">
        <v>831</v>
      </c>
      <c r="AR19" s="4" t="s">
        <v>832</v>
      </c>
    </row>
    <row r="20" spans="1:44" x14ac:dyDescent="0.2">
      <c r="A20" s="4" t="s">
        <v>209</v>
      </c>
      <c r="B20" s="4" t="s">
        <v>12</v>
      </c>
      <c r="C20">
        <v>1</v>
      </c>
      <c r="D20">
        <v>0.5</v>
      </c>
      <c r="F20">
        <v>0</v>
      </c>
      <c r="G20">
        <v>2.5</v>
      </c>
      <c r="I20" s="4" t="s">
        <v>833</v>
      </c>
      <c r="J20" s="4" t="s">
        <v>834</v>
      </c>
      <c r="K20" s="4" t="s">
        <v>674</v>
      </c>
      <c r="L20" s="4" t="s">
        <v>835</v>
      </c>
      <c r="M20">
        <v>85986</v>
      </c>
      <c r="N20" s="4" t="s">
        <v>591</v>
      </c>
      <c r="O20" s="4" t="s">
        <v>836</v>
      </c>
      <c r="P20" s="4" t="s">
        <v>811</v>
      </c>
      <c r="Q20" s="9">
        <v>44897</v>
      </c>
      <c r="R20" s="4" t="s">
        <v>652</v>
      </c>
      <c r="S20" s="4" t="s">
        <v>741</v>
      </c>
      <c r="T20" s="4" t="s">
        <v>47</v>
      </c>
      <c r="U20" s="4" t="s">
        <v>86</v>
      </c>
      <c r="V20">
        <v>2022</v>
      </c>
      <c r="W20" s="4" t="s">
        <v>837</v>
      </c>
      <c r="X20" s="4" t="s">
        <v>47</v>
      </c>
      <c r="Y20" s="4" t="s">
        <v>838</v>
      </c>
      <c r="Z20" s="4" t="s">
        <v>47</v>
      </c>
      <c r="AA20" s="4" t="s">
        <v>47</v>
      </c>
      <c r="AB20" s="4" t="s">
        <v>47</v>
      </c>
      <c r="AC20" s="4" t="s">
        <v>47</v>
      </c>
      <c r="AD20" s="4" t="s">
        <v>47</v>
      </c>
      <c r="AE20" s="4" t="s">
        <v>47</v>
      </c>
      <c r="AF20" s="4" t="s">
        <v>47</v>
      </c>
      <c r="AG20" s="4" t="s">
        <v>47</v>
      </c>
      <c r="AH20" s="4" t="s">
        <v>47</v>
      </c>
      <c r="AI20" s="4" t="s">
        <v>47</v>
      </c>
      <c r="AJ20" s="4" t="s">
        <v>47</v>
      </c>
      <c r="AK20" s="4" t="s">
        <v>47</v>
      </c>
      <c r="AL20" s="4" t="s">
        <v>47</v>
      </c>
      <c r="AM20" s="4" t="s">
        <v>839</v>
      </c>
      <c r="AN20" s="4" t="s">
        <v>47</v>
      </c>
      <c r="AO20" s="4" t="s">
        <v>840</v>
      </c>
      <c r="AP20" s="4" t="s">
        <v>841</v>
      </c>
      <c r="AQ20" s="4" t="s">
        <v>842</v>
      </c>
      <c r="AR20" s="4" t="s">
        <v>843</v>
      </c>
    </row>
    <row r="21" spans="1:44" x14ac:dyDescent="0.2">
      <c r="A21" s="4" t="s">
        <v>207</v>
      </c>
      <c r="B21" s="4" t="s">
        <v>118</v>
      </c>
      <c r="C21">
        <v>2</v>
      </c>
      <c r="D21">
        <v>1.3</v>
      </c>
      <c r="F21">
        <v>3</v>
      </c>
      <c r="G21">
        <v>2.7</v>
      </c>
      <c r="I21" s="4" t="s">
        <v>844</v>
      </c>
      <c r="J21" s="4" t="s">
        <v>845</v>
      </c>
      <c r="K21" s="4" t="s">
        <v>725</v>
      </c>
      <c r="L21" s="4" t="s">
        <v>726</v>
      </c>
      <c r="M21">
        <v>41378</v>
      </c>
      <c r="N21" s="4" t="s">
        <v>755</v>
      </c>
      <c r="O21" s="4" t="s">
        <v>846</v>
      </c>
      <c r="P21" s="4" t="s">
        <v>811</v>
      </c>
      <c r="Q21" s="9">
        <v>44897</v>
      </c>
      <c r="R21" s="4" t="s">
        <v>847</v>
      </c>
      <c r="S21" s="4" t="s">
        <v>716</v>
      </c>
      <c r="T21" s="4" t="s">
        <v>47</v>
      </c>
      <c r="U21" s="4" t="s">
        <v>86</v>
      </c>
      <c r="V21">
        <v>2022</v>
      </c>
      <c r="W21" s="4" t="s">
        <v>848</v>
      </c>
      <c r="X21" s="4" t="s">
        <v>849</v>
      </c>
      <c r="Y21" s="4" t="s">
        <v>850</v>
      </c>
      <c r="Z21" s="4" t="s">
        <v>851</v>
      </c>
      <c r="AA21" s="4" t="s">
        <v>47</v>
      </c>
      <c r="AB21" s="4" t="s">
        <v>47</v>
      </c>
      <c r="AC21" s="4" t="s">
        <v>47</v>
      </c>
      <c r="AD21" s="4" t="s">
        <v>47</v>
      </c>
      <c r="AE21" s="4" t="s">
        <v>47</v>
      </c>
      <c r="AF21" s="4" t="s">
        <v>47</v>
      </c>
      <c r="AG21" s="4" t="s">
        <v>47</v>
      </c>
      <c r="AH21" s="4" t="s">
        <v>47</v>
      </c>
      <c r="AI21" s="4" t="s">
        <v>47</v>
      </c>
      <c r="AJ21" s="4" t="s">
        <v>47</v>
      </c>
      <c r="AK21" s="4" t="s">
        <v>47</v>
      </c>
      <c r="AL21" s="4" t="s">
        <v>47</v>
      </c>
      <c r="AM21" s="4" t="s">
        <v>47</v>
      </c>
      <c r="AN21" s="4" t="s">
        <v>47</v>
      </c>
      <c r="AO21" s="4" t="s">
        <v>852</v>
      </c>
      <c r="AP21" s="4" t="s">
        <v>853</v>
      </c>
      <c r="AQ21" s="4" t="s">
        <v>854</v>
      </c>
      <c r="AR21" s="4" t="s">
        <v>855</v>
      </c>
    </row>
    <row r="22" spans="1:44" x14ac:dyDescent="0.2">
      <c r="A22" s="4" t="s">
        <v>185</v>
      </c>
      <c r="B22" s="4" t="s">
        <v>144</v>
      </c>
      <c r="C22">
        <v>1</v>
      </c>
      <c r="D22">
        <v>1.4</v>
      </c>
      <c r="F22">
        <v>2</v>
      </c>
      <c r="G22">
        <v>0.5</v>
      </c>
      <c r="I22" s="4" t="s">
        <v>856</v>
      </c>
      <c r="J22" s="4" t="s">
        <v>857</v>
      </c>
      <c r="K22" s="4" t="s">
        <v>612</v>
      </c>
      <c r="L22" s="4" t="s">
        <v>626</v>
      </c>
      <c r="M22">
        <v>43102</v>
      </c>
      <c r="N22" s="4" t="s">
        <v>649</v>
      </c>
      <c r="O22" s="4" t="s">
        <v>858</v>
      </c>
      <c r="P22" s="4" t="s">
        <v>811</v>
      </c>
      <c r="Q22" s="9">
        <v>44896</v>
      </c>
      <c r="R22" s="4" t="s">
        <v>664</v>
      </c>
      <c r="S22" s="4" t="s">
        <v>859</v>
      </c>
      <c r="T22" s="4" t="s">
        <v>47</v>
      </c>
      <c r="U22" s="4" t="s">
        <v>86</v>
      </c>
      <c r="V22">
        <v>2022</v>
      </c>
      <c r="W22" s="4" t="s">
        <v>47</v>
      </c>
      <c r="X22" s="4" t="s">
        <v>860</v>
      </c>
      <c r="Y22" s="4" t="s">
        <v>47</v>
      </c>
      <c r="Z22" s="4" t="s">
        <v>861</v>
      </c>
      <c r="AA22" s="4" t="s">
        <v>862</v>
      </c>
      <c r="AB22" s="4" t="s">
        <v>47</v>
      </c>
      <c r="AC22" s="4" t="s">
        <v>47</v>
      </c>
      <c r="AD22" s="4" t="s">
        <v>47</v>
      </c>
      <c r="AE22" s="4" t="s">
        <v>47</v>
      </c>
      <c r="AF22" s="4" t="s">
        <v>47</v>
      </c>
      <c r="AG22" s="4" t="s">
        <v>47</v>
      </c>
      <c r="AH22" s="4" t="s">
        <v>47</v>
      </c>
      <c r="AI22" s="4" t="s">
        <v>47</v>
      </c>
      <c r="AJ22" s="4" t="s">
        <v>47</v>
      </c>
      <c r="AK22" s="4" t="s">
        <v>47</v>
      </c>
      <c r="AL22" s="4" t="s">
        <v>47</v>
      </c>
      <c r="AM22" s="4" t="s">
        <v>47</v>
      </c>
      <c r="AN22" s="4" t="s">
        <v>47</v>
      </c>
      <c r="AO22" s="4" t="s">
        <v>863</v>
      </c>
      <c r="AP22" s="4" t="s">
        <v>47</v>
      </c>
      <c r="AQ22" s="4" t="s">
        <v>864</v>
      </c>
      <c r="AR22" s="4" t="s">
        <v>865</v>
      </c>
    </row>
    <row r="23" spans="1:44" x14ac:dyDescent="0.2">
      <c r="A23" s="4" t="s">
        <v>90</v>
      </c>
      <c r="B23" s="4" t="s">
        <v>148</v>
      </c>
      <c r="C23">
        <v>0</v>
      </c>
      <c r="D23">
        <v>0.7</v>
      </c>
      <c r="F23">
        <v>0</v>
      </c>
      <c r="G23">
        <v>3</v>
      </c>
      <c r="I23" s="4" t="s">
        <v>610</v>
      </c>
      <c r="J23" s="4" t="s">
        <v>611</v>
      </c>
      <c r="K23" s="4" t="s">
        <v>866</v>
      </c>
      <c r="L23" s="4" t="s">
        <v>867</v>
      </c>
      <c r="M23">
        <v>43984</v>
      </c>
      <c r="N23" s="4" t="s">
        <v>800</v>
      </c>
      <c r="O23" s="4" t="s">
        <v>868</v>
      </c>
      <c r="P23" s="4" t="s">
        <v>811</v>
      </c>
      <c r="Q23" s="9">
        <v>44896</v>
      </c>
      <c r="R23" s="4" t="s">
        <v>869</v>
      </c>
      <c r="S23" s="4" t="s">
        <v>870</v>
      </c>
      <c r="T23" s="4" t="s">
        <v>47</v>
      </c>
      <c r="U23" s="4" t="s">
        <v>86</v>
      </c>
      <c r="V23">
        <v>2022</v>
      </c>
      <c r="W23" s="4" t="s">
        <v>47</v>
      </c>
      <c r="X23" s="4" t="s">
        <v>47</v>
      </c>
      <c r="Y23" s="4" t="s">
        <v>47</v>
      </c>
      <c r="Z23" s="4" t="s">
        <v>47</v>
      </c>
      <c r="AA23" s="4" t="s">
        <v>47</v>
      </c>
      <c r="AB23" s="4" t="s">
        <v>47</v>
      </c>
      <c r="AC23" s="4" t="s">
        <v>47</v>
      </c>
      <c r="AD23" s="4" t="s">
        <v>47</v>
      </c>
      <c r="AE23" s="4" t="s">
        <v>47</v>
      </c>
      <c r="AF23" s="4" t="s">
        <v>47</v>
      </c>
      <c r="AG23" s="4" t="s">
        <v>47</v>
      </c>
      <c r="AH23" s="4" t="s">
        <v>47</v>
      </c>
      <c r="AI23" s="4" t="s">
        <v>47</v>
      </c>
      <c r="AJ23" s="4" t="s">
        <v>47</v>
      </c>
      <c r="AK23" s="4" t="s">
        <v>47</v>
      </c>
      <c r="AL23" s="4" t="s">
        <v>47</v>
      </c>
      <c r="AM23" s="4" t="s">
        <v>47</v>
      </c>
      <c r="AN23" s="4" t="s">
        <v>47</v>
      </c>
      <c r="AO23" s="4" t="s">
        <v>47</v>
      </c>
      <c r="AP23" s="4" t="s">
        <v>871</v>
      </c>
      <c r="AQ23" s="4" t="s">
        <v>872</v>
      </c>
      <c r="AR23" s="4" t="s">
        <v>873</v>
      </c>
    </row>
    <row r="24" spans="1:44" x14ac:dyDescent="0.2">
      <c r="A24" s="4" t="s">
        <v>225</v>
      </c>
      <c r="B24" s="4" t="s">
        <v>92</v>
      </c>
      <c r="C24">
        <v>2</v>
      </c>
      <c r="D24">
        <v>1.3</v>
      </c>
      <c r="F24">
        <v>4</v>
      </c>
      <c r="G24">
        <v>5.7</v>
      </c>
      <c r="I24" s="4" t="s">
        <v>874</v>
      </c>
      <c r="J24" s="4" t="s">
        <v>875</v>
      </c>
      <c r="K24" s="4" t="s">
        <v>876</v>
      </c>
      <c r="L24" s="4" t="s">
        <v>877</v>
      </c>
      <c r="M24">
        <v>67054</v>
      </c>
      <c r="N24" s="4" t="s">
        <v>627</v>
      </c>
      <c r="O24" s="4" t="s">
        <v>878</v>
      </c>
      <c r="P24" s="4" t="s">
        <v>811</v>
      </c>
      <c r="Q24" s="9">
        <v>44896</v>
      </c>
      <c r="R24" s="4" t="s">
        <v>879</v>
      </c>
      <c r="S24" s="4" t="s">
        <v>880</v>
      </c>
      <c r="T24" s="4" t="s">
        <v>47</v>
      </c>
      <c r="U24" s="4" t="s">
        <v>86</v>
      </c>
      <c r="V24">
        <v>2022</v>
      </c>
      <c r="W24" s="4" t="s">
        <v>881</v>
      </c>
      <c r="X24" s="4" t="s">
        <v>882</v>
      </c>
      <c r="Y24" s="4" t="s">
        <v>883</v>
      </c>
      <c r="Z24" s="4" t="s">
        <v>884</v>
      </c>
      <c r="AA24" s="4" t="s">
        <v>885</v>
      </c>
      <c r="AB24" s="4" t="s">
        <v>47</v>
      </c>
      <c r="AC24" s="4" t="s">
        <v>47</v>
      </c>
      <c r="AD24" s="4" t="s">
        <v>47</v>
      </c>
      <c r="AE24" s="4" t="s">
        <v>47</v>
      </c>
      <c r="AF24" s="4" t="s">
        <v>47</v>
      </c>
      <c r="AG24" s="4" t="s">
        <v>47</v>
      </c>
      <c r="AH24" s="4" t="s">
        <v>47</v>
      </c>
      <c r="AI24" s="4" t="s">
        <v>47</v>
      </c>
      <c r="AJ24" s="4" t="s">
        <v>47</v>
      </c>
      <c r="AK24" s="4" t="s">
        <v>47</v>
      </c>
      <c r="AL24" s="4" t="s">
        <v>47</v>
      </c>
      <c r="AM24" s="4" t="s">
        <v>47</v>
      </c>
      <c r="AN24" s="4" t="s">
        <v>47</v>
      </c>
      <c r="AO24" s="4" t="s">
        <v>886</v>
      </c>
      <c r="AP24" s="4" t="s">
        <v>47</v>
      </c>
      <c r="AQ24" s="4" t="s">
        <v>887</v>
      </c>
      <c r="AR24" s="4" t="s">
        <v>888</v>
      </c>
    </row>
    <row r="25" spans="1:44" x14ac:dyDescent="0.2">
      <c r="A25" s="4" t="s">
        <v>161</v>
      </c>
      <c r="B25" s="4" t="s">
        <v>20</v>
      </c>
      <c r="C25">
        <v>2</v>
      </c>
      <c r="D25">
        <v>1.4</v>
      </c>
      <c r="F25">
        <v>1</v>
      </c>
      <c r="G25">
        <v>1</v>
      </c>
      <c r="I25" s="4" t="s">
        <v>736</v>
      </c>
      <c r="J25" s="4" t="s">
        <v>737</v>
      </c>
      <c r="K25" s="4" t="s">
        <v>711</v>
      </c>
      <c r="L25" s="4" t="s">
        <v>712</v>
      </c>
      <c r="M25">
        <v>44851</v>
      </c>
      <c r="N25" s="4" t="s">
        <v>614</v>
      </c>
      <c r="O25" s="4" t="s">
        <v>889</v>
      </c>
      <c r="P25" s="4" t="s">
        <v>811</v>
      </c>
      <c r="Q25" s="9">
        <v>44896</v>
      </c>
      <c r="R25" s="4" t="s">
        <v>617</v>
      </c>
      <c r="S25" s="4" t="s">
        <v>890</v>
      </c>
      <c r="T25" s="4" t="s">
        <v>47</v>
      </c>
      <c r="U25" s="4" t="s">
        <v>86</v>
      </c>
      <c r="V25">
        <v>2022</v>
      </c>
      <c r="W25" s="4" t="s">
        <v>891</v>
      </c>
      <c r="X25" s="4" t="s">
        <v>892</v>
      </c>
      <c r="Y25" s="4" t="s">
        <v>893</v>
      </c>
      <c r="Z25" s="4" t="s">
        <v>894</v>
      </c>
      <c r="AA25" s="4" t="s">
        <v>47</v>
      </c>
      <c r="AB25" s="4" t="s">
        <v>47</v>
      </c>
      <c r="AC25" s="4" t="s">
        <v>47</v>
      </c>
      <c r="AD25" s="4" t="s">
        <v>47</v>
      </c>
      <c r="AE25" s="4" t="s">
        <v>47</v>
      </c>
      <c r="AF25" s="4" t="s">
        <v>47</v>
      </c>
      <c r="AG25" s="4" t="s">
        <v>47</v>
      </c>
      <c r="AH25" s="4" t="s">
        <v>47</v>
      </c>
      <c r="AI25" s="4" t="s">
        <v>47</v>
      </c>
      <c r="AJ25" s="4" t="s">
        <v>47</v>
      </c>
      <c r="AK25" s="4" t="s">
        <v>47</v>
      </c>
      <c r="AL25" s="4" t="s">
        <v>47</v>
      </c>
      <c r="AM25" s="4" t="s">
        <v>47</v>
      </c>
      <c r="AN25" s="4" t="s">
        <v>47</v>
      </c>
      <c r="AO25" s="4" t="s">
        <v>895</v>
      </c>
      <c r="AP25" s="4" t="s">
        <v>47</v>
      </c>
      <c r="AQ25" s="4" t="s">
        <v>896</v>
      </c>
      <c r="AR25" s="4" t="s">
        <v>897</v>
      </c>
    </row>
    <row r="26" spans="1:44" x14ac:dyDescent="0.2">
      <c r="A26" s="4" t="s">
        <v>179</v>
      </c>
      <c r="B26" s="4" t="s">
        <v>167</v>
      </c>
      <c r="C26">
        <v>1</v>
      </c>
      <c r="D26">
        <v>0.6</v>
      </c>
      <c r="F26">
        <v>0</v>
      </c>
      <c r="G26">
        <v>0.6</v>
      </c>
      <c r="I26" s="4" t="s">
        <v>798</v>
      </c>
      <c r="J26" s="4" t="s">
        <v>799</v>
      </c>
      <c r="K26" s="4" t="s">
        <v>898</v>
      </c>
      <c r="L26" s="4" t="s">
        <v>899</v>
      </c>
      <c r="M26">
        <v>41232</v>
      </c>
      <c r="N26" s="4" t="s">
        <v>738</v>
      </c>
      <c r="O26" s="4" t="s">
        <v>900</v>
      </c>
      <c r="P26" s="4" t="s">
        <v>811</v>
      </c>
      <c r="Q26" s="9">
        <v>44895</v>
      </c>
      <c r="R26" s="4" t="s">
        <v>652</v>
      </c>
      <c r="S26" s="4" t="s">
        <v>901</v>
      </c>
      <c r="T26" s="4" t="s">
        <v>47</v>
      </c>
      <c r="U26" s="4" t="s">
        <v>86</v>
      </c>
      <c r="V26">
        <v>2022</v>
      </c>
      <c r="W26" s="4" t="s">
        <v>902</v>
      </c>
      <c r="X26" s="4" t="s">
        <v>47</v>
      </c>
      <c r="Y26" s="4" t="s">
        <v>903</v>
      </c>
      <c r="Z26" s="4" t="s">
        <v>47</v>
      </c>
      <c r="AA26" s="4" t="s">
        <v>47</v>
      </c>
      <c r="AB26" s="4" t="s">
        <v>47</v>
      </c>
      <c r="AC26" s="4" t="s">
        <v>47</v>
      </c>
      <c r="AD26" s="4" t="s">
        <v>47</v>
      </c>
      <c r="AE26" s="4" t="s">
        <v>47</v>
      </c>
      <c r="AF26" s="4" t="s">
        <v>47</v>
      </c>
      <c r="AG26" s="4" t="s">
        <v>47</v>
      </c>
      <c r="AH26" s="4" t="s">
        <v>47</v>
      </c>
      <c r="AI26" s="4" t="s">
        <v>47</v>
      </c>
      <c r="AJ26" s="4" t="s">
        <v>47</v>
      </c>
      <c r="AK26" s="4" t="s">
        <v>47</v>
      </c>
      <c r="AL26" s="4" t="s">
        <v>47</v>
      </c>
      <c r="AM26" s="4" t="s">
        <v>47</v>
      </c>
      <c r="AN26" s="4" t="s">
        <v>47</v>
      </c>
      <c r="AO26" s="4" t="s">
        <v>904</v>
      </c>
      <c r="AP26" s="4" t="s">
        <v>905</v>
      </c>
      <c r="AQ26" s="4" t="s">
        <v>906</v>
      </c>
      <c r="AR26" s="4" t="s">
        <v>907</v>
      </c>
    </row>
    <row r="27" spans="1:44" x14ac:dyDescent="0.2">
      <c r="A27" s="4" t="s">
        <v>213</v>
      </c>
      <c r="B27" s="4" t="s">
        <v>87</v>
      </c>
      <c r="C27">
        <v>1</v>
      </c>
      <c r="D27">
        <v>0.5</v>
      </c>
      <c r="F27">
        <v>0</v>
      </c>
      <c r="G27">
        <v>0.8</v>
      </c>
      <c r="I27" s="4" t="s">
        <v>908</v>
      </c>
      <c r="J27" s="4" t="s">
        <v>909</v>
      </c>
      <c r="K27" s="4" t="s">
        <v>589</v>
      </c>
      <c r="L27" s="4" t="s">
        <v>910</v>
      </c>
      <c r="M27">
        <v>43627</v>
      </c>
      <c r="N27" s="4" t="s">
        <v>676</v>
      </c>
      <c r="O27" s="4" t="s">
        <v>911</v>
      </c>
      <c r="P27" s="4" t="s">
        <v>811</v>
      </c>
      <c r="Q27" s="9">
        <v>44895</v>
      </c>
      <c r="R27" s="4" t="s">
        <v>652</v>
      </c>
      <c r="S27" s="4" t="s">
        <v>912</v>
      </c>
      <c r="T27" s="4" t="s">
        <v>47</v>
      </c>
      <c r="U27" s="4" t="s">
        <v>86</v>
      </c>
      <c r="V27">
        <v>2022</v>
      </c>
      <c r="W27" s="4" t="s">
        <v>913</v>
      </c>
      <c r="X27" s="4" t="s">
        <v>47</v>
      </c>
      <c r="Y27" s="4" t="s">
        <v>914</v>
      </c>
      <c r="Z27" s="4" t="s">
        <v>47</v>
      </c>
      <c r="AA27" s="4" t="s">
        <v>47</v>
      </c>
      <c r="AB27" s="4" t="s">
        <v>47</v>
      </c>
      <c r="AC27" s="4" t="s">
        <v>47</v>
      </c>
      <c r="AD27" s="4" t="s">
        <v>47</v>
      </c>
      <c r="AE27" s="4" t="s">
        <v>47</v>
      </c>
      <c r="AF27" s="4" t="s">
        <v>47</v>
      </c>
      <c r="AG27" s="4" t="s">
        <v>47</v>
      </c>
      <c r="AH27" s="4" t="s">
        <v>47</v>
      </c>
      <c r="AI27" s="4" t="s">
        <v>47</v>
      </c>
      <c r="AJ27" s="4" t="s">
        <v>47</v>
      </c>
      <c r="AK27" s="4" t="s">
        <v>47</v>
      </c>
      <c r="AL27" s="4" t="s">
        <v>47</v>
      </c>
      <c r="AM27" s="4" t="s">
        <v>47</v>
      </c>
      <c r="AN27" s="4" t="s">
        <v>47</v>
      </c>
      <c r="AO27" s="4" t="s">
        <v>915</v>
      </c>
      <c r="AP27" s="4" t="s">
        <v>47</v>
      </c>
      <c r="AQ27" s="4" t="s">
        <v>916</v>
      </c>
      <c r="AR27" s="4" t="s">
        <v>917</v>
      </c>
    </row>
    <row r="28" spans="1:44" x14ac:dyDescent="0.2">
      <c r="A28" s="4" t="s">
        <v>240</v>
      </c>
      <c r="B28" s="4" t="s">
        <v>106</v>
      </c>
      <c r="C28">
        <v>1</v>
      </c>
      <c r="D28">
        <v>1.1000000000000001</v>
      </c>
      <c r="F28">
        <v>2</v>
      </c>
      <c r="G28">
        <v>2.2999999999999998</v>
      </c>
      <c r="I28" s="4" t="s">
        <v>918</v>
      </c>
      <c r="J28" s="4" t="s">
        <v>919</v>
      </c>
      <c r="K28" s="4" t="s">
        <v>920</v>
      </c>
      <c r="L28" s="4" t="s">
        <v>921</v>
      </c>
      <c r="M28">
        <v>84985</v>
      </c>
      <c r="N28" s="4" t="s">
        <v>591</v>
      </c>
      <c r="O28" s="4" t="s">
        <v>922</v>
      </c>
      <c r="P28" s="4" t="s">
        <v>811</v>
      </c>
      <c r="Q28" s="9">
        <v>44895</v>
      </c>
      <c r="R28" s="4" t="s">
        <v>664</v>
      </c>
      <c r="S28" s="4" t="s">
        <v>679</v>
      </c>
      <c r="T28" s="4" t="s">
        <v>47</v>
      </c>
      <c r="U28" s="4" t="s">
        <v>86</v>
      </c>
      <c r="V28">
        <v>2022</v>
      </c>
      <c r="W28" s="4" t="s">
        <v>923</v>
      </c>
      <c r="X28" s="4" t="s">
        <v>924</v>
      </c>
      <c r="Y28" s="4" t="s">
        <v>925</v>
      </c>
      <c r="Z28" s="4" t="s">
        <v>926</v>
      </c>
      <c r="AA28" s="4" t="s">
        <v>47</v>
      </c>
      <c r="AB28" s="4" t="s">
        <v>47</v>
      </c>
      <c r="AC28" s="4" t="s">
        <v>47</v>
      </c>
      <c r="AD28" s="4" t="s">
        <v>47</v>
      </c>
      <c r="AE28" s="4" t="s">
        <v>47</v>
      </c>
      <c r="AF28" s="4" t="s">
        <v>47</v>
      </c>
      <c r="AG28" s="4" t="s">
        <v>47</v>
      </c>
      <c r="AH28" s="4" t="s">
        <v>47</v>
      </c>
      <c r="AI28" s="4" t="s">
        <v>47</v>
      </c>
      <c r="AJ28" s="4" t="s">
        <v>47</v>
      </c>
      <c r="AK28" s="4" t="s">
        <v>47</v>
      </c>
      <c r="AL28" s="4" t="s">
        <v>47</v>
      </c>
      <c r="AM28" s="4" t="s">
        <v>47</v>
      </c>
      <c r="AN28" s="4" t="s">
        <v>47</v>
      </c>
      <c r="AO28" s="4" t="s">
        <v>927</v>
      </c>
      <c r="AP28" s="4" t="s">
        <v>928</v>
      </c>
      <c r="AQ28" s="4" t="s">
        <v>929</v>
      </c>
      <c r="AR28" s="4" t="s">
        <v>930</v>
      </c>
    </row>
    <row r="29" spans="1:44" x14ac:dyDescent="0.2">
      <c r="A29" s="4" t="s">
        <v>195</v>
      </c>
      <c r="B29" s="4" t="s">
        <v>26</v>
      </c>
      <c r="C29">
        <v>0</v>
      </c>
      <c r="D29">
        <v>0.3</v>
      </c>
      <c r="F29">
        <v>2</v>
      </c>
      <c r="G29">
        <v>3.5</v>
      </c>
      <c r="I29" s="4" t="s">
        <v>767</v>
      </c>
      <c r="J29" s="4" t="s">
        <v>768</v>
      </c>
      <c r="K29" s="4" t="s">
        <v>587</v>
      </c>
      <c r="L29" s="4" t="s">
        <v>588</v>
      </c>
      <c r="M29">
        <v>44089</v>
      </c>
      <c r="N29" s="4" t="s">
        <v>755</v>
      </c>
      <c r="O29" s="4" t="s">
        <v>931</v>
      </c>
      <c r="P29" s="4" t="s">
        <v>811</v>
      </c>
      <c r="Q29" s="9">
        <v>44895</v>
      </c>
      <c r="R29" s="4" t="s">
        <v>824</v>
      </c>
      <c r="S29" s="4" t="s">
        <v>932</v>
      </c>
      <c r="T29" s="4" t="s">
        <v>47</v>
      </c>
      <c r="U29" s="4" t="s">
        <v>86</v>
      </c>
      <c r="V29">
        <v>2022</v>
      </c>
      <c r="W29" s="4" t="s">
        <v>47</v>
      </c>
      <c r="X29" s="4" t="s">
        <v>933</v>
      </c>
      <c r="Y29" s="4" t="s">
        <v>47</v>
      </c>
      <c r="Z29" s="4" t="s">
        <v>934</v>
      </c>
      <c r="AA29" s="4" t="s">
        <v>47</v>
      </c>
      <c r="AB29" s="4" t="s">
        <v>47</v>
      </c>
      <c r="AC29" s="4" t="s">
        <v>47</v>
      </c>
      <c r="AD29" s="4" t="s">
        <v>47</v>
      </c>
      <c r="AE29" s="4" t="s">
        <v>47</v>
      </c>
      <c r="AF29" s="4" t="s">
        <v>935</v>
      </c>
      <c r="AG29" s="4" t="s">
        <v>47</v>
      </c>
      <c r="AH29" s="4" t="s">
        <v>47</v>
      </c>
      <c r="AI29" s="4" t="s">
        <v>47</v>
      </c>
      <c r="AJ29" s="4" t="s">
        <v>47</v>
      </c>
      <c r="AK29" s="4" t="s">
        <v>47</v>
      </c>
      <c r="AL29" s="4" t="s">
        <v>47</v>
      </c>
      <c r="AM29" s="4" t="s">
        <v>47</v>
      </c>
      <c r="AN29" s="4" t="s">
        <v>47</v>
      </c>
      <c r="AO29" s="4" t="s">
        <v>936</v>
      </c>
      <c r="AP29" s="4" t="s">
        <v>937</v>
      </c>
      <c r="AQ29" s="4" t="s">
        <v>938</v>
      </c>
      <c r="AR29" s="4" t="s">
        <v>939</v>
      </c>
    </row>
    <row r="30" spans="1:44" x14ac:dyDescent="0.2">
      <c r="A30" s="4" t="s">
        <v>171</v>
      </c>
      <c r="B30" s="4" t="s">
        <v>157</v>
      </c>
      <c r="C30">
        <v>1</v>
      </c>
      <c r="D30">
        <v>0.9</v>
      </c>
      <c r="F30">
        <v>2</v>
      </c>
      <c r="G30">
        <v>2.1</v>
      </c>
      <c r="I30" s="4" t="s">
        <v>940</v>
      </c>
      <c r="J30" s="4" t="s">
        <v>941</v>
      </c>
      <c r="K30" s="4" t="s">
        <v>779</v>
      </c>
      <c r="L30" s="4" t="s">
        <v>780</v>
      </c>
      <c r="M30">
        <v>44569</v>
      </c>
      <c r="N30" s="4" t="s">
        <v>614</v>
      </c>
      <c r="O30" s="4" t="s">
        <v>942</v>
      </c>
      <c r="P30" s="4" t="s">
        <v>811</v>
      </c>
      <c r="Q30" s="9">
        <v>44894</v>
      </c>
      <c r="R30" s="4" t="s">
        <v>664</v>
      </c>
      <c r="S30" s="4" t="s">
        <v>758</v>
      </c>
      <c r="T30" s="4" t="s">
        <v>47</v>
      </c>
      <c r="U30" s="4" t="s">
        <v>86</v>
      </c>
      <c r="V30">
        <v>2022</v>
      </c>
      <c r="W30" s="4" t="s">
        <v>943</v>
      </c>
      <c r="X30" s="4" t="s">
        <v>944</v>
      </c>
      <c r="Y30" s="4" t="s">
        <v>945</v>
      </c>
      <c r="Z30" s="4" t="s">
        <v>946</v>
      </c>
      <c r="AA30" s="4" t="s">
        <v>47</v>
      </c>
      <c r="AB30" s="4" t="s">
        <v>47</v>
      </c>
      <c r="AC30" s="4" t="s">
        <v>47</v>
      </c>
      <c r="AD30" s="4" t="s">
        <v>947</v>
      </c>
      <c r="AE30" s="4" t="s">
        <v>47</v>
      </c>
      <c r="AF30" s="4" t="s">
        <v>47</v>
      </c>
      <c r="AG30" s="4" t="s">
        <v>47</v>
      </c>
      <c r="AH30" s="4" t="s">
        <v>47</v>
      </c>
      <c r="AI30" s="4" t="s">
        <v>47</v>
      </c>
      <c r="AJ30" s="4" t="s">
        <v>47</v>
      </c>
      <c r="AK30" s="4" t="s">
        <v>47</v>
      </c>
      <c r="AL30" s="4" t="s">
        <v>47</v>
      </c>
      <c r="AM30" s="4" t="s">
        <v>47</v>
      </c>
      <c r="AN30" s="4" t="s">
        <v>47</v>
      </c>
      <c r="AO30" s="4" t="s">
        <v>47</v>
      </c>
      <c r="AP30" s="4" t="s">
        <v>948</v>
      </c>
      <c r="AQ30" s="4" t="s">
        <v>949</v>
      </c>
      <c r="AR30" s="4" t="s">
        <v>950</v>
      </c>
    </row>
    <row r="31" spans="1:44" x14ac:dyDescent="0.2">
      <c r="A31" s="4" t="s">
        <v>95</v>
      </c>
      <c r="B31" s="4" t="s">
        <v>86</v>
      </c>
      <c r="C31">
        <v>2</v>
      </c>
      <c r="D31">
        <v>1.6</v>
      </c>
      <c r="F31">
        <v>0</v>
      </c>
      <c r="G31">
        <v>0.1</v>
      </c>
      <c r="I31" s="4" t="s">
        <v>692</v>
      </c>
      <c r="J31" s="4" t="s">
        <v>693</v>
      </c>
      <c r="K31" s="4" t="s">
        <v>951</v>
      </c>
      <c r="L31" s="4" t="s">
        <v>952</v>
      </c>
      <c r="M31">
        <v>66784</v>
      </c>
      <c r="N31" s="4" t="s">
        <v>627</v>
      </c>
      <c r="O31" s="4" t="s">
        <v>953</v>
      </c>
      <c r="P31" s="4" t="s">
        <v>811</v>
      </c>
      <c r="Q31" s="9">
        <v>44894</v>
      </c>
      <c r="R31" s="4" t="s">
        <v>630</v>
      </c>
      <c r="S31" s="4" t="s">
        <v>954</v>
      </c>
      <c r="T31" s="4" t="s">
        <v>47</v>
      </c>
      <c r="U31" s="4" t="s">
        <v>86</v>
      </c>
      <c r="V31">
        <v>2022</v>
      </c>
      <c r="W31" s="4" t="s">
        <v>955</v>
      </c>
      <c r="X31" s="4" t="s">
        <v>47</v>
      </c>
      <c r="Y31" s="4" t="s">
        <v>956</v>
      </c>
      <c r="Z31" s="4" t="s">
        <v>47</v>
      </c>
      <c r="AA31" s="4" t="s">
        <v>47</v>
      </c>
      <c r="AB31" s="4" t="s">
        <v>47</v>
      </c>
      <c r="AC31" s="4" t="s">
        <v>47</v>
      </c>
      <c r="AD31" s="4" t="s">
        <v>47</v>
      </c>
      <c r="AE31" s="4" t="s">
        <v>47</v>
      </c>
      <c r="AF31" s="4" t="s">
        <v>47</v>
      </c>
      <c r="AG31" s="4" t="s">
        <v>47</v>
      </c>
      <c r="AH31" s="4" t="s">
        <v>47</v>
      </c>
      <c r="AI31" s="4" t="s">
        <v>47</v>
      </c>
      <c r="AJ31" s="4" t="s">
        <v>47</v>
      </c>
      <c r="AK31" s="4" t="s">
        <v>47</v>
      </c>
      <c r="AL31" s="4" t="s">
        <v>47</v>
      </c>
      <c r="AM31" s="4" t="s">
        <v>47</v>
      </c>
      <c r="AN31" s="4" t="s">
        <v>47</v>
      </c>
      <c r="AO31" s="4" t="s">
        <v>957</v>
      </c>
      <c r="AP31" s="4" t="s">
        <v>47</v>
      </c>
      <c r="AQ31" s="4" t="s">
        <v>958</v>
      </c>
      <c r="AR31" s="4" t="s">
        <v>959</v>
      </c>
    </row>
    <row r="32" spans="1:44" x14ac:dyDescent="0.2">
      <c r="A32" s="4" t="s">
        <v>165</v>
      </c>
      <c r="B32" s="4" t="s">
        <v>102</v>
      </c>
      <c r="C32">
        <v>0</v>
      </c>
      <c r="D32">
        <v>0.4</v>
      </c>
      <c r="F32">
        <v>1</v>
      </c>
      <c r="G32">
        <v>1.2</v>
      </c>
      <c r="I32" s="4" t="s">
        <v>960</v>
      </c>
      <c r="J32" s="4" t="s">
        <v>961</v>
      </c>
      <c r="K32" s="4" t="s">
        <v>788</v>
      </c>
      <c r="L32" s="4" t="s">
        <v>789</v>
      </c>
      <c r="M32">
        <v>42127</v>
      </c>
      <c r="N32" s="4" t="s">
        <v>649</v>
      </c>
      <c r="O32" s="4" t="s">
        <v>962</v>
      </c>
      <c r="P32" s="4" t="s">
        <v>811</v>
      </c>
      <c r="Q32" s="9">
        <v>44894</v>
      </c>
      <c r="R32" s="4" t="s">
        <v>963</v>
      </c>
      <c r="S32" s="4" t="s">
        <v>696</v>
      </c>
      <c r="T32" s="4" t="s">
        <v>47</v>
      </c>
      <c r="U32" s="4" t="s">
        <v>86</v>
      </c>
      <c r="V32">
        <v>2022</v>
      </c>
      <c r="W32" s="4" t="s">
        <v>47</v>
      </c>
      <c r="X32" s="4" t="s">
        <v>964</v>
      </c>
      <c r="Y32" s="4" t="s">
        <v>47</v>
      </c>
      <c r="Z32" s="4" t="s">
        <v>965</v>
      </c>
      <c r="AA32" s="4" t="s">
        <v>47</v>
      </c>
      <c r="AB32" s="4" t="s">
        <v>47</v>
      </c>
      <c r="AC32" s="4" t="s">
        <v>47</v>
      </c>
      <c r="AD32" s="4" t="s">
        <v>47</v>
      </c>
      <c r="AE32" s="4" t="s">
        <v>47</v>
      </c>
      <c r="AF32" s="4" t="s">
        <v>47</v>
      </c>
      <c r="AG32" s="4" t="s">
        <v>47</v>
      </c>
      <c r="AH32" s="4" t="s">
        <v>47</v>
      </c>
      <c r="AI32" s="4" t="s">
        <v>47</v>
      </c>
      <c r="AJ32" s="4" t="s">
        <v>47</v>
      </c>
      <c r="AK32" s="4" t="s">
        <v>47</v>
      </c>
      <c r="AL32" s="4" t="s">
        <v>47</v>
      </c>
      <c r="AM32" s="4" t="s">
        <v>47</v>
      </c>
      <c r="AN32" s="4" t="s">
        <v>47</v>
      </c>
      <c r="AO32" s="4" t="s">
        <v>966</v>
      </c>
      <c r="AP32" s="4" t="s">
        <v>967</v>
      </c>
      <c r="AQ32" s="4" t="s">
        <v>968</v>
      </c>
      <c r="AR32" s="4" t="s">
        <v>969</v>
      </c>
    </row>
    <row r="33" spans="1:44" x14ac:dyDescent="0.2">
      <c r="A33" s="4" t="s">
        <v>197</v>
      </c>
      <c r="B33" s="4" t="s">
        <v>52</v>
      </c>
      <c r="C33">
        <v>0</v>
      </c>
      <c r="D33">
        <v>0.3</v>
      </c>
      <c r="F33">
        <v>3</v>
      </c>
      <c r="G33">
        <v>2.4</v>
      </c>
      <c r="I33" s="4" t="s">
        <v>970</v>
      </c>
      <c r="J33" s="4" t="s">
        <v>971</v>
      </c>
      <c r="K33" s="4" t="s">
        <v>661</v>
      </c>
      <c r="L33" s="4" t="s">
        <v>662</v>
      </c>
      <c r="M33">
        <v>44297</v>
      </c>
      <c r="N33" s="4" t="s">
        <v>800</v>
      </c>
      <c r="O33" s="4" t="s">
        <v>972</v>
      </c>
      <c r="P33" s="4" t="s">
        <v>811</v>
      </c>
      <c r="Q33" s="9">
        <v>44894</v>
      </c>
      <c r="R33" s="4" t="s">
        <v>973</v>
      </c>
      <c r="S33" s="4" t="s">
        <v>974</v>
      </c>
      <c r="T33" s="4" t="s">
        <v>47</v>
      </c>
      <c r="U33" s="4" t="s">
        <v>86</v>
      </c>
      <c r="V33">
        <v>2022</v>
      </c>
      <c r="W33" s="4" t="s">
        <v>47</v>
      </c>
      <c r="X33" s="4" t="s">
        <v>975</v>
      </c>
      <c r="Y33" s="4" t="s">
        <v>47</v>
      </c>
      <c r="Z33" s="4" t="s">
        <v>976</v>
      </c>
      <c r="AA33" s="4" t="s">
        <v>47</v>
      </c>
      <c r="AB33" s="4" t="s">
        <v>47</v>
      </c>
      <c r="AC33" s="4" t="s">
        <v>47</v>
      </c>
      <c r="AD33" s="4" t="s">
        <v>47</v>
      </c>
      <c r="AE33" s="4" t="s">
        <v>47</v>
      </c>
      <c r="AF33" s="4" t="s">
        <v>47</v>
      </c>
      <c r="AG33" s="4" t="s">
        <v>47</v>
      </c>
      <c r="AH33" s="4" t="s">
        <v>47</v>
      </c>
      <c r="AI33" s="4" t="s">
        <v>47</v>
      </c>
      <c r="AJ33" s="4" t="s">
        <v>47</v>
      </c>
      <c r="AK33" s="4" t="s">
        <v>47</v>
      </c>
      <c r="AL33" s="4" t="s">
        <v>47</v>
      </c>
      <c r="AM33" s="4" t="s">
        <v>47</v>
      </c>
      <c r="AN33" s="4" t="s">
        <v>47</v>
      </c>
      <c r="AO33" s="4" t="s">
        <v>977</v>
      </c>
      <c r="AP33" s="4" t="s">
        <v>47</v>
      </c>
      <c r="AQ33" s="4" t="s">
        <v>978</v>
      </c>
      <c r="AR33" s="4" t="s">
        <v>979</v>
      </c>
    </row>
    <row r="34" spans="1:44" x14ac:dyDescent="0.2">
      <c r="A34" s="4" t="s">
        <v>209</v>
      </c>
      <c r="B34" s="4" t="s">
        <v>207</v>
      </c>
      <c r="C34">
        <v>3</v>
      </c>
      <c r="D34">
        <v>2.2000000000000002</v>
      </c>
      <c r="F34">
        <v>3</v>
      </c>
      <c r="G34">
        <v>1.9</v>
      </c>
      <c r="I34" s="4" t="s">
        <v>833</v>
      </c>
      <c r="J34" s="4" t="s">
        <v>980</v>
      </c>
      <c r="K34" s="4" t="s">
        <v>844</v>
      </c>
      <c r="L34" s="4" t="s">
        <v>845</v>
      </c>
      <c r="M34">
        <v>39789</v>
      </c>
      <c r="N34" s="4" t="s">
        <v>738</v>
      </c>
      <c r="O34" s="4" t="s">
        <v>981</v>
      </c>
      <c r="P34" s="4" t="s">
        <v>811</v>
      </c>
      <c r="Q34" s="9">
        <v>44893</v>
      </c>
      <c r="R34" s="4" t="s">
        <v>982</v>
      </c>
      <c r="S34" s="4" t="s">
        <v>983</v>
      </c>
      <c r="T34" s="4" t="s">
        <v>47</v>
      </c>
      <c r="U34" s="4" t="s">
        <v>86</v>
      </c>
      <c r="V34">
        <v>2022</v>
      </c>
      <c r="W34" s="4" t="s">
        <v>984</v>
      </c>
      <c r="X34" s="4" t="s">
        <v>985</v>
      </c>
      <c r="Y34" s="4" t="s">
        <v>986</v>
      </c>
      <c r="Z34" s="4" t="s">
        <v>987</v>
      </c>
      <c r="AA34" s="4" t="s">
        <v>47</v>
      </c>
      <c r="AB34" s="4" t="s">
        <v>47</v>
      </c>
      <c r="AC34" s="4" t="s">
        <v>47</v>
      </c>
      <c r="AD34" s="4" t="s">
        <v>47</v>
      </c>
      <c r="AE34" s="4" t="s">
        <v>47</v>
      </c>
      <c r="AF34" s="4" t="s">
        <v>47</v>
      </c>
      <c r="AG34" s="4" t="s">
        <v>47</v>
      </c>
      <c r="AH34" s="4" t="s">
        <v>47</v>
      </c>
      <c r="AI34" s="4" t="s">
        <v>47</v>
      </c>
      <c r="AJ34" s="4" t="s">
        <v>47</v>
      </c>
      <c r="AK34" s="4" t="s">
        <v>47</v>
      </c>
      <c r="AL34" s="4" t="s">
        <v>47</v>
      </c>
      <c r="AM34" s="4" t="s">
        <v>47</v>
      </c>
      <c r="AN34" s="4" t="s">
        <v>47</v>
      </c>
      <c r="AO34" s="4" t="s">
        <v>988</v>
      </c>
      <c r="AP34" s="4" t="s">
        <v>989</v>
      </c>
      <c r="AQ34" s="4" t="s">
        <v>990</v>
      </c>
      <c r="AR34" s="4" t="s">
        <v>991</v>
      </c>
    </row>
    <row r="35" spans="1:44" x14ac:dyDescent="0.2">
      <c r="A35" s="4" t="s">
        <v>175</v>
      </c>
      <c r="B35" s="4" t="s">
        <v>264</v>
      </c>
      <c r="C35">
        <v>2</v>
      </c>
      <c r="D35">
        <v>1.8</v>
      </c>
      <c r="F35">
        <v>3</v>
      </c>
      <c r="G35">
        <v>1.6</v>
      </c>
      <c r="I35" s="4" t="s">
        <v>753</v>
      </c>
      <c r="J35" s="4" t="s">
        <v>754</v>
      </c>
      <c r="K35" s="4" t="s">
        <v>819</v>
      </c>
      <c r="L35" s="4" t="s">
        <v>820</v>
      </c>
      <c r="M35">
        <v>43983</v>
      </c>
      <c r="N35" s="4" t="s">
        <v>676</v>
      </c>
      <c r="O35" s="4" t="s">
        <v>992</v>
      </c>
      <c r="P35" s="4" t="s">
        <v>811</v>
      </c>
      <c r="Q35" s="9">
        <v>44893</v>
      </c>
      <c r="R35" s="4" t="s">
        <v>847</v>
      </c>
      <c r="S35" s="4" t="s">
        <v>870</v>
      </c>
      <c r="T35" s="4" t="s">
        <v>47</v>
      </c>
      <c r="U35" s="4" t="s">
        <v>86</v>
      </c>
      <c r="V35">
        <v>2022</v>
      </c>
      <c r="W35" s="4" t="s">
        <v>993</v>
      </c>
      <c r="X35" s="4" t="s">
        <v>994</v>
      </c>
      <c r="Y35" s="4" t="s">
        <v>995</v>
      </c>
      <c r="Z35" s="4" t="s">
        <v>996</v>
      </c>
      <c r="AA35" s="4" t="s">
        <v>47</v>
      </c>
      <c r="AB35" s="4" t="s">
        <v>47</v>
      </c>
      <c r="AC35" s="4" t="s">
        <v>47</v>
      </c>
      <c r="AD35" s="4" t="s">
        <v>47</v>
      </c>
      <c r="AE35" s="4" t="s">
        <v>47</v>
      </c>
      <c r="AF35" s="4" t="s">
        <v>47</v>
      </c>
      <c r="AG35" s="4" t="s">
        <v>47</v>
      </c>
      <c r="AH35" s="4" t="s">
        <v>47</v>
      </c>
      <c r="AI35" s="4" t="s">
        <v>47</v>
      </c>
      <c r="AJ35" s="4" t="s">
        <v>47</v>
      </c>
      <c r="AK35" s="4" t="s">
        <v>997</v>
      </c>
      <c r="AL35" s="4" t="s">
        <v>47</v>
      </c>
      <c r="AM35" s="4" t="s">
        <v>47</v>
      </c>
      <c r="AN35" s="4" t="s">
        <v>47</v>
      </c>
      <c r="AO35" s="4" t="s">
        <v>998</v>
      </c>
      <c r="AP35" s="4" t="s">
        <v>999</v>
      </c>
      <c r="AQ35" s="4" t="s">
        <v>1000</v>
      </c>
      <c r="AR35" s="4" t="s">
        <v>1001</v>
      </c>
    </row>
    <row r="36" spans="1:44" x14ac:dyDescent="0.2">
      <c r="A36" s="4" t="s">
        <v>12</v>
      </c>
      <c r="B36" s="4" t="s">
        <v>118</v>
      </c>
      <c r="C36">
        <v>1</v>
      </c>
      <c r="D36">
        <v>1</v>
      </c>
      <c r="F36">
        <v>0</v>
      </c>
      <c r="G36">
        <v>0.3</v>
      </c>
      <c r="I36" s="4" t="s">
        <v>674</v>
      </c>
      <c r="J36" s="4" t="s">
        <v>675</v>
      </c>
      <c r="K36" s="4" t="s">
        <v>725</v>
      </c>
      <c r="L36" s="4" t="s">
        <v>726</v>
      </c>
      <c r="M36">
        <v>43649</v>
      </c>
      <c r="N36" s="4" t="s">
        <v>755</v>
      </c>
      <c r="O36" s="4" t="s">
        <v>1002</v>
      </c>
      <c r="P36" s="4" t="s">
        <v>811</v>
      </c>
      <c r="Q36" s="9">
        <v>44893</v>
      </c>
      <c r="R36" s="4" t="s">
        <v>652</v>
      </c>
      <c r="S36" s="4" t="s">
        <v>782</v>
      </c>
      <c r="T36" s="4" t="s">
        <v>47</v>
      </c>
      <c r="U36" s="4" t="s">
        <v>86</v>
      </c>
      <c r="V36">
        <v>2022</v>
      </c>
      <c r="W36" s="4" t="s">
        <v>1003</v>
      </c>
      <c r="X36" s="4" t="s">
        <v>47</v>
      </c>
      <c r="Y36" s="4" t="s">
        <v>1004</v>
      </c>
      <c r="Z36" s="4" t="s">
        <v>47</v>
      </c>
      <c r="AA36" s="4" t="s">
        <v>47</v>
      </c>
      <c r="AB36" s="4" t="s">
        <v>47</v>
      </c>
      <c r="AC36" s="4" t="s">
        <v>47</v>
      </c>
      <c r="AD36" s="4" t="s">
        <v>47</v>
      </c>
      <c r="AE36" s="4" t="s">
        <v>47</v>
      </c>
      <c r="AF36" s="4" t="s">
        <v>47</v>
      </c>
      <c r="AG36" s="4" t="s">
        <v>47</v>
      </c>
      <c r="AH36" s="4" t="s">
        <v>47</v>
      </c>
      <c r="AI36" s="4" t="s">
        <v>47</v>
      </c>
      <c r="AJ36" s="4" t="s">
        <v>47</v>
      </c>
      <c r="AK36" s="4" t="s">
        <v>47</v>
      </c>
      <c r="AL36" s="4" t="s">
        <v>47</v>
      </c>
      <c r="AM36" s="4" t="s">
        <v>47</v>
      </c>
      <c r="AN36" s="4" t="s">
        <v>47</v>
      </c>
      <c r="AO36" s="4" t="s">
        <v>1005</v>
      </c>
      <c r="AP36" s="4" t="s">
        <v>1006</v>
      </c>
      <c r="AQ36" s="4" t="s">
        <v>1007</v>
      </c>
      <c r="AR36" s="4" t="s">
        <v>1008</v>
      </c>
    </row>
    <row r="37" spans="1:44" x14ac:dyDescent="0.2">
      <c r="A37" s="4" t="s">
        <v>141</v>
      </c>
      <c r="B37" s="4" t="s">
        <v>121</v>
      </c>
      <c r="C37">
        <v>2</v>
      </c>
      <c r="D37">
        <v>1.3</v>
      </c>
      <c r="F37">
        <v>0</v>
      </c>
      <c r="G37">
        <v>1.3</v>
      </c>
      <c r="I37" s="4" t="s">
        <v>647</v>
      </c>
      <c r="J37" s="4" t="s">
        <v>809</v>
      </c>
      <c r="K37" s="4" t="s">
        <v>821</v>
      </c>
      <c r="L37" s="4" t="s">
        <v>1009</v>
      </c>
      <c r="M37">
        <v>88668</v>
      </c>
      <c r="N37" s="4" t="s">
        <v>591</v>
      </c>
      <c r="O37" s="4" t="s">
        <v>1010</v>
      </c>
      <c r="P37" s="4" t="s">
        <v>811</v>
      </c>
      <c r="Q37" s="9">
        <v>44893</v>
      </c>
      <c r="R37" s="4" t="s">
        <v>630</v>
      </c>
      <c r="S37" s="4" t="s">
        <v>1011</v>
      </c>
      <c r="T37" s="4" t="s">
        <v>47</v>
      </c>
      <c r="U37" s="4" t="s">
        <v>86</v>
      </c>
      <c r="V37">
        <v>2022</v>
      </c>
      <c r="W37" s="4" t="s">
        <v>1012</v>
      </c>
      <c r="X37" s="4" t="s">
        <v>47</v>
      </c>
      <c r="Y37" s="4" t="s">
        <v>1013</v>
      </c>
      <c r="Z37" s="4" t="s">
        <v>47</v>
      </c>
      <c r="AA37" s="4" t="s">
        <v>47</v>
      </c>
      <c r="AB37" s="4" t="s">
        <v>47</v>
      </c>
      <c r="AC37" s="4" t="s">
        <v>1014</v>
      </c>
      <c r="AD37" s="4" t="s">
        <v>47</v>
      </c>
      <c r="AE37" s="4" t="s">
        <v>47</v>
      </c>
      <c r="AF37" s="4" t="s">
        <v>47</v>
      </c>
      <c r="AG37" s="4" t="s">
        <v>47</v>
      </c>
      <c r="AH37" s="4" t="s">
        <v>47</v>
      </c>
      <c r="AI37" s="4" t="s">
        <v>47</v>
      </c>
      <c r="AJ37" s="4" t="s">
        <v>47</v>
      </c>
      <c r="AK37" s="4" t="s">
        <v>47</v>
      </c>
      <c r="AL37" s="4" t="s">
        <v>47</v>
      </c>
      <c r="AM37" s="4" t="s">
        <v>47</v>
      </c>
      <c r="AN37" s="4" t="s">
        <v>47</v>
      </c>
      <c r="AO37" s="4" t="s">
        <v>1015</v>
      </c>
      <c r="AP37" s="4" t="s">
        <v>1016</v>
      </c>
      <c r="AQ37" s="4" t="s">
        <v>1017</v>
      </c>
      <c r="AR37" s="4" t="s">
        <v>1018</v>
      </c>
    </row>
    <row r="38" spans="1:44" x14ac:dyDescent="0.2">
      <c r="A38" s="4" t="s">
        <v>161</v>
      </c>
      <c r="B38" s="4" t="s">
        <v>225</v>
      </c>
      <c r="C38">
        <v>0</v>
      </c>
      <c r="D38">
        <v>0.9</v>
      </c>
      <c r="F38">
        <v>1</v>
      </c>
      <c r="G38">
        <v>0.1</v>
      </c>
      <c r="I38" s="4" t="s">
        <v>736</v>
      </c>
      <c r="J38" s="4" t="s">
        <v>737</v>
      </c>
      <c r="K38" s="4" t="s">
        <v>874</v>
      </c>
      <c r="L38" s="4" t="s">
        <v>875</v>
      </c>
      <c r="M38">
        <v>41479</v>
      </c>
      <c r="N38" s="4" t="s">
        <v>800</v>
      </c>
      <c r="O38" s="4" t="s">
        <v>1019</v>
      </c>
      <c r="P38" s="4" t="s">
        <v>811</v>
      </c>
      <c r="Q38" s="9">
        <v>44892</v>
      </c>
      <c r="R38" s="4" t="s">
        <v>963</v>
      </c>
      <c r="S38" s="4" t="s">
        <v>679</v>
      </c>
      <c r="T38" s="4" t="s">
        <v>47</v>
      </c>
      <c r="U38" s="4" t="s">
        <v>86</v>
      </c>
      <c r="V38">
        <v>2022</v>
      </c>
      <c r="W38" s="4" t="s">
        <v>47</v>
      </c>
      <c r="X38" s="4" t="s">
        <v>1020</v>
      </c>
      <c r="Y38" s="4" t="s">
        <v>47</v>
      </c>
      <c r="Z38" s="4" t="s">
        <v>1021</v>
      </c>
      <c r="AA38" s="4" t="s">
        <v>47</v>
      </c>
      <c r="AB38" s="4" t="s">
        <v>47</v>
      </c>
      <c r="AC38" s="4" t="s">
        <v>47</v>
      </c>
      <c r="AD38" s="4" t="s">
        <v>47</v>
      </c>
      <c r="AE38" s="4" t="s">
        <v>47</v>
      </c>
      <c r="AF38" s="4" t="s">
        <v>47</v>
      </c>
      <c r="AG38" s="4" t="s">
        <v>47</v>
      </c>
      <c r="AH38" s="4" t="s">
        <v>47</v>
      </c>
      <c r="AI38" s="4" t="s">
        <v>47</v>
      </c>
      <c r="AJ38" s="4" t="s">
        <v>47</v>
      </c>
      <c r="AK38" s="4" t="s">
        <v>47</v>
      </c>
      <c r="AL38" s="4" t="s">
        <v>47</v>
      </c>
      <c r="AM38" s="4" t="s">
        <v>47</v>
      </c>
      <c r="AN38" s="4" t="s">
        <v>47</v>
      </c>
      <c r="AO38" s="4" t="s">
        <v>1022</v>
      </c>
      <c r="AP38" s="4" t="s">
        <v>1023</v>
      </c>
      <c r="AQ38" s="4" t="s">
        <v>1024</v>
      </c>
      <c r="AR38" s="4" t="s">
        <v>1025</v>
      </c>
    </row>
    <row r="39" spans="1:44" x14ac:dyDescent="0.2">
      <c r="A39" s="4" t="s">
        <v>148</v>
      </c>
      <c r="B39" s="4" t="s">
        <v>144</v>
      </c>
      <c r="C39">
        <v>0</v>
      </c>
      <c r="D39">
        <v>1</v>
      </c>
      <c r="F39">
        <v>2</v>
      </c>
      <c r="G39">
        <v>1.5</v>
      </c>
      <c r="I39" s="4" t="s">
        <v>866</v>
      </c>
      <c r="J39" s="4" t="s">
        <v>1026</v>
      </c>
      <c r="K39" s="4" t="s">
        <v>612</v>
      </c>
      <c r="L39" s="4" t="s">
        <v>626</v>
      </c>
      <c r="M39">
        <v>43738</v>
      </c>
      <c r="N39" s="4" t="s">
        <v>649</v>
      </c>
      <c r="O39" s="4" t="s">
        <v>1027</v>
      </c>
      <c r="P39" s="4" t="s">
        <v>811</v>
      </c>
      <c r="Q39" s="9">
        <v>44892</v>
      </c>
      <c r="R39" s="4" t="s">
        <v>824</v>
      </c>
      <c r="S39" s="4" t="s">
        <v>631</v>
      </c>
      <c r="T39" s="4" t="s">
        <v>47</v>
      </c>
      <c r="U39" s="4" t="s">
        <v>86</v>
      </c>
      <c r="V39">
        <v>2022</v>
      </c>
      <c r="W39" s="4" t="s">
        <v>47</v>
      </c>
      <c r="X39" s="4" t="s">
        <v>1028</v>
      </c>
      <c r="Y39" s="4" t="s">
        <v>47</v>
      </c>
      <c r="Z39" s="4" t="s">
        <v>1029</v>
      </c>
      <c r="AA39" s="4" t="s">
        <v>47</v>
      </c>
      <c r="AB39" s="4" t="s">
        <v>47</v>
      </c>
      <c r="AC39" s="4" t="s">
        <v>47</v>
      </c>
      <c r="AD39" s="4" t="s">
        <v>47</v>
      </c>
      <c r="AE39" s="4" t="s">
        <v>47</v>
      </c>
      <c r="AF39" s="4" t="s">
        <v>47</v>
      </c>
      <c r="AG39" s="4" t="s">
        <v>47</v>
      </c>
      <c r="AH39" s="4" t="s">
        <v>47</v>
      </c>
      <c r="AI39" s="4" t="s">
        <v>47</v>
      </c>
      <c r="AJ39" s="4" t="s">
        <v>47</v>
      </c>
      <c r="AK39" s="4" t="s">
        <v>47</v>
      </c>
      <c r="AL39" s="4" t="s">
        <v>47</v>
      </c>
      <c r="AM39" s="4" t="s">
        <v>47</v>
      </c>
      <c r="AN39" s="4" t="s">
        <v>47</v>
      </c>
      <c r="AO39" s="4" t="s">
        <v>1030</v>
      </c>
      <c r="AP39" s="4" t="s">
        <v>1031</v>
      </c>
      <c r="AQ39" s="4" t="s">
        <v>1032</v>
      </c>
      <c r="AR39" s="4" t="s">
        <v>1033</v>
      </c>
    </row>
    <row r="40" spans="1:44" x14ac:dyDescent="0.2">
      <c r="A40" s="4" t="s">
        <v>90</v>
      </c>
      <c r="B40" s="4" t="s">
        <v>185</v>
      </c>
      <c r="C40">
        <v>4</v>
      </c>
      <c r="D40">
        <v>2.6</v>
      </c>
      <c r="F40">
        <v>1</v>
      </c>
      <c r="G40">
        <v>0.4</v>
      </c>
      <c r="I40" s="4" t="s">
        <v>610</v>
      </c>
      <c r="J40" s="4" t="s">
        <v>611</v>
      </c>
      <c r="K40" s="4" t="s">
        <v>856</v>
      </c>
      <c r="L40" s="4" t="s">
        <v>1034</v>
      </c>
      <c r="M40">
        <v>44374</v>
      </c>
      <c r="N40" s="4" t="s">
        <v>614</v>
      </c>
      <c r="O40" s="4" t="s">
        <v>1035</v>
      </c>
      <c r="P40" s="4" t="s">
        <v>811</v>
      </c>
      <c r="Q40" s="9">
        <v>44892</v>
      </c>
      <c r="R40" s="4" t="s">
        <v>757</v>
      </c>
      <c r="S40" s="4" t="s">
        <v>1036</v>
      </c>
      <c r="T40" s="4" t="s">
        <v>47</v>
      </c>
      <c r="U40" s="4" t="s">
        <v>86</v>
      </c>
      <c r="V40">
        <v>2022</v>
      </c>
      <c r="W40" s="4" t="s">
        <v>1037</v>
      </c>
      <c r="X40" s="4" t="s">
        <v>1038</v>
      </c>
      <c r="Y40" s="4" t="s">
        <v>1039</v>
      </c>
      <c r="Z40" s="4" t="s">
        <v>1040</v>
      </c>
      <c r="AA40" s="4" t="s">
        <v>47</v>
      </c>
      <c r="AB40" s="4" t="s">
        <v>47</v>
      </c>
      <c r="AC40" s="4" t="s">
        <v>47</v>
      </c>
      <c r="AD40" s="4" t="s">
        <v>47</v>
      </c>
      <c r="AE40" s="4" t="s">
        <v>47</v>
      </c>
      <c r="AF40" s="4" t="s">
        <v>47</v>
      </c>
      <c r="AG40" s="4" t="s">
        <v>47</v>
      </c>
      <c r="AH40" s="4" t="s">
        <v>47</v>
      </c>
      <c r="AI40" s="4" t="s">
        <v>47</v>
      </c>
      <c r="AJ40" s="4" t="s">
        <v>47</v>
      </c>
      <c r="AK40" s="4" t="s">
        <v>47</v>
      </c>
      <c r="AL40" s="4" t="s">
        <v>47</v>
      </c>
      <c r="AM40" s="4" t="s">
        <v>47</v>
      </c>
      <c r="AN40" s="4" t="s">
        <v>47</v>
      </c>
      <c r="AO40" s="4" t="s">
        <v>1041</v>
      </c>
      <c r="AP40" s="4" t="s">
        <v>1042</v>
      </c>
      <c r="AQ40" s="4" t="s">
        <v>1043</v>
      </c>
      <c r="AR40" s="4" t="s">
        <v>1044</v>
      </c>
    </row>
    <row r="41" spans="1:44" x14ac:dyDescent="0.2">
      <c r="A41" s="4" t="s">
        <v>20</v>
      </c>
      <c r="B41" s="4" t="s">
        <v>92</v>
      </c>
      <c r="C41">
        <v>1</v>
      </c>
      <c r="D41">
        <v>0.6</v>
      </c>
      <c r="F41">
        <v>1</v>
      </c>
      <c r="G41">
        <v>1.3</v>
      </c>
      <c r="I41" s="4" t="s">
        <v>711</v>
      </c>
      <c r="J41" s="4" t="s">
        <v>712</v>
      </c>
      <c r="K41" s="4" t="s">
        <v>876</v>
      </c>
      <c r="L41" s="4" t="s">
        <v>877</v>
      </c>
      <c r="M41">
        <v>68895</v>
      </c>
      <c r="N41" s="4" t="s">
        <v>627</v>
      </c>
      <c r="O41" s="4" t="s">
        <v>1045</v>
      </c>
      <c r="P41" s="4" t="s">
        <v>811</v>
      </c>
      <c r="Q41" s="9">
        <v>44892</v>
      </c>
      <c r="R41" s="4" t="s">
        <v>1046</v>
      </c>
      <c r="S41" s="4" t="s">
        <v>932</v>
      </c>
      <c r="T41" s="4" t="s">
        <v>47</v>
      </c>
      <c r="U41" s="4" t="s">
        <v>86</v>
      </c>
      <c r="V41">
        <v>2022</v>
      </c>
      <c r="W41" s="4" t="s">
        <v>1047</v>
      </c>
      <c r="X41" s="4" t="s">
        <v>1048</v>
      </c>
      <c r="Y41" s="4" t="s">
        <v>1049</v>
      </c>
      <c r="Z41" s="4" t="s">
        <v>1050</v>
      </c>
      <c r="AA41" s="4" t="s">
        <v>47</v>
      </c>
      <c r="AB41" s="4" t="s">
        <v>47</v>
      </c>
      <c r="AC41" s="4" t="s">
        <v>47</v>
      </c>
      <c r="AD41" s="4" t="s">
        <v>47</v>
      </c>
      <c r="AE41" s="4" t="s">
        <v>47</v>
      </c>
      <c r="AF41" s="4" t="s">
        <v>47</v>
      </c>
      <c r="AG41" s="4" t="s">
        <v>47</v>
      </c>
      <c r="AH41" s="4" t="s">
        <v>47</v>
      </c>
      <c r="AI41" s="4" t="s">
        <v>47</v>
      </c>
      <c r="AJ41" s="4" t="s">
        <v>47</v>
      </c>
      <c r="AK41" s="4" t="s">
        <v>47</v>
      </c>
      <c r="AL41" s="4" t="s">
        <v>47</v>
      </c>
      <c r="AM41" s="4" t="s">
        <v>47</v>
      </c>
      <c r="AN41" s="4" t="s">
        <v>47</v>
      </c>
      <c r="AO41" s="4" t="s">
        <v>1051</v>
      </c>
      <c r="AP41" s="4" t="s">
        <v>1052</v>
      </c>
      <c r="AQ41" s="4" t="s">
        <v>1053</v>
      </c>
      <c r="AR41" s="4" t="s">
        <v>1054</v>
      </c>
    </row>
    <row r="42" spans="1:44" x14ac:dyDescent="0.2">
      <c r="A42" s="4" t="s">
        <v>213</v>
      </c>
      <c r="B42" s="4" t="s">
        <v>179</v>
      </c>
      <c r="C42">
        <v>0</v>
      </c>
      <c r="D42">
        <v>0.9</v>
      </c>
      <c r="F42">
        <v>1</v>
      </c>
      <c r="G42">
        <v>0.6</v>
      </c>
      <c r="I42" s="4" t="s">
        <v>908</v>
      </c>
      <c r="J42" s="4" t="s">
        <v>1055</v>
      </c>
      <c r="K42" s="4" t="s">
        <v>798</v>
      </c>
      <c r="L42" s="4" t="s">
        <v>799</v>
      </c>
      <c r="M42">
        <v>41823</v>
      </c>
      <c r="N42" s="4" t="s">
        <v>738</v>
      </c>
      <c r="O42" s="4" t="s">
        <v>1056</v>
      </c>
      <c r="P42" s="4" t="s">
        <v>811</v>
      </c>
      <c r="Q42" s="9">
        <v>44891</v>
      </c>
      <c r="R42" s="4" t="s">
        <v>963</v>
      </c>
      <c r="S42" s="4" t="s">
        <v>825</v>
      </c>
      <c r="T42" s="4" t="s">
        <v>47</v>
      </c>
      <c r="U42" s="4" t="s">
        <v>86</v>
      </c>
      <c r="V42">
        <v>2022</v>
      </c>
      <c r="W42" s="4" t="s">
        <v>47</v>
      </c>
      <c r="X42" s="4" t="s">
        <v>1057</v>
      </c>
      <c r="Y42" s="4" t="s">
        <v>47</v>
      </c>
      <c r="Z42" s="4" t="s">
        <v>1058</v>
      </c>
      <c r="AA42" s="4" t="s">
        <v>47</v>
      </c>
      <c r="AB42" s="4" t="s">
        <v>47</v>
      </c>
      <c r="AC42" s="4" t="s">
        <v>47</v>
      </c>
      <c r="AD42" s="4" t="s">
        <v>47</v>
      </c>
      <c r="AE42" s="4" t="s">
        <v>47</v>
      </c>
      <c r="AF42" s="4" t="s">
        <v>47</v>
      </c>
      <c r="AG42" s="4" t="s">
        <v>47</v>
      </c>
      <c r="AH42" s="4" t="s">
        <v>47</v>
      </c>
      <c r="AI42" s="4" t="s">
        <v>47</v>
      </c>
      <c r="AJ42" s="4" t="s">
        <v>47</v>
      </c>
      <c r="AK42" s="4" t="s">
        <v>47</v>
      </c>
      <c r="AL42" s="4" t="s">
        <v>47</v>
      </c>
      <c r="AM42" s="4" t="s">
        <v>47</v>
      </c>
      <c r="AN42" s="4" t="s">
        <v>47</v>
      </c>
      <c r="AO42" s="4" t="s">
        <v>1059</v>
      </c>
      <c r="AP42" s="4" t="s">
        <v>47</v>
      </c>
      <c r="AQ42" s="4" t="s">
        <v>1060</v>
      </c>
      <c r="AR42" s="4" t="s">
        <v>1061</v>
      </c>
    </row>
    <row r="43" spans="1:44" x14ac:dyDescent="0.2">
      <c r="A43" s="4" t="s">
        <v>195</v>
      </c>
      <c r="B43" s="4" t="s">
        <v>240</v>
      </c>
      <c r="C43">
        <v>2</v>
      </c>
      <c r="D43">
        <v>1.6</v>
      </c>
      <c r="F43">
        <v>0</v>
      </c>
      <c r="G43">
        <v>1.7</v>
      </c>
      <c r="I43" s="4" t="s">
        <v>767</v>
      </c>
      <c r="J43" s="4" t="s">
        <v>768</v>
      </c>
      <c r="K43" s="4" t="s">
        <v>918</v>
      </c>
      <c r="L43" s="4" t="s">
        <v>919</v>
      </c>
      <c r="M43">
        <v>44259</v>
      </c>
      <c r="N43" s="4" t="s">
        <v>676</v>
      </c>
      <c r="O43" s="4" t="s">
        <v>1062</v>
      </c>
      <c r="P43" s="4" t="s">
        <v>811</v>
      </c>
      <c r="Q43" s="9">
        <v>44891</v>
      </c>
      <c r="R43" s="4" t="s">
        <v>630</v>
      </c>
      <c r="S43" s="4" t="s">
        <v>665</v>
      </c>
      <c r="T43" s="4" t="s">
        <v>47</v>
      </c>
      <c r="U43" s="4" t="s">
        <v>86</v>
      </c>
      <c r="V43">
        <v>2022</v>
      </c>
      <c r="W43" s="4" t="s">
        <v>1063</v>
      </c>
      <c r="X43" s="4" t="s">
        <v>47</v>
      </c>
      <c r="Y43" s="4" t="s">
        <v>1064</v>
      </c>
      <c r="Z43" s="4" t="s">
        <v>47</v>
      </c>
      <c r="AA43" s="4" t="s">
        <v>47</v>
      </c>
      <c r="AB43" s="4" t="s">
        <v>47</v>
      </c>
      <c r="AC43" s="4" t="s">
        <v>47</v>
      </c>
      <c r="AD43" s="4" t="s">
        <v>47</v>
      </c>
      <c r="AE43" s="4" t="s">
        <v>47</v>
      </c>
      <c r="AF43" s="4" t="s">
        <v>1065</v>
      </c>
      <c r="AG43" s="4" t="s">
        <v>47</v>
      </c>
      <c r="AH43" s="4" t="s">
        <v>47</v>
      </c>
      <c r="AI43" s="4" t="s">
        <v>47</v>
      </c>
      <c r="AJ43" s="4" t="s">
        <v>47</v>
      </c>
      <c r="AK43" s="4" t="s">
        <v>47</v>
      </c>
      <c r="AL43" s="4" t="s">
        <v>47</v>
      </c>
      <c r="AM43" s="4" t="s">
        <v>47</v>
      </c>
      <c r="AN43" s="4" t="s">
        <v>47</v>
      </c>
      <c r="AO43" s="4" t="s">
        <v>1066</v>
      </c>
      <c r="AP43" s="4" t="s">
        <v>1067</v>
      </c>
      <c r="AQ43" s="4" t="s">
        <v>1068</v>
      </c>
      <c r="AR43" s="4" t="s">
        <v>1069</v>
      </c>
    </row>
    <row r="44" spans="1:44" x14ac:dyDescent="0.2">
      <c r="A44" s="4" t="s">
        <v>87</v>
      </c>
      <c r="B44" s="4" t="s">
        <v>167</v>
      </c>
      <c r="C44">
        <v>2</v>
      </c>
      <c r="D44">
        <v>2.4</v>
      </c>
      <c r="F44">
        <v>1</v>
      </c>
      <c r="G44">
        <v>0.6</v>
      </c>
      <c r="I44" s="4" t="s">
        <v>589</v>
      </c>
      <c r="J44" s="4" t="s">
        <v>590</v>
      </c>
      <c r="K44" s="4" t="s">
        <v>898</v>
      </c>
      <c r="L44" s="4" t="s">
        <v>1070</v>
      </c>
      <c r="M44">
        <v>42860</v>
      </c>
      <c r="N44" s="4" t="s">
        <v>755</v>
      </c>
      <c r="O44" s="4" t="s">
        <v>1071</v>
      </c>
      <c r="P44" s="4" t="s">
        <v>811</v>
      </c>
      <c r="Q44" s="9">
        <v>44891</v>
      </c>
      <c r="R44" s="4" t="s">
        <v>617</v>
      </c>
      <c r="S44" s="4" t="s">
        <v>595</v>
      </c>
      <c r="T44" s="4" t="s">
        <v>47</v>
      </c>
      <c r="U44" s="4" t="s">
        <v>86</v>
      </c>
      <c r="V44">
        <v>2022</v>
      </c>
      <c r="W44" s="4" t="s">
        <v>1072</v>
      </c>
      <c r="X44" s="4" t="s">
        <v>1073</v>
      </c>
      <c r="Y44" s="4" t="s">
        <v>1074</v>
      </c>
      <c r="Z44" s="4" t="s">
        <v>1075</v>
      </c>
      <c r="AA44" s="4" t="s">
        <v>47</v>
      </c>
      <c r="AB44" s="4" t="s">
        <v>47</v>
      </c>
      <c r="AC44" s="4" t="s">
        <v>47</v>
      </c>
      <c r="AD44" s="4" t="s">
        <v>47</v>
      </c>
      <c r="AE44" s="4" t="s">
        <v>47</v>
      </c>
      <c r="AF44" s="4" t="s">
        <v>47</v>
      </c>
      <c r="AG44" s="4" t="s">
        <v>47</v>
      </c>
      <c r="AH44" s="4" t="s">
        <v>47</v>
      </c>
      <c r="AI44" s="4" t="s">
        <v>47</v>
      </c>
      <c r="AJ44" s="4" t="s">
        <v>47</v>
      </c>
      <c r="AK44" s="4" t="s">
        <v>47</v>
      </c>
      <c r="AL44" s="4" t="s">
        <v>47</v>
      </c>
      <c r="AM44" s="4" t="s">
        <v>47</v>
      </c>
      <c r="AN44" s="4" t="s">
        <v>47</v>
      </c>
      <c r="AO44" s="4" t="s">
        <v>1076</v>
      </c>
      <c r="AP44" s="4" t="s">
        <v>1077</v>
      </c>
      <c r="AQ44" s="4" t="s">
        <v>1078</v>
      </c>
      <c r="AR44" s="4" t="s">
        <v>1079</v>
      </c>
    </row>
    <row r="45" spans="1:44" x14ac:dyDescent="0.2">
      <c r="A45" s="4" t="s">
        <v>26</v>
      </c>
      <c r="B45" s="4" t="s">
        <v>106</v>
      </c>
      <c r="C45">
        <v>2</v>
      </c>
      <c r="D45">
        <v>0.3</v>
      </c>
      <c r="F45">
        <v>0</v>
      </c>
      <c r="G45">
        <v>0.3</v>
      </c>
      <c r="I45" s="4" t="s">
        <v>587</v>
      </c>
      <c r="J45" s="4" t="s">
        <v>588</v>
      </c>
      <c r="K45" s="4" t="s">
        <v>920</v>
      </c>
      <c r="L45" s="4" t="s">
        <v>1080</v>
      </c>
      <c r="M45">
        <v>88966</v>
      </c>
      <c r="N45" s="4" t="s">
        <v>591</v>
      </c>
      <c r="O45" s="4" t="s">
        <v>1081</v>
      </c>
      <c r="P45" s="4" t="s">
        <v>811</v>
      </c>
      <c r="Q45" s="9">
        <v>44891</v>
      </c>
      <c r="R45" s="4" t="s">
        <v>630</v>
      </c>
      <c r="S45" s="4" t="s">
        <v>639</v>
      </c>
      <c r="T45" s="4" t="s">
        <v>47</v>
      </c>
      <c r="U45" s="4" t="s">
        <v>86</v>
      </c>
      <c r="V45">
        <v>2022</v>
      </c>
      <c r="W45" s="4" t="s">
        <v>1082</v>
      </c>
      <c r="X45" s="4" t="s">
        <v>47</v>
      </c>
      <c r="Y45" s="4" t="s">
        <v>1083</v>
      </c>
      <c r="Z45" s="4" t="s">
        <v>47</v>
      </c>
      <c r="AA45" s="4" t="s">
        <v>47</v>
      </c>
      <c r="AB45" s="4" t="s">
        <v>47</v>
      </c>
      <c r="AC45" s="4" t="s">
        <v>47</v>
      </c>
      <c r="AD45" s="4" t="s">
        <v>47</v>
      </c>
      <c r="AE45" s="4" t="s">
        <v>47</v>
      </c>
      <c r="AF45" s="4" t="s">
        <v>47</v>
      </c>
      <c r="AG45" s="4" t="s">
        <v>47</v>
      </c>
      <c r="AH45" s="4" t="s">
        <v>47</v>
      </c>
      <c r="AI45" s="4" t="s">
        <v>47</v>
      </c>
      <c r="AJ45" s="4" t="s">
        <v>47</v>
      </c>
      <c r="AK45" s="4" t="s">
        <v>47</v>
      </c>
      <c r="AL45" s="4" t="s">
        <v>47</v>
      </c>
      <c r="AM45" s="4" t="s">
        <v>47</v>
      </c>
      <c r="AN45" s="4" t="s">
        <v>47</v>
      </c>
      <c r="AO45" s="4" t="s">
        <v>1084</v>
      </c>
      <c r="AP45" s="4" t="s">
        <v>1085</v>
      </c>
      <c r="AQ45" s="4" t="s">
        <v>1086</v>
      </c>
      <c r="AR45" s="4" t="s">
        <v>1087</v>
      </c>
    </row>
    <row r="46" spans="1:44" x14ac:dyDescent="0.2">
      <c r="A46" s="4" t="s">
        <v>197</v>
      </c>
      <c r="B46" s="4" t="s">
        <v>165</v>
      </c>
      <c r="C46">
        <v>0</v>
      </c>
      <c r="D46">
        <v>0.9</v>
      </c>
      <c r="F46">
        <v>2</v>
      </c>
      <c r="G46">
        <v>1.4</v>
      </c>
      <c r="I46" s="4" t="s">
        <v>970</v>
      </c>
      <c r="J46" s="4" t="s">
        <v>971</v>
      </c>
      <c r="K46" s="4" t="s">
        <v>960</v>
      </c>
      <c r="L46" s="4" t="s">
        <v>961</v>
      </c>
      <c r="M46">
        <v>40875</v>
      </c>
      <c r="N46" s="4" t="s">
        <v>800</v>
      </c>
      <c r="O46" s="4" t="s">
        <v>1088</v>
      </c>
      <c r="P46" s="4" t="s">
        <v>811</v>
      </c>
      <c r="Q46" s="9">
        <v>44890</v>
      </c>
      <c r="R46" s="4" t="s">
        <v>824</v>
      </c>
      <c r="S46" s="4" t="s">
        <v>1089</v>
      </c>
      <c r="T46" s="4" t="s">
        <v>47</v>
      </c>
      <c r="U46" s="4" t="s">
        <v>86</v>
      </c>
      <c r="V46">
        <v>2022</v>
      </c>
      <c r="W46" s="4" t="s">
        <v>47</v>
      </c>
      <c r="X46" s="4" t="s">
        <v>1090</v>
      </c>
      <c r="Y46" s="4" t="s">
        <v>47</v>
      </c>
      <c r="Z46" s="4" t="s">
        <v>1091</v>
      </c>
      <c r="AA46" s="4" t="s">
        <v>47</v>
      </c>
      <c r="AB46" s="4" t="s">
        <v>47</v>
      </c>
      <c r="AC46" s="4" t="s">
        <v>47</v>
      </c>
      <c r="AD46" s="4" t="s">
        <v>47</v>
      </c>
      <c r="AE46" s="4" t="s">
        <v>47</v>
      </c>
      <c r="AF46" s="4" t="s">
        <v>47</v>
      </c>
      <c r="AG46" s="4" t="s">
        <v>47</v>
      </c>
      <c r="AH46" s="4" t="s">
        <v>47</v>
      </c>
      <c r="AI46" s="4" t="s">
        <v>47</v>
      </c>
      <c r="AJ46" s="4" t="s">
        <v>47</v>
      </c>
      <c r="AK46" s="4" t="s">
        <v>1092</v>
      </c>
      <c r="AL46" s="4" t="s">
        <v>47</v>
      </c>
      <c r="AM46" s="4" t="s">
        <v>47</v>
      </c>
      <c r="AN46" s="4" t="s">
        <v>47</v>
      </c>
      <c r="AO46" s="4" t="s">
        <v>1093</v>
      </c>
      <c r="AP46" s="4" t="s">
        <v>1094</v>
      </c>
      <c r="AQ46" s="4" t="s">
        <v>1095</v>
      </c>
      <c r="AR46" s="4" t="s">
        <v>1096</v>
      </c>
    </row>
    <row r="47" spans="1:44" x14ac:dyDescent="0.2">
      <c r="A47" s="4" t="s">
        <v>86</v>
      </c>
      <c r="B47" s="4" t="s">
        <v>157</v>
      </c>
      <c r="C47">
        <v>1</v>
      </c>
      <c r="D47">
        <v>1</v>
      </c>
      <c r="F47">
        <v>3</v>
      </c>
      <c r="G47">
        <v>0.8</v>
      </c>
      <c r="I47" s="4" t="s">
        <v>951</v>
      </c>
      <c r="J47" s="4" t="s">
        <v>952</v>
      </c>
      <c r="K47" s="4" t="s">
        <v>779</v>
      </c>
      <c r="L47" s="4" t="s">
        <v>780</v>
      </c>
      <c r="M47">
        <v>41797</v>
      </c>
      <c r="N47" s="4" t="s">
        <v>649</v>
      </c>
      <c r="O47" s="4" t="s">
        <v>1097</v>
      </c>
      <c r="P47" s="4" t="s">
        <v>811</v>
      </c>
      <c r="Q47" s="9">
        <v>44890</v>
      </c>
      <c r="R47" s="4" t="s">
        <v>1098</v>
      </c>
      <c r="S47" s="4" t="s">
        <v>696</v>
      </c>
      <c r="T47" s="4" t="s">
        <v>47</v>
      </c>
      <c r="U47" s="4" t="s">
        <v>86</v>
      </c>
      <c r="V47">
        <v>2022</v>
      </c>
      <c r="W47" s="4" t="s">
        <v>1099</v>
      </c>
      <c r="X47" s="4" t="s">
        <v>1100</v>
      </c>
      <c r="Y47" s="4" t="s">
        <v>1101</v>
      </c>
      <c r="Z47" s="4" t="s">
        <v>1102</v>
      </c>
      <c r="AA47" s="4" t="s">
        <v>47</v>
      </c>
      <c r="AB47" s="4" t="s">
        <v>47</v>
      </c>
      <c r="AC47" s="4" t="s">
        <v>47</v>
      </c>
      <c r="AD47" s="4" t="s">
        <v>47</v>
      </c>
      <c r="AE47" s="4" t="s">
        <v>47</v>
      </c>
      <c r="AF47" s="4" t="s">
        <v>47</v>
      </c>
      <c r="AG47" s="4" t="s">
        <v>47</v>
      </c>
      <c r="AH47" s="4" t="s">
        <v>47</v>
      </c>
      <c r="AI47" s="4" t="s">
        <v>47</v>
      </c>
      <c r="AJ47" s="4" t="s">
        <v>47</v>
      </c>
      <c r="AK47" s="4" t="s">
        <v>47</v>
      </c>
      <c r="AL47" s="4" t="s">
        <v>47</v>
      </c>
      <c r="AM47" s="4" t="s">
        <v>47</v>
      </c>
      <c r="AN47" s="4" t="s">
        <v>47</v>
      </c>
      <c r="AO47" s="4" t="s">
        <v>1103</v>
      </c>
      <c r="AP47" s="4" t="s">
        <v>1104</v>
      </c>
      <c r="AQ47" s="4" t="s">
        <v>1105</v>
      </c>
      <c r="AR47" s="4" t="s">
        <v>1106</v>
      </c>
    </row>
    <row r="48" spans="1:44" x14ac:dyDescent="0.2">
      <c r="A48" s="4" t="s">
        <v>95</v>
      </c>
      <c r="B48" s="4" t="s">
        <v>171</v>
      </c>
      <c r="C48">
        <v>1</v>
      </c>
      <c r="D48">
        <v>0.1</v>
      </c>
      <c r="F48">
        <v>1</v>
      </c>
      <c r="G48">
        <v>1.7</v>
      </c>
      <c r="I48" s="4" t="s">
        <v>692</v>
      </c>
      <c r="J48" s="4" t="s">
        <v>693</v>
      </c>
      <c r="K48" s="4" t="s">
        <v>940</v>
      </c>
      <c r="L48" s="4" t="s">
        <v>941</v>
      </c>
      <c r="M48">
        <v>44833</v>
      </c>
      <c r="N48" s="4" t="s">
        <v>614</v>
      </c>
      <c r="O48" s="4" t="s">
        <v>1107</v>
      </c>
      <c r="P48" s="4" t="s">
        <v>811</v>
      </c>
      <c r="Q48" s="9">
        <v>44890</v>
      </c>
      <c r="R48" s="4" t="s">
        <v>1046</v>
      </c>
      <c r="S48" s="4" t="s">
        <v>901</v>
      </c>
      <c r="T48" s="4" t="s">
        <v>47</v>
      </c>
      <c r="U48" s="4" t="s">
        <v>86</v>
      </c>
      <c r="V48">
        <v>2022</v>
      </c>
      <c r="W48" s="4" t="s">
        <v>1108</v>
      </c>
      <c r="X48" s="4" t="s">
        <v>1109</v>
      </c>
      <c r="Y48" s="4" t="s">
        <v>1110</v>
      </c>
      <c r="Z48" s="4" t="s">
        <v>1111</v>
      </c>
      <c r="AA48" s="4" t="s">
        <v>47</v>
      </c>
      <c r="AB48" s="4" t="s">
        <v>47</v>
      </c>
      <c r="AC48" s="4" t="s">
        <v>47</v>
      </c>
      <c r="AD48" s="4" t="s">
        <v>47</v>
      </c>
      <c r="AE48" s="4" t="s">
        <v>47</v>
      </c>
      <c r="AF48" s="4" t="s">
        <v>47</v>
      </c>
      <c r="AG48" s="4" t="s">
        <v>47</v>
      </c>
      <c r="AH48" s="4" t="s">
        <v>47</v>
      </c>
      <c r="AI48" s="4" t="s">
        <v>47</v>
      </c>
      <c r="AJ48" s="4" t="s">
        <v>47</v>
      </c>
      <c r="AK48" s="4" t="s">
        <v>47</v>
      </c>
      <c r="AL48" s="4" t="s">
        <v>47</v>
      </c>
      <c r="AM48" s="4" t="s">
        <v>47</v>
      </c>
      <c r="AN48" s="4" t="s">
        <v>47</v>
      </c>
      <c r="AO48" s="4" t="s">
        <v>47</v>
      </c>
      <c r="AP48" s="4" t="s">
        <v>1112</v>
      </c>
      <c r="AQ48" s="4" t="s">
        <v>1113</v>
      </c>
      <c r="AR48" s="4" t="s">
        <v>1114</v>
      </c>
    </row>
    <row r="49" spans="1:44" x14ac:dyDescent="0.2">
      <c r="A49" s="4" t="s">
        <v>52</v>
      </c>
      <c r="B49" s="4" t="s">
        <v>102</v>
      </c>
      <c r="C49">
        <v>0</v>
      </c>
      <c r="D49">
        <v>0.8</v>
      </c>
      <c r="F49">
        <v>0</v>
      </c>
      <c r="G49">
        <v>0.6</v>
      </c>
      <c r="I49" s="4" t="s">
        <v>661</v>
      </c>
      <c r="J49" s="4" t="s">
        <v>662</v>
      </c>
      <c r="K49" s="4" t="s">
        <v>788</v>
      </c>
      <c r="L49" s="4" t="s">
        <v>789</v>
      </c>
      <c r="M49">
        <v>68463</v>
      </c>
      <c r="N49" s="4" t="s">
        <v>627</v>
      </c>
      <c r="O49" s="4" t="s">
        <v>1115</v>
      </c>
      <c r="P49" s="4" t="s">
        <v>811</v>
      </c>
      <c r="Q49" s="9">
        <v>44890</v>
      </c>
      <c r="R49" s="4" t="s">
        <v>869</v>
      </c>
      <c r="S49" s="4" t="s">
        <v>771</v>
      </c>
      <c r="T49" s="4" t="s">
        <v>47</v>
      </c>
      <c r="U49" s="4" t="s">
        <v>86</v>
      </c>
      <c r="V49">
        <v>2022</v>
      </c>
      <c r="W49" s="4" t="s">
        <v>47</v>
      </c>
      <c r="X49" s="4" t="s">
        <v>47</v>
      </c>
      <c r="Y49" s="4" t="s">
        <v>47</v>
      </c>
      <c r="Z49" s="4" t="s">
        <v>47</v>
      </c>
      <c r="AA49" s="4" t="s">
        <v>47</v>
      </c>
      <c r="AB49" s="4" t="s">
        <v>47</v>
      </c>
      <c r="AC49" s="4" t="s">
        <v>47</v>
      </c>
      <c r="AD49" s="4" t="s">
        <v>47</v>
      </c>
      <c r="AE49" s="4" t="s">
        <v>47</v>
      </c>
      <c r="AF49" s="4" t="s">
        <v>47</v>
      </c>
      <c r="AG49" s="4" t="s">
        <v>47</v>
      </c>
      <c r="AH49" s="4" t="s">
        <v>47</v>
      </c>
      <c r="AI49" s="4" t="s">
        <v>47</v>
      </c>
      <c r="AJ49" s="4" t="s">
        <v>47</v>
      </c>
      <c r="AK49" s="4" t="s">
        <v>47</v>
      </c>
      <c r="AL49" s="4" t="s">
        <v>47</v>
      </c>
      <c r="AM49" s="4" t="s">
        <v>47</v>
      </c>
      <c r="AN49" s="4" t="s">
        <v>47</v>
      </c>
      <c r="AO49" s="4" t="s">
        <v>47</v>
      </c>
      <c r="AP49" s="4" t="s">
        <v>47</v>
      </c>
      <c r="AQ49" s="4" t="s">
        <v>1116</v>
      </c>
      <c r="AR49" s="4" t="s">
        <v>1117</v>
      </c>
    </row>
    <row r="50" spans="1:44" x14ac:dyDescent="0.2">
      <c r="A50" s="4" t="s">
        <v>118</v>
      </c>
      <c r="B50" s="4" t="s">
        <v>209</v>
      </c>
      <c r="C50">
        <v>1</v>
      </c>
      <c r="D50">
        <v>1.4</v>
      </c>
      <c r="F50">
        <v>0</v>
      </c>
      <c r="G50">
        <v>0.7</v>
      </c>
      <c r="I50" s="4" t="s">
        <v>725</v>
      </c>
      <c r="J50" s="4" t="s">
        <v>726</v>
      </c>
      <c r="K50" s="4" t="s">
        <v>833</v>
      </c>
      <c r="L50" s="4" t="s">
        <v>980</v>
      </c>
      <c r="M50">
        <v>39089</v>
      </c>
      <c r="N50" s="4" t="s">
        <v>738</v>
      </c>
      <c r="O50" s="4" t="s">
        <v>1118</v>
      </c>
      <c r="P50" s="4" t="s">
        <v>811</v>
      </c>
      <c r="Q50" s="9">
        <v>44889</v>
      </c>
      <c r="R50" s="4" t="s">
        <v>652</v>
      </c>
      <c r="S50" s="4" t="s">
        <v>653</v>
      </c>
      <c r="T50" s="4" t="s">
        <v>47</v>
      </c>
      <c r="U50" s="4" t="s">
        <v>86</v>
      </c>
      <c r="V50">
        <v>2022</v>
      </c>
      <c r="W50" s="4" t="s">
        <v>1119</v>
      </c>
      <c r="X50" s="4" t="s">
        <v>47</v>
      </c>
      <c r="Y50" s="4" t="s">
        <v>1120</v>
      </c>
      <c r="Z50" s="4" t="s">
        <v>47</v>
      </c>
      <c r="AA50" s="4" t="s">
        <v>47</v>
      </c>
      <c r="AB50" s="4" t="s">
        <v>47</v>
      </c>
      <c r="AC50" s="4" t="s">
        <v>47</v>
      </c>
      <c r="AD50" s="4" t="s">
        <v>47</v>
      </c>
      <c r="AE50" s="4" t="s">
        <v>47</v>
      </c>
      <c r="AF50" s="4" t="s">
        <v>47</v>
      </c>
      <c r="AG50" s="4" t="s">
        <v>47</v>
      </c>
      <c r="AH50" s="4" t="s">
        <v>47</v>
      </c>
      <c r="AI50" s="4" t="s">
        <v>47</v>
      </c>
      <c r="AJ50" s="4" t="s">
        <v>47</v>
      </c>
      <c r="AK50" s="4" t="s">
        <v>47</v>
      </c>
      <c r="AL50" s="4" t="s">
        <v>47</v>
      </c>
      <c r="AM50" s="4" t="s">
        <v>47</v>
      </c>
      <c r="AN50" s="4" t="s">
        <v>47</v>
      </c>
      <c r="AO50" s="4" t="s">
        <v>1121</v>
      </c>
      <c r="AP50" s="4" t="s">
        <v>1122</v>
      </c>
      <c r="AQ50" s="4" t="s">
        <v>1123</v>
      </c>
      <c r="AR50" s="4" t="s">
        <v>1124</v>
      </c>
    </row>
    <row r="51" spans="1:44" x14ac:dyDescent="0.2">
      <c r="A51" s="4" t="s">
        <v>121</v>
      </c>
      <c r="B51" s="4" t="s">
        <v>175</v>
      </c>
      <c r="C51">
        <v>0</v>
      </c>
      <c r="D51">
        <v>0.6</v>
      </c>
      <c r="F51">
        <v>0</v>
      </c>
      <c r="G51">
        <v>0.6</v>
      </c>
      <c r="I51" s="4" t="s">
        <v>821</v>
      </c>
      <c r="J51" s="4" t="s">
        <v>1009</v>
      </c>
      <c r="K51" s="4" t="s">
        <v>753</v>
      </c>
      <c r="L51" s="4" t="s">
        <v>754</v>
      </c>
      <c r="M51">
        <v>41663</v>
      </c>
      <c r="N51" s="4" t="s">
        <v>676</v>
      </c>
      <c r="O51" s="4" t="s">
        <v>942</v>
      </c>
      <c r="P51" s="4" t="s">
        <v>811</v>
      </c>
      <c r="Q51" s="9">
        <v>44889</v>
      </c>
      <c r="R51" s="4" t="s">
        <v>869</v>
      </c>
      <c r="S51" s="4" t="s">
        <v>758</v>
      </c>
      <c r="T51" s="4" t="s">
        <v>47</v>
      </c>
      <c r="U51" s="4" t="s">
        <v>86</v>
      </c>
      <c r="V51">
        <v>2022</v>
      </c>
      <c r="W51" s="4" t="s">
        <v>47</v>
      </c>
      <c r="X51" s="4" t="s">
        <v>47</v>
      </c>
      <c r="Y51" s="4" t="s">
        <v>47</v>
      </c>
      <c r="Z51" s="4" t="s">
        <v>47</v>
      </c>
      <c r="AA51" s="4" t="s">
        <v>47</v>
      </c>
      <c r="AB51" s="4" t="s">
        <v>47</v>
      </c>
      <c r="AC51" s="4" t="s">
        <v>47</v>
      </c>
      <c r="AD51" s="4" t="s">
        <v>47</v>
      </c>
      <c r="AE51" s="4" t="s">
        <v>47</v>
      </c>
      <c r="AF51" s="4" t="s">
        <v>47</v>
      </c>
      <c r="AG51" s="4" t="s">
        <v>47</v>
      </c>
      <c r="AH51" s="4" t="s">
        <v>47</v>
      </c>
      <c r="AI51" s="4" t="s">
        <v>47</v>
      </c>
      <c r="AJ51" s="4" t="s">
        <v>47</v>
      </c>
      <c r="AK51" s="4" t="s">
        <v>47</v>
      </c>
      <c r="AL51" s="4" t="s">
        <v>47</v>
      </c>
      <c r="AM51" s="4" t="s">
        <v>47</v>
      </c>
      <c r="AN51" s="4" t="s">
        <v>47</v>
      </c>
      <c r="AO51" s="4" t="s">
        <v>1125</v>
      </c>
      <c r="AP51" s="4" t="s">
        <v>1126</v>
      </c>
      <c r="AQ51" s="4" t="s">
        <v>1127</v>
      </c>
      <c r="AR51" s="4" t="s">
        <v>1128</v>
      </c>
    </row>
    <row r="52" spans="1:44" x14ac:dyDescent="0.2">
      <c r="A52" s="4" t="s">
        <v>141</v>
      </c>
      <c r="B52" s="4" t="s">
        <v>264</v>
      </c>
      <c r="C52">
        <v>3</v>
      </c>
      <c r="D52">
        <v>2</v>
      </c>
      <c r="F52">
        <v>2</v>
      </c>
      <c r="G52">
        <v>0.9</v>
      </c>
      <c r="I52" s="4" t="s">
        <v>647</v>
      </c>
      <c r="J52" s="4" t="s">
        <v>809</v>
      </c>
      <c r="K52" s="4" t="s">
        <v>819</v>
      </c>
      <c r="L52" s="4" t="s">
        <v>820</v>
      </c>
      <c r="M52">
        <v>42662</v>
      </c>
      <c r="N52" s="4" t="s">
        <v>755</v>
      </c>
      <c r="O52" s="4" t="s">
        <v>1129</v>
      </c>
      <c r="P52" s="4" t="s">
        <v>811</v>
      </c>
      <c r="Q52" s="9">
        <v>44889</v>
      </c>
      <c r="R52" s="4" t="s">
        <v>1130</v>
      </c>
      <c r="S52" s="4" t="s">
        <v>741</v>
      </c>
      <c r="T52" s="4" t="s">
        <v>47</v>
      </c>
      <c r="U52" s="4" t="s">
        <v>86</v>
      </c>
      <c r="V52">
        <v>2022</v>
      </c>
      <c r="W52" s="4" t="s">
        <v>1131</v>
      </c>
      <c r="X52" s="4" t="s">
        <v>1132</v>
      </c>
      <c r="Y52" s="4" t="s">
        <v>1133</v>
      </c>
      <c r="Z52" s="4" t="s">
        <v>1134</v>
      </c>
      <c r="AA52" s="4" t="s">
        <v>47</v>
      </c>
      <c r="AB52" s="4" t="s">
        <v>47</v>
      </c>
      <c r="AC52" s="4" t="s">
        <v>1135</v>
      </c>
      <c r="AD52" s="4" t="s">
        <v>47</v>
      </c>
      <c r="AE52" s="4" t="s">
        <v>47</v>
      </c>
      <c r="AF52" s="4" t="s">
        <v>47</v>
      </c>
      <c r="AG52" s="4" t="s">
        <v>47</v>
      </c>
      <c r="AH52" s="4" t="s">
        <v>47</v>
      </c>
      <c r="AI52" s="4" t="s">
        <v>47</v>
      </c>
      <c r="AJ52" s="4" t="s">
        <v>47</v>
      </c>
      <c r="AK52" s="4" t="s">
        <v>47</v>
      </c>
      <c r="AL52" s="4" t="s">
        <v>47</v>
      </c>
      <c r="AM52" s="4" t="s">
        <v>47</v>
      </c>
      <c r="AN52" s="4" t="s">
        <v>47</v>
      </c>
      <c r="AO52" s="4" t="s">
        <v>1136</v>
      </c>
      <c r="AP52" s="4" t="s">
        <v>1137</v>
      </c>
      <c r="AQ52" s="4" t="s">
        <v>1138</v>
      </c>
      <c r="AR52" s="4" t="s">
        <v>1139</v>
      </c>
    </row>
    <row r="53" spans="1:44" x14ac:dyDescent="0.2">
      <c r="A53" s="4" t="s">
        <v>12</v>
      </c>
      <c r="B53" s="4" t="s">
        <v>207</v>
      </c>
      <c r="C53">
        <v>2</v>
      </c>
      <c r="D53">
        <v>2.4</v>
      </c>
      <c r="F53">
        <v>0</v>
      </c>
      <c r="G53">
        <v>0.2</v>
      </c>
      <c r="I53" s="4" t="s">
        <v>674</v>
      </c>
      <c r="J53" s="4" t="s">
        <v>675</v>
      </c>
      <c r="K53" s="4" t="s">
        <v>844</v>
      </c>
      <c r="L53" s="4" t="s">
        <v>845</v>
      </c>
      <c r="M53">
        <v>88103</v>
      </c>
      <c r="N53" s="4" t="s">
        <v>591</v>
      </c>
      <c r="O53" s="4" t="s">
        <v>1140</v>
      </c>
      <c r="P53" s="4" t="s">
        <v>811</v>
      </c>
      <c r="Q53" s="9">
        <v>44889</v>
      </c>
      <c r="R53" s="4" t="s">
        <v>630</v>
      </c>
      <c r="S53" s="4" t="s">
        <v>1011</v>
      </c>
      <c r="T53" s="4" t="s">
        <v>47</v>
      </c>
      <c r="U53" s="4" t="s">
        <v>86</v>
      </c>
      <c r="V53">
        <v>2022</v>
      </c>
      <c r="W53" s="4" t="s">
        <v>1141</v>
      </c>
      <c r="X53" s="4" t="s">
        <v>47</v>
      </c>
      <c r="Y53" s="4" t="s">
        <v>1142</v>
      </c>
      <c r="Z53" s="4" t="s">
        <v>47</v>
      </c>
      <c r="AA53" s="4" t="s">
        <v>47</v>
      </c>
      <c r="AB53" s="4" t="s">
        <v>47</v>
      </c>
      <c r="AC53" s="4" t="s">
        <v>47</v>
      </c>
      <c r="AD53" s="4" t="s">
        <v>47</v>
      </c>
      <c r="AE53" s="4" t="s">
        <v>47</v>
      </c>
      <c r="AF53" s="4" t="s">
        <v>47</v>
      </c>
      <c r="AG53" s="4" t="s">
        <v>47</v>
      </c>
      <c r="AH53" s="4" t="s">
        <v>47</v>
      </c>
      <c r="AI53" s="4" t="s">
        <v>47</v>
      </c>
      <c r="AJ53" s="4" t="s">
        <v>47</v>
      </c>
      <c r="AK53" s="4" t="s">
        <v>47</v>
      </c>
      <c r="AL53" s="4" t="s">
        <v>47</v>
      </c>
      <c r="AM53" s="4" t="s">
        <v>47</v>
      </c>
      <c r="AN53" s="4" t="s">
        <v>47</v>
      </c>
      <c r="AO53" s="4" t="s">
        <v>47</v>
      </c>
      <c r="AP53" s="4" t="s">
        <v>1143</v>
      </c>
      <c r="AQ53" s="4" t="s">
        <v>1144</v>
      </c>
      <c r="AR53" s="4" t="s">
        <v>1145</v>
      </c>
    </row>
    <row r="54" spans="1:44" x14ac:dyDescent="0.2">
      <c r="A54" s="4" t="s">
        <v>144</v>
      </c>
      <c r="B54" s="4" t="s">
        <v>90</v>
      </c>
      <c r="C54">
        <v>0</v>
      </c>
      <c r="D54">
        <v>0.4</v>
      </c>
      <c r="F54">
        <v>0</v>
      </c>
      <c r="G54">
        <v>0.5</v>
      </c>
      <c r="I54" s="4" t="s">
        <v>612</v>
      </c>
      <c r="J54" s="4" t="s">
        <v>626</v>
      </c>
      <c r="K54" s="4" t="s">
        <v>610</v>
      </c>
      <c r="L54" s="4" t="s">
        <v>611</v>
      </c>
      <c r="M54">
        <v>59407</v>
      </c>
      <c r="N54" s="4" t="s">
        <v>627</v>
      </c>
      <c r="O54" s="4" t="s">
        <v>1146</v>
      </c>
      <c r="P54" s="4" t="s">
        <v>811</v>
      </c>
      <c r="Q54" s="9">
        <v>44888</v>
      </c>
      <c r="R54" s="4" t="s">
        <v>869</v>
      </c>
      <c r="S54" s="4" t="s">
        <v>716</v>
      </c>
      <c r="T54" s="4" t="s">
        <v>47</v>
      </c>
      <c r="U54" s="4" t="s">
        <v>86</v>
      </c>
      <c r="V54">
        <v>2022</v>
      </c>
      <c r="W54" s="4" t="s">
        <v>47</v>
      </c>
      <c r="X54" s="4" t="s">
        <v>47</v>
      </c>
      <c r="Y54" s="4" t="s">
        <v>47</v>
      </c>
      <c r="Z54" s="4" t="s">
        <v>47</v>
      </c>
      <c r="AA54" s="4" t="s">
        <v>47</v>
      </c>
      <c r="AB54" s="4" t="s">
        <v>47</v>
      </c>
      <c r="AC54" s="4" t="s">
        <v>47</v>
      </c>
      <c r="AD54" s="4" t="s">
        <v>47</v>
      </c>
      <c r="AE54" s="4" t="s">
        <v>47</v>
      </c>
      <c r="AF54" s="4" t="s">
        <v>47</v>
      </c>
      <c r="AG54" s="4" t="s">
        <v>47</v>
      </c>
      <c r="AH54" s="4" t="s">
        <v>47</v>
      </c>
      <c r="AI54" s="4" t="s">
        <v>47</v>
      </c>
      <c r="AJ54" s="4" t="s">
        <v>47</v>
      </c>
      <c r="AK54" s="4" t="s">
        <v>47</v>
      </c>
      <c r="AL54" s="4" t="s">
        <v>47</v>
      </c>
      <c r="AM54" s="4" t="s">
        <v>47</v>
      </c>
      <c r="AN54" s="4" t="s">
        <v>47</v>
      </c>
      <c r="AO54" s="4" t="s">
        <v>1147</v>
      </c>
      <c r="AP54" s="4" t="s">
        <v>47</v>
      </c>
      <c r="AQ54" s="4" t="s">
        <v>1148</v>
      </c>
      <c r="AR54" s="4" t="s">
        <v>1149</v>
      </c>
    </row>
    <row r="55" spans="1:44" x14ac:dyDescent="0.2">
      <c r="A55" s="4" t="s">
        <v>92</v>
      </c>
      <c r="B55" s="4" t="s">
        <v>161</v>
      </c>
      <c r="C55">
        <v>1</v>
      </c>
      <c r="D55">
        <v>3.1</v>
      </c>
      <c r="F55">
        <v>2</v>
      </c>
      <c r="G55">
        <v>1.5</v>
      </c>
      <c r="I55" s="4" t="s">
        <v>876</v>
      </c>
      <c r="J55" s="4" t="s">
        <v>877</v>
      </c>
      <c r="K55" s="4" t="s">
        <v>736</v>
      </c>
      <c r="L55" s="4" t="s">
        <v>737</v>
      </c>
      <c r="M55">
        <v>42608</v>
      </c>
      <c r="N55" s="4" t="s">
        <v>614</v>
      </c>
      <c r="O55" s="4" t="s">
        <v>1150</v>
      </c>
      <c r="P55" s="4" t="s">
        <v>811</v>
      </c>
      <c r="Q55" s="9">
        <v>44888</v>
      </c>
      <c r="R55" s="4" t="s">
        <v>664</v>
      </c>
      <c r="S55" s="4" t="s">
        <v>782</v>
      </c>
      <c r="T55" s="4" t="s">
        <v>47</v>
      </c>
      <c r="U55" s="4" t="s">
        <v>86</v>
      </c>
      <c r="V55">
        <v>2022</v>
      </c>
      <c r="W55" s="4" t="s">
        <v>47</v>
      </c>
      <c r="X55" s="4" t="s">
        <v>1151</v>
      </c>
      <c r="Y55" s="4" t="s">
        <v>47</v>
      </c>
      <c r="Z55" s="4" t="s">
        <v>1152</v>
      </c>
      <c r="AA55" s="4" t="s">
        <v>47</v>
      </c>
      <c r="AB55" s="4" t="s">
        <v>47</v>
      </c>
      <c r="AC55" s="4" t="s">
        <v>1153</v>
      </c>
      <c r="AD55" s="4" t="s">
        <v>47</v>
      </c>
      <c r="AE55" s="4" t="s">
        <v>47</v>
      </c>
      <c r="AF55" s="4" t="s">
        <v>47</v>
      </c>
      <c r="AG55" s="4" t="s">
        <v>47</v>
      </c>
      <c r="AH55" s="4" t="s">
        <v>47</v>
      </c>
      <c r="AI55" s="4" t="s">
        <v>47</v>
      </c>
      <c r="AJ55" s="4" t="s">
        <v>47</v>
      </c>
      <c r="AK55" s="4" t="s">
        <v>47</v>
      </c>
      <c r="AL55" s="4" t="s">
        <v>47</v>
      </c>
      <c r="AM55" s="4" t="s">
        <v>47</v>
      </c>
      <c r="AN55" s="4" t="s">
        <v>47</v>
      </c>
      <c r="AO55" s="4" t="s">
        <v>47</v>
      </c>
      <c r="AP55" s="4" t="s">
        <v>47</v>
      </c>
      <c r="AQ55" s="4" t="s">
        <v>1154</v>
      </c>
      <c r="AR55" s="4" t="s">
        <v>1155</v>
      </c>
    </row>
    <row r="56" spans="1:44" x14ac:dyDescent="0.2">
      <c r="A56" s="4" t="s">
        <v>20</v>
      </c>
      <c r="B56" s="4" t="s">
        <v>225</v>
      </c>
      <c r="C56">
        <v>7</v>
      </c>
      <c r="D56">
        <v>3.5</v>
      </c>
      <c r="F56">
        <v>0</v>
      </c>
      <c r="G56">
        <v>0</v>
      </c>
      <c r="I56" s="4" t="s">
        <v>711</v>
      </c>
      <c r="J56" s="4" t="s">
        <v>712</v>
      </c>
      <c r="K56" s="4" t="s">
        <v>874</v>
      </c>
      <c r="L56" s="4" t="s">
        <v>875</v>
      </c>
      <c r="M56">
        <v>40013</v>
      </c>
      <c r="N56" s="4" t="s">
        <v>649</v>
      </c>
      <c r="O56" s="4" t="s">
        <v>1156</v>
      </c>
      <c r="P56" s="4" t="s">
        <v>811</v>
      </c>
      <c r="Q56" s="9">
        <v>44888</v>
      </c>
      <c r="R56" s="4" t="s">
        <v>1157</v>
      </c>
      <c r="S56" s="4" t="s">
        <v>983</v>
      </c>
      <c r="T56" s="4" t="s">
        <v>47</v>
      </c>
      <c r="U56" s="4" t="s">
        <v>86</v>
      </c>
      <c r="V56">
        <v>2022</v>
      </c>
      <c r="W56" s="4" t="s">
        <v>1158</v>
      </c>
      <c r="X56" s="4" t="s">
        <v>47</v>
      </c>
      <c r="Y56" s="4" t="s">
        <v>1159</v>
      </c>
      <c r="Z56" s="4" t="s">
        <v>47</v>
      </c>
      <c r="AA56" s="4" t="s">
        <v>47</v>
      </c>
      <c r="AB56" s="4" t="s">
        <v>47</v>
      </c>
      <c r="AC56" s="4" t="s">
        <v>1160</v>
      </c>
      <c r="AD56" s="4" t="s">
        <v>47</v>
      </c>
      <c r="AE56" s="4" t="s">
        <v>47</v>
      </c>
      <c r="AF56" s="4" t="s">
        <v>47</v>
      </c>
      <c r="AG56" s="4" t="s">
        <v>47</v>
      </c>
      <c r="AH56" s="4" t="s">
        <v>47</v>
      </c>
      <c r="AI56" s="4" t="s">
        <v>47</v>
      </c>
      <c r="AJ56" s="4" t="s">
        <v>47</v>
      </c>
      <c r="AK56" s="4" t="s">
        <v>47</v>
      </c>
      <c r="AL56" s="4" t="s">
        <v>47</v>
      </c>
      <c r="AM56" s="4" t="s">
        <v>47</v>
      </c>
      <c r="AN56" s="4" t="s">
        <v>47</v>
      </c>
      <c r="AO56" s="4" t="s">
        <v>47</v>
      </c>
      <c r="AP56" s="4" t="s">
        <v>1161</v>
      </c>
      <c r="AQ56" s="4" t="s">
        <v>1162</v>
      </c>
      <c r="AR56" s="4" t="s">
        <v>1163</v>
      </c>
    </row>
    <row r="57" spans="1:44" x14ac:dyDescent="0.2">
      <c r="A57" s="4" t="s">
        <v>148</v>
      </c>
      <c r="B57" s="4" t="s">
        <v>185</v>
      </c>
      <c r="C57">
        <v>1</v>
      </c>
      <c r="D57">
        <v>0.8</v>
      </c>
      <c r="F57">
        <v>0</v>
      </c>
      <c r="G57">
        <v>2.4</v>
      </c>
      <c r="I57" s="4" t="s">
        <v>866</v>
      </c>
      <c r="J57" s="4" t="s">
        <v>1026</v>
      </c>
      <c r="K57" s="4" t="s">
        <v>856</v>
      </c>
      <c r="L57" s="4" t="s">
        <v>1034</v>
      </c>
      <c r="M57">
        <v>40432</v>
      </c>
      <c r="N57" s="4" t="s">
        <v>800</v>
      </c>
      <c r="O57" s="4" t="s">
        <v>1164</v>
      </c>
      <c r="P57" s="4" t="s">
        <v>811</v>
      </c>
      <c r="Q57" s="9">
        <v>44888</v>
      </c>
      <c r="R57" s="4" t="s">
        <v>652</v>
      </c>
      <c r="S57" s="4" t="s">
        <v>1165</v>
      </c>
      <c r="T57" s="4" t="s">
        <v>47</v>
      </c>
      <c r="U57" s="4" t="s">
        <v>86</v>
      </c>
      <c r="V57">
        <v>2022</v>
      </c>
      <c r="W57" s="4" t="s">
        <v>1166</v>
      </c>
      <c r="X57" s="4" t="s">
        <v>47</v>
      </c>
      <c r="Y57" s="4" t="s">
        <v>1167</v>
      </c>
      <c r="Z57" s="4" t="s">
        <v>47</v>
      </c>
      <c r="AA57" s="4" t="s">
        <v>47</v>
      </c>
      <c r="AB57" s="4" t="s">
        <v>47</v>
      </c>
      <c r="AC57" s="4" t="s">
        <v>47</v>
      </c>
      <c r="AD57" s="4" t="s">
        <v>47</v>
      </c>
      <c r="AE57" s="4" t="s">
        <v>47</v>
      </c>
      <c r="AF57" s="4" t="s">
        <v>1168</v>
      </c>
      <c r="AG57" s="4" t="s">
        <v>47</v>
      </c>
      <c r="AH57" s="4" t="s">
        <v>47</v>
      </c>
      <c r="AI57" s="4" t="s">
        <v>47</v>
      </c>
      <c r="AJ57" s="4" t="s">
        <v>47</v>
      </c>
      <c r="AK57" s="4" t="s">
        <v>47</v>
      </c>
      <c r="AL57" s="4" t="s">
        <v>47</v>
      </c>
      <c r="AM57" s="4" t="s">
        <v>47</v>
      </c>
      <c r="AN57" s="4" t="s">
        <v>47</v>
      </c>
      <c r="AO57" s="4" t="s">
        <v>1169</v>
      </c>
      <c r="AP57" s="4" t="s">
        <v>1170</v>
      </c>
      <c r="AQ57" s="4" t="s">
        <v>1171</v>
      </c>
      <c r="AR57" s="4" t="s">
        <v>1172</v>
      </c>
    </row>
    <row r="58" spans="1:44" x14ac:dyDescent="0.2">
      <c r="A58" s="4" t="s">
        <v>26</v>
      </c>
      <c r="B58" s="4" t="s">
        <v>240</v>
      </c>
      <c r="C58">
        <v>1</v>
      </c>
      <c r="D58">
        <v>2.2000000000000002</v>
      </c>
      <c r="F58">
        <v>2</v>
      </c>
      <c r="G58">
        <v>0.1</v>
      </c>
      <c r="I58" s="4" t="s">
        <v>587</v>
      </c>
      <c r="J58" s="4" t="s">
        <v>588</v>
      </c>
      <c r="K58" s="4" t="s">
        <v>918</v>
      </c>
      <c r="L58" s="4" t="s">
        <v>1173</v>
      </c>
      <c r="M58">
        <v>88012</v>
      </c>
      <c r="N58" s="4" t="s">
        <v>591</v>
      </c>
      <c r="O58" s="4" t="s">
        <v>1174</v>
      </c>
      <c r="P58" s="4" t="s">
        <v>811</v>
      </c>
      <c r="Q58" s="9">
        <v>44887</v>
      </c>
      <c r="R58" s="4" t="s">
        <v>664</v>
      </c>
      <c r="S58" s="4" t="s">
        <v>974</v>
      </c>
      <c r="T58" s="4" t="s">
        <v>47</v>
      </c>
      <c r="U58" s="4" t="s">
        <v>86</v>
      </c>
      <c r="V58">
        <v>2022</v>
      </c>
      <c r="W58" s="4" t="s">
        <v>47</v>
      </c>
      <c r="X58" s="4" t="s">
        <v>1175</v>
      </c>
      <c r="Y58" s="4" t="s">
        <v>47</v>
      </c>
      <c r="Z58" s="4" t="s">
        <v>1176</v>
      </c>
      <c r="AA58" s="4" t="s">
        <v>47</v>
      </c>
      <c r="AB58" s="4" t="s">
        <v>47</v>
      </c>
      <c r="AC58" s="4" t="s">
        <v>1177</v>
      </c>
      <c r="AD58" s="4" t="s">
        <v>47</v>
      </c>
      <c r="AE58" s="4" t="s">
        <v>47</v>
      </c>
      <c r="AF58" s="4" t="s">
        <v>47</v>
      </c>
      <c r="AG58" s="4" t="s">
        <v>47</v>
      </c>
      <c r="AH58" s="4" t="s">
        <v>47</v>
      </c>
      <c r="AI58" s="4" t="s">
        <v>47</v>
      </c>
      <c r="AJ58" s="4" t="s">
        <v>47</v>
      </c>
      <c r="AK58" s="4" t="s">
        <v>47</v>
      </c>
      <c r="AL58" s="4" t="s">
        <v>47</v>
      </c>
      <c r="AM58" s="4" t="s">
        <v>47</v>
      </c>
      <c r="AN58" s="4" t="s">
        <v>47</v>
      </c>
      <c r="AO58" s="4" t="s">
        <v>47</v>
      </c>
      <c r="AP58" s="4" t="s">
        <v>1178</v>
      </c>
      <c r="AQ58" s="4" t="s">
        <v>1179</v>
      </c>
      <c r="AR58" s="4" t="s">
        <v>1180</v>
      </c>
    </row>
    <row r="59" spans="1:44" x14ac:dyDescent="0.2">
      <c r="A59" s="4" t="s">
        <v>167</v>
      </c>
      <c r="B59" s="4" t="s">
        <v>213</v>
      </c>
      <c r="C59">
        <v>0</v>
      </c>
      <c r="D59">
        <v>1.4</v>
      </c>
      <c r="F59">
        <v>0</v>
      </c>
      <c r="G59">
        <v>0.9</v>
      </c>
      <c r="I59" s="4" t="s">
        <v>898</v>
      </c>
      <c r="J59" s="4" t="s">
        <v>1181</v>
      </c>
      <c r="K59" s="4" t="s">
        <v>908</v>
      </c>
      <c r="L59" s="4" t="s">
        <v>1055</v>
      </c>
      <c r="M59">
        <v>42925</v>
      </c>
      <c r="N59" s="4" t="s">
        <v>676</v>
      </c>
      <c r="O59" s="4" t="s">
        <v>1182</v>
      </c>
      <c r="P59" s="4" t="s">
        <v>811</v>
      </c>
      <c r="Q59" s="9">
        <v>44887</v>
      </c>
      <c r="R59" s="4" t="s">
        <v>869</v>
      </c>
      <c r="S59" s="4" t="s">
        <v>631</v>
      </c>
      <c r="T59" s="4" t="s">
        <v>47</v>
      </c>
      <c r="U59" s="4" t="s">
        <v>86</v>
      </c>
      <c r="V59">
        <v>2022</v>
      </c>
      <c r="W59" s="4" t="s">
        <v>47</v>
      </c>
      <c r="X59" s="4" t="s">
        <v>47</v>
      </c>
      <c r="Y59" s="4" t="s">
        <v>47</v>
      </c>
      <c r="Z59" s="4" t="s">
        <v>47</v>
      </c>
      <c r="AA59" s="4" t="s">
        <v>47</v>
      </c>
      <c r="AB59" s="4" t="s">
        <v>47</v>
      </c>
      <c r="AC59" s="4" t="s">
        <v>47</v>
      </c>
      <c r="AD59" s="4" t="s">
        <v>47</v>
      </c>
      <c r="AE59" s="4" t="s">
        <v>47</v>
      </c>
      <c r="AF59" s="4" t="s">
        <v>47</v>
      </c>
      <c r="AG59" s="4" t="s">
        <v>47</v>
      </c>
      <c r="AH59" s="4" t="s">
        <v>47</v>
      </c>
      <c r="AI59" s="4" t="s">
        <v>47</v>
      </c>
      <c r="AJ59" s="4" t="s">
        <v>47</v>
      </c>
      <c r="AK59" s="4" t="s">
        <v>47</v>
      </c>
      <c r="AL59" s="4" t="s">
        <v>47</v>
      </c>
      <c r="AM59" s="4" t="s">
        <v>47</v>
      </c>
      <c r="AN59" s="4" t="s">
        <v>47</v>
      </c>
      <c r="AO59" s="4" t="s">
        <v>1183</v>
      </c>
      <c r="AP59" s="4" t="s">
        <v>1184</v>
      </c>
      <c r="AQ59" s="4" t="s">
        <v>1185</v>
      </c>
      <c r="AR59" s="4" t="s">
        <v>1186</v>
      </c>
    </row>
    <row r="60" spans="1:44" x14ac:dyDescent="0.2">
      <c r="A60" s="4" t="s">
        <v>106</v>
      </c>
      <c r="B60" s="4" t="s">
        <v>195</v>
      </c>
      <c r="C60">
        <v>0</v>
      </c>
      <c r="D60">
        <v>0.7</v>
      </c>
      <c r="F60">
        <v>0</v>
      </c>
      <c r="G60">
        <v>0.9</v>
      </c>
      <c r="I60" s="4" t="s">
        <v>920</v>
      </c>
      <c r="J60" s="4" t="s">
        <v>921</v>
      </c>
      <c r="K60" s="4" t="s">
        <v>767</v>
      </c>
      <c r="L60" s="4" t="s">
        <v>768</v>
      </c>
      <c r="M60">
        <v>39369</v>
      </c>
      <c r="N60" s="4" t="s">
        <v>755</v>
      </c>
      <c r="O60" s="4" t="s">
        <v>1187</v>
      </c>
      <c r="P60" s="4" t="s">
        <v>811</v>
      </c>
      <c r="Q60" s="9">
        <v>44887</v>
      </c>
      <c r="R60" s="4" t="s">
        <v>869</v>
      </c>
      <c r="S60" s="4" t="s">
        <v>1188</v>
      </c>
      <c r="T60" s="4" t="s">
        <v>47</v>
      </c>
      <c r="U60" s="4" t="s">
        <v>86</v>
      </c>
      <c r="V60">
        <v>2022</v>
      </c>
      <c r="W60" s="4" t="s">
        <v>47</v>
      </c>
      <c r="X60" s="4" t="s">
        <v>47</v>
      </c>
      <c r="Y60" s="4" t="s">
        <v>47</v>
      </c>
      <c r="Z60" s="4" t="s">
        <v>47</v>
      </c>
      <c r="AA60" s="4" t="s">
        <v>47</v>
      </c>
      <c r="AB60" s="4" t="s">
        <v>47</v>
      </c>
      <c r="AC60" s="4" t="s">
        <v>47</v>
      </c>
      <c r="AD60" s="4" t="s">
        <v>47</v>
      </c>
      <c r="AE60" s="4" t="s">
        <v>47</v>
      </c>
      <c r="AF60" s="4" t="s">
        <v>1189</v>
      </c>
      <c r="AG60" s="4" t="s">
        <v>47</v>
      </c>
      <c r="AH60" s="4" t="s">
        <v>47</v>
      </c>
      <c r="AI60" s="4" t="s">
        <v>47</v>
      </c>
      <c r="AJ60" s="4" t="s">
        <v>47</v>
      </c>
      <c r="AK60" s="4" t="s">
        <v>47</v>
      </c>
      <c r="AL60" s="4" t="s">
        <v>47</v>
      </c>
      <c r="AM60" s="4" t="s">
        <v>47</v>
      </c>
      <c r="AN60" s="4" t="s">
        <v>47</v>
      </c>
      <c r="AO60" s="4" t="s">
        <v>1190</v>
      </c>
      <c r="AP60" s="4" t="s">
        <v>1191</v>
      </c>
      <c r="AQ60" s="4" t="s">
        <v>1192</v>
      </c>
      <c r="AR60" s="4" t="s">
        <v>1193</v>
      </c>
    </row>
    <row r="61" spans="1:44" x14ac:dyDescent="0.2">
      <c r="A61" s="4" t="s">
        <v>87</v>
      </c>
      <c r="B61" s="4" t="s">
        <v>179</v>
      </c>
      <c r="C61">
        <v>4</v>
      </c>
      <c r="D61">
        <v>4</v>
      </c>
      <c r="F61">
        <v>1</v>
      </c>
      <c r="G61">
        <v>0.5</v>
      </c>
      <c r="I61" s="4" t="s">
        <v>589</v>
      </c>
      <c r="J61" s="4" t="s">
        <v>590</v>
      </c>
      <c r="K61" s="4" t="s">
        <v>798</v>
      </c>
      <c r="L61" s="4" t="s">
        <v>799</v>
      </c>
      <c r="M61">
        <v>40875</v>
      </c>
      <c r="N61" s="4" t="s">
        <v>738</v>
      </c>
      <c r="O61" s="4" t="s">
        <v>1194</v>
      </c>
      <c r="P61" s="4" t="s">
        <v>811</v>
      </c>
      <c r="Q61" s="9">
        <v>44887</v>
      </c>
      <c r="R61" s="4" t="s">
        <v>757</v>
      </c>
      <c r="S61" s="4" t="s">
        <v>890</v>
      </c>
      <c r="T61" s="4" t="s">
        <v>47</v>
      </c>
      <c r="U61" s="4" t="s">
        <v>86</v>
      </c>
      <c r="V61">
        <v>2022</v>
      </c>
      <c r="W61" s="4" t="s">
        <v>1195</v>
      </c>
      <c r="X61" s="4" t="s">
        <v>1196</v>
      </c>
      <c r="Y61" s="4" t="s">
        <v>1197</v>
      </c>
      <c r="Z61" s="4" t="s">
        <v>1198</v>
      </c>
      <c r="AA61" s="4" t="s">
        <v>47</v>
      </c>
      <c r="AB61" s="4" t="s">
        <v>47</v>
      </c>
      <c r="AC61" s="4" t="s">
        <v>47</v>
      </c>
      <c r="AD61" s="4" t="s">
        <v>47</v>
      </c>
      <c r="AE61" s="4" t="s">
        <v>47</v>
      </c>
      <c r="AF61" s="4" t="s">
        <v>47</v>
      </c>
      <c r="AG61" s="4" t="s">
        <v>47</v>
      </c>
      <c r="AH61" s="4" t="s">
        <v>47</v>
      </c>
      <c r="AI61" s="4" t="s">
        <v>47</v>
      </c>
      <c r="AJ61" s="4" t="s">
        <v>47</v>
      </c>
      <c r="AK61" s="4" t="s">
        <v>47</v>
      </c>
      <c r="AL61" s="4" t="s">
        <v>47</v>
      </c>
      <c r="AM61" s="4" t="s">
        <v>47</v>
      </c>
      <c r="AN61" s="4" t="s">
        <v>47</v>
      </c>
      <c r="AO61" s="4" t="s">
        <v>47</v>
      </c>
      <c r="AP61" s="4" t="s">
        <v>1199</v>
      </c>
      <c r="AQ61" s="4" t="s">
        <v>1200</v>
      </c>
      <c r="AR61" s="4" t="s">
        <v>1201</v>
      </c>
    </row>
    <row r="62" spans="1:44" x14ac:dyDescent="0.2">
      <c r="A62" s="4" t="s">
        <v>52</v>
      </c>
      <c r="B62" s="4" t="s">
        <v>165</v>
      </c>
      <c r="C62">
        <v>6</v>
      </c>
      <c r="D62">
        <v>2.1</v>
      </c>
      <c r="F62">
        <v>2</v>
      </c>
      <c r="G62">
        <v>1.4</v>
      </c>
      <c r="I62" s="4" t="s">
        <v>661</v>
      </c>
      <c r="J62" s="4" t="s">
        <v>662</v>
      </c>
      <c r="K62" s="4" t="s">
        <v>960</v>
      </c>
      <c r="L62" s="4" t="s">
        <v>961</v>
      </c>
      <c r="M62">
        <v>45334</v>
      </c>
      <c r="N62" s="4" t="s">
        <v>614</v>
      </c>
      <c r="O62" s="4" t="s">
        <v>1202</v>
      </c>
      <c r="P62" s="4" t="s">
        <v>811</v>
      </c>
      <c r="Q62" s="9">
        <v>44886</v>
      </c>
      <c r="R62" s="4" t="s">
        <v>1203</v>
      </c>
      <c r="S62" s="4" t="s">
        <v>859</v>
      </c>
      <c r="T62" s="4" t="s">
        <v>47</v>
      </c>
      <c r="U62" s="4" t="s">
        <v>86</v>
      </c>
      <c r="V62">
        <v>2022</v>
      </c>
      <c r="W62" s="4" t="s">
        <v>1204</v>
      </c>
      <c r="X62" s="4" t="s">
        <v>1205</v>
      </c>
      <c r="Y62" s="4" t="s">
        <v>1206</v>
      </c>
      <c r="Z62" s="4" t="s">
        <v>1207</v>
      </c>
      <c r="AA62" s="4" t="s">
        <v>47</v>
      </c>
      <c r="AB62" s="4" t="s">
        <v>47</v>
      </c>
      <c r="AC62" s="4" t="s">
        <v>47</v>
      </c>
      <c r="AD62" s="4" t="s">
        <v>1208</v>
      </c>
      <c r="AE62" s="4" t="s">
        <v>47</v>
      </c>
      <c r="AF62" s="4" t="s">
        <v>47</v>
      </c>
      <c r="AG62" s="4" t="s">
        <v>47</v>
      </c>
      <c r="AH62" s="4" t="s">
        <v>47</v>
      </c>
      <c r="AI62" s="4" t="s">
        <v>47</v>
      </c>
      <c r="AJ62" s="4" t="s">
        <v>47</v>
      </c>
      <c r="AK62" s="4" t="s">
        <v>47</v>
      </c>
      <c r="AL62" s="4" t="s">
        <v>47</v>
      </c>
      <c r="AM62" s="4" t="s">
        <v>47</v>
      </c>
      <c r="AN62" s="4" t="s">
        <v>47</v>
      </c>
      <c r="AO62" s="4" t="s">
        <v>47</v>
      </c>
      <c r="AP62" s="4" t="s">
        <v>1209</v>
      </c>
      <c r="AQ62" s="4" t="s">
        <v>1210</v>
      </c>
      <c r="AR62" s="4" t="s">
        <v>1211</v>
      </c>
    </row>
    <row r="63" spans="1:44" x14ac:dyDescent="0.2">
      <c r="A63" s="4" t="s">
        <v>157</v>
      </c>
      <c r="B63" s="4" t="s">
        <v>95</v>
      </c>
      <c r="C63">
        <v>0</v>
      </c>
      <c r="D63">
        <v>0.9</v>
      </c>
      <c r="F63">
        <v>2</v>
      </c>
      <c r="G63">
        <v>0.7</v>
      </c>
      <c r="I63" s="4" t="s">
        <v>779</v>
      </c>
      <c r="J63" s="4" t="s">
        <v>780</v>
      </c>
      <c r="K63" s="4" t="s">
        <v>692</v>
      </c>
      <c r="L63" s="4" t="s">
        <v>693</v>
      </c>
      <c r="M63">
        <v>41721</v>
      </c>
      <c r="N63" s="4" t="s">
        <v>649</v>
      </c>
      <c r="O63" s="4" t="s">
        <v>1212</v>
      </c>
      <c r="P63" s="4" t="s">
        <v>811</v>
      </c>
      <c r="Q63" s="9">
        <v>44886</v>
      </c>
      <c r="R63" s="4" t="s">
        <v>824</v>
      </c>
      <c r="S63" s="4" t="s">
        <v>665</v>
      </c>
      <c r="T63" s="4" t="s">
        <v>47</v>
      </c>
      <c r="U63" s="4" t="s">
        <v>86</v>
      </c>
      <c r="V63">
        <v>2022</v>
      </c>
      <c r="W63" s="4" t="s">
        <v>47</v>
      </c>
      <c r="X63" s="4" t="s">
        <v>1213</v>
      </c>
      <c r="Y63" s="4" t="s">
        <v>47</v>
      </c>
      <c r="Z63" s="4" t="s">
        <v>1214</v>
      </c>
      <c r="AA63" s="4" t="s">
        <v>47</v>
      </c>
      <c r="AB63" s="4" t="s">
        <v>47</v>
      </c>
      <c r="AC63" s="4" t="s">
        <v>47</v>
      </c>
      <c r="AD63" s="4" t="s">
        <v>47</v>
      </c>
      <c r="AE63" s="4" t="s">
        <v>47</v>
      </c>
      <c r="AF63" s="4" t="s">
        <v>47</v>
      </c>
      <c r="AG63" s="4" t="s">
        <v>47</v>
      </c>
      <c r="AH63" s="4" t="s">
        <v>47</v>
      </c>
      <c r="AI63" s="4" t="s">
        <v>47</v>
      </c>
      <c r="AJ63" s="4" t="s">
        <v>47</v>
      </c>
      <c r="AK63" s="4" t="s">
        <v>47</v>
      </c>
      <c r="AL63" s="4" t="s">
        <v>47</v>
      </c>
      <c r="AM63" s="4" t="s">
        <v>47</v>
      </c>
      <c r="AN63" s="4" t="s">
        <v>47</v>
      </c>
      <c r="AO63" s="4" t="s">
        <v>1215</v>
      </c>
      <c r="AP63" s="4" t="s">
        <v>1216</v>
      </c>
      <c r="AQ63" s="4" t="s">
        <v>1217</v>
      </c>
      <c r="AR63" s="4" t="s">
        <v>1218</v>
      </c>
    </row>
    <row r="64" spans="1:44" x14ac:dyDescent="0.2">
      <c r="A64" s="4" t="s">
        <v>102</v>
      </c>
      <c r="B64" s="4" t="s">
        <v>197</v>
      </c>
      <c r="C64">
        <v>1</v>
      </c>
      <c r="D64">
        <v>0.8</v>
      </c>
      <c r="F64">
        <v>1</v>
      </c>
      <c r="G64">
        <v>1.5</v>
      </c>
      <c r="I64" s="4" t="s">
        <v>788</v>
      </c>
      <c r="J64" s="4" t="s">
        <v>789</v>
      </c>
      <c r="K64" s="4" t="s">
        <v>970</v>
      </c>
      <c r="L64" s="4" t="s">
        <v>971</v>
      </c>
      <c r="M64">
        <v>43418</v>
      </c>
      <c r="N64" s="4" t="s">
        <v>800</v>
      </c>
      <c r="O64" s="4" t="s">
        <v>1219</v>
      </c>
      <c r="P64" s="4" t="s">
        <v>811</v>
      </c>
      <c r="Q64" s="9">
        <v>44886</v>
      </c>
      <c r="R64" s="4" t="s">
        <v>1046</v>
      </c>
      <c r="S64" s="4" t="s">
        <v>618</v>
      </c>
      <c r="T64" s="4" t="s">
        <v>47</v>
      </c>
      <c r="U64" s="4" t="s">
        <v>86</v>
      </c>
      <c r="V64">
        <v>2022</v>
      </c>
      <c r="W64" s="4" t="s">
        <v>1220</v>
      </c>
      <c r="X64" s="4" t="s">
        <v>47</v>
      </c>
      <c r="Y64" s="4" t="s">
        <v>1221</v>
      </c>
      <c r="Z64" s="4" t="s">
        <v>47</v>
      </c>
      <c r="AA64" s="4" t="s">
        <v>47</v>
      </c>
      <c r="AB64" s="4" t="s">
        <v>47</v>
      </c>
      <c r="AC64" s="4" t="s">
        <v>47</v>
      </c>
      <c r="AD64" s="4" t="s">
        <v>1222</v>
      </c>
      <c r="AE64" s="4" t="s">
        <v>47</v>
      </c>
      <c r="AF64" s="4" t="s">
        <v>47</v>
      </c>
      <c r="AG64" s="4" t="s">
        <v>47</v>
      </c>
      <c r="AH64" s="4" t="s">
        <v>47</v>
      </c>
      <c r="AI64" s="4" t="s">
        <v>47</v>
      </c>
      <c r="AJ64" s="4" t="s">
        <v>47</v>
      </c>
      <c r="AK64" s="4" t="s">
        <v>47</v>
      </c>
      <c r="AL64" s="4" t="s">
        <v>47</v>
      </c>
      <c r="AM64" s="4" t="s">
        <v>47</v>
      </c>
      <c r="AN64" s="4" t="s">
        <v>47</v>
      </c>
      <c r="AO64" s="4" t="s">
        <v>1223</v>
      </c>
      <c r="AP64" s="4" t="s">
        <v>1224</v>
      </c>
      <c r="AQ64" s="4" t="s">
        <v>1225</v>
      </c>
      <c r="AR64" s="4" t="s">
        <v>1226</v>
      </c>
    </row>
    <row r="65" spans="1:44" x14ac:dyDescent="0.2">
      <c r="A65" s="4" t="s">
        <v>86</v>
      </c>
      <c r="B65" s="4" t="s">
        <v>171</v>
      </c>
      <c r="C65">
        <v>0</v>
      </c>
      <c r="D65">
        <v>0.3</v>
      </c>
      <c r="F65">
        <v>2</v>
      </c>
      <c r="G65">
        <v>1.2</v>
      </c>
      <c r="I65" s="4" t="s">
        <v>951</v>
      </c>
      <c r="J65" s="4" t="s">
        <v>952</v>
      </c>
      <c r="K65" s="4" t="s">
        <v>940</v>
      </c>
      <c r="L65" s="4" t="s">
        <v>941</v>
      </c>
      <c r="M65">
        <v>67372</v>
      </c>
      <c r="N65" s="4" t="s">
        <v>627</v>
      </c>
      <c r="O65" s="4" t="s">
        <v>1081</v>
      </c>
      <c r="P65" s="4" t="s">
        <v>811</v>
      </c>
      <c r="Q65" s="9">
        <v>44885</v>
      </c>
      <c r="R65" s="4" t="s">
        <v>824</v>
      </c>
      <c r="S65" s="4" t="s">
        <v>639</v>
      </c>
      <c r="T65" s="4" t="s">
        <v>47</v>
      </c>
      <c r="U65" s="4" t="s">
        <v>86</v>
      </c>
      <c r="V65">
        <v>2022</v>
      </c>
      <c r="W65" s="4" t="s">
        <v>47</v>
      </c>
      <c r="X65" s="4" t="s">
        <v>1227</v>
      </c>
      <c r="Y65" s="4" t="s">
        <v>47</v>
      </c>
      <c r="Z65" s="4" t="s">
        <v>1228</v>
      </c>
      <c r="AA65" s="4" t="s">
        <v>47</v>
      </c>
      <c r="AB65" s="4" t="s">
        <v>47</v>
      </c>
      <c r="AC65" s="4" t="s">
        <v>47</v>
      </c>
      <c r="AD65" s="4" t="s">
        <v>1229</v>
      </c>
      <c r="AE65" s="4" t="s">
        <v>47</v>
      </c>
      <c r="AF65" s="4" t="s">
        <v>47</v>
      </c>
      <c r="AG65" s="4" t="s">
        <v>47</v>
      </c>
      <c r="AH65" s="4" t="s">
        <v>47</v>
      </c>
      <c r="AI65" s="4" t="s">
        <v>47</v>
      </c>
      <c r="AJ65" s="4" t="s">
        <v>47</v>
      </c>
      <c r="AK65" s="4" t="s">
        <v>47</v>
      </c>
      <c r="AL65" s="4" t="s">
        <v>47</v>
      </c>
      <c r="AM65" s="4" t="s">
        <v>47</v>
      </c>
      <c r="AN65" s="4" t="s">
        <v>47</v>
      </c>
      <c r="AO65" s="4" t="s">
        <v>1230</v>
      </c>
      <c r="AP65" s="4" t="s">
        <v>1231</v>
      </c>
      <c r="AQ65" s="4" t="s">
        <v>1232</v>
      </c>
      <c r="AR65" s="4" t="s">
        <v>1233</v>
      </c>
    </row>
    <row r="66" spans="1:44" x14ac:dyDescent="0.2">
      <c r="A66" s="4" t="s">
        <v>87</v>
      </c>
      <c r="B66" s="4" t="s">
        <v>90</v>
      </c>
      <c r="C66">
        <v>4</v>
      </c>
      <c r="D66">
        <v>1.1000000000000001</v>
      </c>
      <c r="F66">
        <v>2</v>
      </c>
      <c r="G66">
        <v>1.1000000000000001</v>
      </c>
      <c r="I66" s="4" t="s">
        <v>589</v>
      </c>
      <c r="J66" s="4" t="s">
        <v>590</v>
      </c>
      <c r="K66" s="4" t="s">
        <v>610</v>
      </c>
      <c r="L66" s="4" t="s">
        <v>611</v>
      </c>
      <c r="M66">
        <v>78011</v>
      </c>
      <c r="N66" s="4" t="s">
        <v>1234</v>
      </c>
      <c r="O66" s="4" t="s">
        <v>1235</v>
      </c>
      <c r="P66" s="4" t="s">
        <v>593</v>
      </c>
      <c r="Q66" s="9">
        <v>43296</v>
      </c>
      <c r="R66" s="4" t="s">
        <v>1236</v>
      </c>
      <c r="S66" s="4" t="s">
        <v>1237</v>
      </c>
      <c r="T66" s="4" t="s">
        <v>47</v>
      </c>
      <c r="U66" s="4" t="s">
        <v>89</v>
      </c>
      <c r="V66">
        <v>2018</v>
      </c>
      <c r="W66" s="4" t="s">
        <v>1238</v>
      </c>
      <c r="X66" s="4" t="s">
        <v>1239</v>
      </c>
      <c r="Y66" s="4" t="s">
        <v>1240</v>
      </c>
      <c r="Z66" s="4" t="s">
        <v>1241</v>
      </c>
      <c r="AA66" s="4" t="s">
        <v>1242</v>
      </c>
      <c r="AB66" s="4" t="s">
        <v>47</v>
      </c>
      <c r="AC66" s="4" t="s">
        <v>1243</v>
      </c>
      <c r="AD66" s="4" t="s">
        <v>47</v>
      </c>
      <c r="AE66" s="4" t="s">
        <v>47</v>
      </c>
      <c r="AF66" s="4" t="s">
        <v>47</v>
      </c>
      <c r="AG66" s="4" t="s">
        <v>47</v>
      </c>
      <c r="AH66" s="4" t="s">
        <v>47</v>
      </c>
      <c r="AI66" s="4" t="s">
        <v>47</v>
      </c>
      <c r="AJ66" s="4" t="s">
        <v>47</v>
      </c>
      <c r="AK66" s="4" t="s">
        <v>47</v>
      </c>
      <c r="AL66" s="4" t="s">
        <v>47</v>
      </c>
      <c r="AM66" s="4" t="s">
        <v>47</v>
      </c>
      <c r="AN66" s="4" t="s">
        <v>47</v>
      </c>
      <c r="AO66" s="4" t="s">
        <v>1244</v>
      </c>
      <c r="AP66" s="4" t="s">
        <v>1245</v>
      </c>
      <c r="AQ66" s="4" t="s">
        <v>1246</v>
      </c>
      <c r="AR66" s="4" t="s">
        <v>1247</v>
      </c>
    </row>
    <row r="67" spans="1:44" x14ac:dyDescent="0.2">
      <c r="A67" s="4" t="s">
        <v>148</v>
      </c>
      <c r="B67" s="4" t="s">
        <v>52</v>
      </c>
      <c r="C67">
        <v>2</v>
      </c>
      <c r="D67">
        <v>1.5</v>
      </c>
      <c r="F67">
        <v>0</v>
      </c>
      <c r="G67">
        <v>1</v>
      </c>
      <c r="I67" s="4" t="s">
        <v>866</v>
      </c>
      <c r="J67" s="4" t="s">
        <v>1026</v>
      </c>
      <c r="K67" s="4" t="s">
        <v>661</v>
      </c>
      <c r="L67" s="4" t="s">
        <v>662</v>
      </c>
      <c r="M67">
        <v>64406</v>
      </c>
      <c r="N67" s="4" t="s">
        <v>1248</v>
      </c>
      <c r="O67" s="4" t="s">
        <v>1249</v>
      </c>
      <c r="P67" s="4" t="s">
        <v>616</v>
      </c>
      <c r="Q67" s="9">
        <v>43295</v>
      </c>
      <c r="R67" s="4" t="s">
        <v>630</v>
      </c>
      <c r="S67" s="4" t="s">
        <v>1011</v>
      </c>
      <c r="T67" s="4" t="s">
        <v>47</v>
      </c>
      <c r="U67" s="4" t="s">
        <v>89</v>
      </c>
      <c r="V67">
        <v>2018</v>
      </c>
      <c r="W67" s="4" t="s">
        <v>1250</v>
      </c>
      <c r="X67" s="4" t="s">
        <v>47</v>
      </c>
      <c r="Y67" s="4" t="s">
        <v>1251</v>
      </c>
      <c r="Z67" s="4" t="s">
        <v>47</v>
      </c>
      <c r="AA67" s="4" t="s">
        <v>47</v>
      </c>
      <c r="AB67" s="4" t="s">
        <v>47</v>
      </c>
      <c r="AC67" s="4" t="s">
        <v>47</v>
      </c>
      <c r="AD67" s="4" t="s">
        <v>47</v>
      </c>
      <c r="AE67" s="4" t="s">
        <v>47</v>
      </c>
      <c r="AF67" s="4" t="s">
        <v>47</v>
      </c>
      <c r="AG67" s="4" t="s">
        <v>47</v>
      </c>
      <c r="AH67" s="4" t="s">
        <v>47</v>
      </c>
      <c r="AI67" s="4" t="s">
        <v>47</v>
      </c>
      <c r="AJ67" s="4" t="s">
        <v>47</v>
      </c>
      <c r="AK67" s="4" t="s">
        <v>47</v>
      </c>
      <c r="AL67" s="4" t="s">
        <v>47</v>
      </c>
      <c r="AM67" s="4" t="s">
        <v>47</v>
      </c>
      <c r="AN67" s="4" t="s">
        <v>47</v>
      </c>
      <c r="AO67" s="4" t="s">
        <v>1252</v>
      </c>
      <c r="AP67" s="4" t="s">
        <v>1253</v>
      </c>
      <c r="AQ67" s="4" t="s">
        <v>1254</v>
      </c>
      <c r="AR67" s="4" t="s">
        <v>1255</v>
      </c>
    </row>
    <row r="68" spans="1:44" x14ac:dyDescent="0.2">
      <c r="A68" s="4" t="s">
        <v>90</v>
      </c>
      <c r="B68" s="4" t="s">
        <v>52</v>
      </c>
      <c r="C68">
        <v>2</v>
      </c>
      <c r="D68">
        <v>1.7</v>
      </c>
      <c r="F68">
        <v>1</v>
      </c>
      <c r="G68">
        <v>0.6</v>
      </c>
      <c r="I68" s="4" t="s">
        <v>610</v>
      </c>
      <c r="J68" s="4" t="s">
        <v>611</v>
      </c>
      <c r="K68" s="4" t="s">
        <v>661</v>
      </c>
      <c r="L68" s="4" t="s">
        <v>662</v>
      </c>
      <c r="M68">
        <v>78011</v>
      </c>
      <c r="N68" s="4" t="s">
        <v>1234</v>
      </c>
      <c r="O68" s="4" t="s">
        <v>1256</v>
      </c>
      <c r="P68" s="4" t="s">
        <v>629</v>
      </c>
      <c r="Q68" s="9">
        <v>43292</v>
      </c>
      <c r="R68" s="4" t="s">
        <v>617</v>
      </c>
      <c r="S68" s="4" t="s">
        <v>1257</v>
      </c>
      <c r="T68" s="4" t="s">
        <v>1258</v>
      </c>
      <c r="U68" s="4" t="s">
        <v>89</v>
      </c>
      <c r="V68">
        <v>2018</v>
      </c>
      <c r="W68" s="4" t="s">
        <v>1259</v>
      </c>
      <c r="X68" s="4" t="s">
        <v>1260</v>
      </c>
      <c r="Y68" s="4" t="s">
        <v>1261</v>
      </c>
      <c r="Z68" s="4" t="s">
        <v>1262</v>
      </c>
      <c r="AA68" s="4" t="s">
        <v>47</v>
      </c>
      <c r="AB68" s="4" t="s">
        <v>47</v>
      </c>
      <c r="AC68" s="4" t="s">
        <v>47</v>
      </c>
      <c r="AD68" s="4" t="s">
        <v>47</v>
      </c>
      <c r="AE68" s="4" t="s">
        <v>47</v>
      </c>
      <c r="AF68" s="4" t="s">
        <v>47</v>
      </c>
      <c r="AG68" s="4" t="s">
        <v>47</v>
      </c>
      <c r="AH68" s="4" t="s">
        <v>47</v>
      </c>
      <c r="AI68" s="4" t="s">
        <v>47</v>
      </c>
      <c r="AJ68" s="4" t="s">
        <v>47</v>
      </c>
      <c r="AK68" s="4" t="s">
        <v>47</v>
      </c>
      <c r="AL68" s="4" t="s">
        <v>47</v>
      </c>
      <c r="AM68" s="4" t="s">
        <v>47</v>
      </c>
      <c r="AN68" s="4" t="s">
        <v>47</v>
      </c>
      <c r="AO68" s="4" t="s">
        <v>1263</v>
      </c>
      <c r="AP68" s="4" t="s">
        <v>1264</v>
      </c>
      <c r="AQ68" s="4" t="s">
        <v>1265</v>
      </c>
      <c r="AR68" s="4" t="s">
        <v>1266</v>
      </c>
    </row>
    <row r="69" spans="1:44" x14ac:dyDescent="0.2">
      <c r="A69" s="4" t="s">
        <v>87</v>
      </c>
      <c r="B69" s="4" t="s">
        <v>148</v>
      </c>
      <c r="C69">
        <v>1</v>
      </c>
      <c r="D69">
        <v>1.7</v>
      </c>
      <c r="F69">
        <v>0</v>
      </c>
      <c r="G69">
        <v>0.4</v>
      </c>
      <c r="I69" s="4" t="s">
        <v>589</v>
      </c>
      <c r="J69" s="4" t="s">
        <v>590</v>
      </c>
      <c r="K69" s="4" t="s">
        <v>866</v>
      </c>
      <c r="L69" s="4" t="s">
        <v>1026</v>
      </c>
      <c r="M69">
        <v>64286</v>
      </c>
      <c r="N69" s="4" t="s">
        <v>1248</v>
      </c>
      <c r="O69" s="4" t="s">
        <v>1267</v>
      </c>
      <c r="P69" s="4" t="s">
        <v>629</v>
      </c>
      <c r="Q69" s="9">
        <v>43291</v>
      </c>
      <c r="R69" s="4" t="s">
        <v>652</v>
      </c>
      <c r="S69" s="4" t="s">
        <v>1268</v>
      </c>
      <c r="T69" s="4" t="s">
        <v>47</v>
      </c>
      <c r="U69" s="4" t="s">
        <v>89</v>
      </c>
      <c r="V69">
        <v>2018</v>
      </c>
      <c r="W69" s="4" t="s">
        <v>1269</v>
      </c>
      <c r="X69" s="4" t="s">
        <v>47</v>
      </c>
      <c r="Y69" s="4" t="s">
        <v>1270</v>
      </c>
      <c r="Z69" s="4" t="s">
        <v>47</v>
      </c>
      <c r="AA69" s="4" t="s">
        <v>47</v>
      </c>
      <c r="AB69" s="4" t="s">
        <v>47</v>
      </c>
      <c r="AC69" s="4" t="s">
        <v>47</v>
      </c>
      <c r="AD69" s="4" t="s">
        <v>47</v>
      </c>
      <c r="AE69" s="4" t="s">
        <v>47</v>
      </c>
      <c r="AF69" s="4" t="s">
        <v>47</v>
      </c>
      <c r="AG69" s="4" t="s">
        <v>47</v>
      </c>
      <c r="AH69" s="4" t="s">
        <v>47</v>
      </c>
      <c r="AI69" s="4" t="s">
        <v>47</v>
      </c>
      <c r="AJ69" s="4" t="s">
        <v>47</v>
      </c>
      <c r="AK69" s="4" t="s">
        <v>47</v>
      </c>
      <c r="AL69" s="4" t="s">
        <v>47</v>
      </c>
      <c r="AM69" s="4" t="s">
        <v>47</v>
      </c>
      <c r="AN69" s="4" t="s">
        <v>47</v>
      </c>
      <c r="AO69" s="4" t="s">
        <v>1271</v>
      </c>
      <c r="AP69" s="4" t="s">
        <v>1272</v>
      </c>
      <c r="AQ69" s="4" t="s">
        <v>1273</v>
      </c>
      <c r="AR69" s="4" t="s">
        <v>1274</v>
      </c>
    </row>
    <row r="70" spans="1:44" x14ac:dyDescent="0.2">
      <c r="A70" s="4" t="s">
        <v>116</v>
      </c>
      <c r="B70" s="4" t="s">
        <v>52</v>
      </c>
      <c r="C70">
        <v>0</v>
      </c>
      <c r="D70">
        <v>0.5</v>
      </c>
      <c r="F70">
        <v>2</v>
      </c>
      <c r="G70">
        <v>1</v>
      </c>
      <c r="I70" s="4" t="s">
        <v>1275</v>
      </c>
      <c r="J70" s="4" t="s">
        <v>1276</v>
      </c>
      <c r="K70" s="4" t="s">
        <v>661</v>
      </c>
      <c r="L70" s="4" t="s">
        <v>662</v>
      </c>
      <c r="M70">
        <v>39991</v>
      </c>
      <c r="N70" s="4" t="s">
        <v>1277</v>
      </c>
      <c r="O70" s="4" t="s">
        <v>1278</v>
      </c>
      <c r="P70" s="4" t="s">
        <v>651</v>
      </c>
      <c r="Q70" s="9">
        <v>43288</v>
      </c>
      <c r="R70" s="4" t="s">
        <v>824</v>
      </c>
      <c r="S70" s="4" t="s">
        <v>1279</v>
      </c>
      <c r="T70" s="4" t="s">
        <v>47</v>
      </c>
      <c r="U70" s="4" t="s">
        <v>89</v>
      </c>
      <c r="V70">
        <v>2018</v>
      </c>
      <c r="W70" s="4" t="s">
        <v>47</v>
      </c>
      <c r="X70" s="4" t="s">
        <v>1280</v>
      </c>
      <c r="Y70" s="4" t="s">
        <v>47</v>
      </c>
      <c r="Z70" s="4" t="s">
        <v>1281</v>
      </c>
      <c r="AA70" s="4" t="s">
        <v>47</v>
      </c>
      <c r="AB70" s="4" t="s">
        <v>47</v>
      </c>
      <c r="AC70" s="4" t="s">
        <v>47</v>
      </c>
      <c r="AD70" s="4" t="s">
        <v>47</v>
      </c>
      <c r="AE70" s="4" t="s">
        <v>47</v>
      </c>
      <c r="AF70" s="4" t="s">
        <v>47</v>
      </c>
      <c r="AG70" s="4" t="s">
        <v>47</v>
      </c>
      <c r="AH70" s="4" t="s">
        <v>47</v>
      </c>
      <c r="AI70" s="4" t="s">
        <v>47</v>
      </c>
      <c r="AJ70" s="4" t="s">
        <v>47</v>
      </c>
      <c r="AK70" s="4" t="s">
        <v>47</v>
      </c>
      <c r="AL70" s="4" t="s">
        <v>47</v>
      </c>
      <c r="AM70" s="4" t="s">
        <v>47</v>
      </c>
      <c r="AN70" s="4" t="s">
        <v>47</v>
      </c>
      <c r="AO70" s="4" t="s">
        <v>1282</v>
      </c>
      <c r="AP70" s="4" t="s">
        <v>1283</v>
      </c>
      <c r="AQ70" s="4" t="s">
        <v>1284</v>
      </c>
      <c r="AR70" s="4" t="s">
        <v>1285</v>
      </c>
    </row>
    <row r="71" spans="1:44" x14ac:dyDescent="0.2">
      <c r="A71" s="4" t="s">
        <v>89</v>
      </c>
      <c r="B71" s="4" t="s">
        <v>90</v>
      </c>
      <c r="C71">
        <v>2</v>
      </c>
      <c r="D71">
        <v>1</v>
      </c>
      <c r="E71">
        <v>3</v>
      </c>
      <c r="F71">
        <v>2</v>
      </c>
      <c r="G71">
        <v>1.7</v>
      </c>
      <c r="H71">
        <v>4</v>
      </c>
      <c r="I71" s="4" t="s">
        <v>1286</v>
      </c>
      <c r="J71" s="4" t="s">
        <v>1287</v>
      </c>
      <c r="K71" s="4" t="s">
        <v>610</v>
      </c>
      <c r="L71" s="4" t="s">
        <v>611</v>
      </c>
      <c r="M71">
        <v>44287</v>
      </c>
      <c r="N71" s="4" t="s">
        <v>1288</v>
      </c>
      <c r="O71" s="4" t="s">
        <v>1289</v>
      </c>
      <c r="P71" s="4" t="s">
        <v>651</v>
      </c>
      <c r="Q71" s="9">
        <v>43288</v>
      </c>
      <c r="R71" s="4" t="s">
        <v>695</v>
      </c>
      <c r="S71" s="4" t="s">
        <v>1290</v>
      </c>
      <c r="T71" s="4" t="s">
        <v>680</v>
      </c>
      <c r="U71" s="4" t="s">
        <v>89</v>
      </c>
      <c r="V71">
        <v>2018</v>
      </c>
      <c r="W71" s="4" t="s">
        <v>1291</v>
      </c>
      <c r="X71" s="4" t="s">
        <v>1292</v>
      </c>
      <c r="Y71" s="4" t="s">
        <v>1293</v>
      </c>
      <c r="Z71" s="4" t="s">
        <v>1294</v>
      </c>
      <c r="AA71" s="4" t="s">
        <v>47</v>
      </c>
      <c r="AB71" s="4" t="s">
        <v>47</v>
      </c>
      <c r="AC71" s="4" t="s">
        <v>47</v>
      </c>
      <c r="AD71" s="4" t="s">
        <v>47</v>
      </c>
      <c r="AE71" s="4" t="s">
        <v>47</v>
      </c>
      <c r="AF71" s="4" t="s">
        <v>47</v>
      </c>
      <c r="AG71" s="4" t="s">
        <v>1295</v>
      </c>
      <c r="AH71" s="4" t="s">
        <v>1296</v>
      </c>
      <c r="AI71" s="4" t="s">
        <v>1297</v>
      </c>
      <c r="AJ71" s="4" t="s">
        <v>1298</v>
      </c>
      <c r="AK71" s="4" t="s">
        <v>47</v>
      </c>
      <c r="AL71" s="4" t="s">
        <v>47</v>
      </c>
      <c r="AM71" s="4" t="s">
        <v>47</v>
      </c>
      <c r="AN71" s="4" t="s">
        <v>47</v>
      </c>
      <c r="AO71" s="4" t="s">
        <v>1299</v>
      </c>
      <c r="AP71" s="4" t="s">
        <v>1300</v>
      </c>
      <c r="AQ71" s="4" t="s">
        <v>1301</v>
      </c>
      <c r="AR71" s="4" t="s">
        <v>1302</v>
      </c>
    </row>
    <row r="72" spans="1:44" x14ac:dyDescent="0.2">
      <c r="A72" s="4" t="s">
        <v>121</v>
      </c>
      <c r="B72" s="4" t="s">
        <v>87</v>
      </c>
      <c r="C72">
        <v>0</v>
      </c>
      <c r="D72">
        <v>0.9</v>
      </c>
      <c r="F72">
        <v>2</v>
      </c>
      <c r="G72">
        <v>0.5</v>
      </c>
      <c r="I72" s="4" t="s">
        <v>1303</v>
      </c>
      <c r="J72" s="4" t="s">
        <v>1009</v>
      </c>
      <c r="K72" s="4" t="s">
        <v>589</v>
      </c>
      <c r="L72" s="4" t="s">
        <v>590</v>
      </c>
      <c r="M72">
        <v>43319</v>
      </c>
      <c r="N72" s="4" t="s">
        <v>1304</v>
      </c>
      <c r="O72" s="4" t="s">
        <v>1305</v>
      </c>
      <c r="P72" s="4" t="s">
        <v>651</v>
      </c>
      <c r="Q72" s="9">
        <v>43287</v>
      </c>
      <c r="R72" s="4" t="s">
        <v>824</v>
      </c>
      <c r="S72" s="4" t="s">
        <v>1237</v>
      </c>
      <c r="T72" s="4" t="s">
        <v>47</v>
      </c>
      <c r="U72" s="4" t="s">
        <v>89</v>
      </c>
      <c r="V72">
        <v>2018</v>
      </c>
      <c r="W72" s="4" t="s">
        <v>47</v>
      </c>
      <c r="X72" s="4" t="s">
        <v>1306</v>
      </c>
      <c r="Y72" s="4" t="s">
        <v>47</v>
      </c>
      <c r="Z72" s="4" t="s">
        <v>1307</v>
      </c>
      <c r="AA72" s="4" t="s">
        <v>47</v>
      </c>
      <c r="AB72" s="4" t="s">
        <v>47</v>
      </c>
      <c r="AC72" s="4" t="s">
        <v>47</v>
      </c>
      <c r="AD72" s="4" t="s">
        <v>47</v>
      </c>
      <c r="AE72" s="4" t="s">
        <v>47</v>
      </c>
      <c r="AF72" s="4" t="s">
        <v>47</v>
      </c>
      <c r="AG72" s="4" t="s">
        <v>47</v>
      </c>
      <c r="AH72" s="4" t="s">
        <v>47</v>
      </c>
      <c r="AI72" s="4" t="s">
        <v>47</v>
      </c>
      <c r="AJ72" s="4" t="s">
        <v>47</v>
      </c>
      <c r="AK72" s="4" t="s">
        <v>47</v>
      </c>
      <c r="AL72" s="4" t="s">
        <v>47</v>
      </c>
      <c r="AM72" s="4" t="s">
        <v>47</v>
      </c>
      <c r="AN72" s="4" t="s">
        <v>47</v>
      </c>
      <c r="AO72" s="4" t="s">
        <v>1308</v>
      </c>
      <c r="AP72" s="4" t="s">
        <v>1309</v>
      </c>
      <c r="AQ72" s="4" t="s">
        <v>1310</v>
      </c>
      <c r="AR72" s="4" t="s">
        <v>1311</v>
      </c>
    </row>
    <row r="73" spans="1:44" x14ac:dyDescent="0.2">
      <c r="A73" s="4" t="s">
        <v>12</v>
      </c>
      <c r="B73" s="4" t="s">
        <v>148</v>
      </c>
      <c r="C73">
        <v>1</v>
      </c>
      <c r="D73">
        <v>2.8</v>
      </c>
      <c r="F73">
        <v>2</v>
      </c>
      <c r="G73">
        <v>0.5</v>
      </c>
      <c r="I73" s="4" t="s">
        <v>674</v>
      </c>
      <c r="J73" s="4" t="s">
        <v>1312</v>
      </c>
      <c r="K73" s="4" t="s">
        <v>866</v>
      </c>
      <c r="L73" s="4" t="s">
        <v>1026</v>
      </c>
      <c r="M73">
        <v>42873</v>
      </c>
      <c r="N73" s="4" t="s">
        <v>1313</v>
      </c>
      <c r="O73" s="4" t="s">
        <v>1314</v>
      </c>
      <c r="P73" s="4" t="s">
        <v>651</v>
      </c>
      <c r="Q73" s="9">
        <v>43287</v>
      </c>
      <c r="R73" s="4" t="s">
        <v>664</v>
      </c>
      <c r="S73" s="4" t="s">
        <v>1315</v>
      </c>
      <c r="T73" s="4" t="s">
        <v>47</v>
      </c>
      <c r="U73" s="4" t="s">
        <v>89</v>
      </c>
      <c r="V73">
        <v>2018</v>
      </c>
      <c r="W73" s="4" t="s">
        <v>1316</v>
      </c>
      <c r="X73" s="4" t="s">
        <v>1317</v>
      </c>
      <c r="Y73" s="4" t="s">
        <v>1318</v>
      </c>
      <c r="Z73" s="4" t="s">
        <v>1319</v>
      </c>
      <c r="AA73" s="4" t="s">
        <v>47</v>
      </c>
      <c r="AB73" s="4" t="s">
        <v>1320</v>
      </c>
      <c r="AC73" s="4" t="s">
        <v>47</v>
      </c>
      <c r="AD73" s="4" t="s">
        <v>47</v>
      </c>
      <c r="AE73" s="4" t="s">
        <v>47</v>
      </c>
      <c r="AF73" s="4" t="s">
        <v>47</v>
      </c>
      <c r="AG73" s="4" t="s">
        <v>47</v>
      </c>
      <c r="AH73" s="4" t="s">
        <v>47</v>
      </c>
      <c r="AI73" s="4" t="s">
        <v>47</v>
      </c>
      <c r="AJ73" s="4" t="s">
        <v>47</v>
      </c>
      <c r="AK73" s="4" t="s">
        <v>47</v>
      </c>
      <c r="AL73" s="4" t="s">
        <v>47</v>
      </c>
      <c r="AM73" s="4" t="s">
        <v>47</v>
      </c>
      <c r="AN73" s="4" t="s">
        <v>47</v>
      </c>
      <c r="AO73" s="4" t="s">
        <v>1321</v>
      </c>
      <c r="AP73" s="4" t="s">
        <v>1322</v>
      </c>
      <c r="AQ73" s="4" t="s">
        <v>1323</v>
      </c>
      <c r="AR73" s="4" t="s">
        <v>1324</v>
      </c>
    </row>
    <row r="74" spans="1:44" x14ac:dyDescent="0.2">
      <c r="A74" s="4" t="s">
        <v>116</v>
      </c>
      <c r="B74" s="4" t="s">
        <v>118</v>
      </c>
      <c r="C74">
        <v>1</v>
      </c>
      <c r="D74">
        <v>1.3</v>
      </c>
      <c r="F74">
        <v>0</v>
      </c>
      <c r="G74">
        <v>0.7</v>
      </c>
      <c r="I74" s="4" t="s">
        <v>1275</v>
      </c>
      <c r="J74" s="4" t="s">
        <v>1276</v>
      </c>
      <c r="K74" s="4" t="s">
        <v>1325</v>
      </c>
      <c r="L74" s="4" t="s">
        <v>1326</v>
      </c>
      <c r="M74">
        <v>64042</v>
      </c>
      <c r="N74" s="4" t="s">
        <v>1248</v>
      </c>
      <c r="O74" s="4" t="s">
        <v>1327</v>
      </c>
      <c r="P74" s="4" t="s">
        <v>714</v>
      </c>
      <c r="Q74" s="9">
        <v>43284</v>
      </c>
      <c r="R74" s="4" t="s">
        <v>652</v>
      </c>
      <c r="S74" s="4" t="s">
        <v>1328</v>
      </c>
      <c r="T74" s="4" t="s">
        <v>47</v>
      </c>
      <c r="U74" s="4" t="s">
        <v>89</v>
      </c>
      <c r="V74">
        <v>2018</v>
      </c>
      <c r="W74" s="4" t="s">
        <v>1329</v>
      </c>
      <c r="X74" s="4" t="s">
        <v>47</v>
      </c>
      <c r="Y74" s="4" t="s">
        <v>1330</v>
      </c>
      <c r="Z74" s="4" t="s">
        <v>47</v>
      </c>
      <c r="AA74" s="4" t="s">
        <v>47</v>
      </c>
      <c r="AB74" s="4" t="s">
        <v>47</v>
      </c>
      <c r="AC74" s="4" t="s">
        <v>47</v>
      </c>
      <c r="AD74" s="4" t="s">
        <v>47</v>
      </c>
      <c r="AE74" s="4" t="s">
        <v>47</v>
      </c>
      <c r="AF74" s="4" t="s">
        <v>47</v>
      </c>
      <c r="AG74" s="4" t="s">
        <v>47</v>
      </c>
      <c r="AH74" s="4" t="s">
        <v>47</v>
      </c>
      <c r="AI74" s="4" t="s">
        <v>47</v>
      </c>
      <c r="AJ74" s="4" t="s">
        <v>47</v>
      </c>
      <c r="AK74" s="4" t="s">
        <v>47</v>
      </c>
      <c r="AL74" s="4" t="s">
        <v>1331</v>
      </c>
      <c r="AM74" s="4" t="s">
        <v>47</v>
      </c>
      <c r="AN74" s="4" t="s">
        <v>47</v>
      </c>
      <c r="AO74" s="4" t="s">
        <v>1332</v>
      </c>
      <c r="AP74" s="4" t="s">
        <v>1333</v>
      </c>
      <c r="AQ74" s="4" t="s">
        <v>1334</v>
      </c>
      <c r="AR74" s="4" t="s">
        <v>1335</v>
      </c>
    </row>
    <row r="75" spans="1:44" x14ac:dyDescent="0.2">
      <c r="A75" s="4" t="s">
        <v>153</v>
      </c>
      <c r="B75" s="4" t="s">
        <v>52</v>
      </c>
      <c r="C75">
        <v>1</v>
      </c>
      <c r="D75">
        <v>0.6</v>
      </c>
      <c r="E75">
        <v>3</v>
      </c>
      <c r="F75">
        <v>1</v>
      </c>
      <c r="G75">
        <v>2.1</v>
      </c>
      <c r="H75">
        <v>4</v>
      </c>
      <c r="I75" s="4" t="s">
        <v>1336</v>
      </c>
      <c r="J75" s="4" t="s">
        <v>1337</v>
      </c>
      <c r="K75" s="4" t="s">
        <v>661</v>
      </c>
      <c r="L75" s="4" t="s">
        <v>662</v>
      </c>
      <c r="M75">
        <v>44190</v>
      </c>
      <c r="N75" s="4" t="s">
        <v>1338</v>
      </c>
      <c r="O75" s="4" t="s">
        <v>1339</v>
      </c>
      <c r="P75" s="4" t="s">
        <v>714</v>
      </c>
      <c r="Q75" s="9">
        <v>43284</v>
      </c>
      <c r="R75" s="4" t="s">
        <v>1340</v>
      </c>
      <c r="S75" s="4" t="s">
        <v>1341</v>
      </c>
      <c r="T75" s="4" t="s">
        <v>1342</v>
      </c>
      <c r="U75" s="4" t="s">
        <v>89</v>
      </c>
      <c r="V75">
        <v>2018</v>
      </c>
      <c r="W75" s="4" t="s">
        <v>1343</v>
      </c>
      <c r="X75" s="4" t="s">
        <v>47</v>
      </c>
      <c r="Y75" s="4" t="s">
        <v>1344</v>
      </c>
      <c r="Z75" s="4" t="s">
        <v>47</v>
      </c>
      <c r="AA75" s="4" t="s">
        <v>47</v>
      </c>
      <c r="AB75" s="4" t="s">
        <v>47</v>
      </c>
      <c r="AC75" s="4" t="s">
        <v>47</v>
      </c>
      <c r="AD75" s="4" t="s">
        <v>1345</v>
      </c>
      <c r="AE75" s="4" t="s">
        <v>47</v>
      </c>
      <c r="AF75" s="4" t="s">
        <v>47</v>
      </c>
      <c r="AG75" s="4" t="s">
        <v>1346</v>
      </c>
      <c r="AH75" s="4" t="s">
        <v>1347</v>
      </c>
      <c r="AI75" s="4" t="s">
        <v>1348</v>
      </c>
      <c r="AJ75" s="4" t="s">
        <v>1349</v>
      </c>
      <c r="AK75" s="4" t="s">
        <v>47</v>
      </c>
      <c r="AL75" s="4" t="s">
        <v>47</v>
      </c>
      <c r="AM75" s="4" t="s">
        <v>47</v>
      </c>
      <c r="AN75" s="4" t="s">
        <v>47</v>
      </c>
      <c r="AO75" s="4" t="s">
        <v>1350</v>
      </c>
      <c r="AP75" s="4" t="s">
        <v>1351</v>
      </c>
      <c r="AQ75" s="4" t="s">
        <v>1352</v>
      </c>
      <c r="AR75" s="4" t="s">
        <v>1353</v>
      </c>
    </row>
    <row r="76" spans="1:44" x14ac:dyDescent="0.2">
      <c r="A76" s="4" t="s">
        <v>12</v>
      </c>
      <c r="B76" s="4" t="s">
        <v>106</v>
      </c>
      <c r="C76">
        <v>2</v>
      </c>
      <c r="D76">
        <v>2.7</v>
      </c>
      <c r="F76">
        <v>0</v>
      </c>
      <c r="G76">
        <v>0.7</v>
      </c>
      <c r="I76" s="4" t="s">
        <v>674</v>
      </c>
      <c r="J76" s="4" t="s">
        <v>675</v>
      </c>
      <c r="K76" s="4" t="s">
        <v>1354</v>
      </c>
      <c r="L76" s="4" t="s">
        <v>1355</v>
      </c>
      <c r="M76">
        <v>41970</v>
      </c>
      <c r="N76" s="4" t="s">
        <v>1277</v>
      </c>
      <c r="O76" s="4" t="s">
        <v>1356</v>
      </c>
      <c r="P76" s="4" t="s">
        <v>714</v>
      </c>
      <c r="Q76" s="9">
        <v>43283</v>
      </c>
      <c r="R76" s="4" t="s">
        <v>630</v>
      </c>
      <c r="S76" s="4" t="s">
        <v>1357</v>
      </c>
      <c r="T76" s="4" t="s">
        <v>47</v>
      </c>
      <c r="U76" s="4" t="s">
        <v>89</v>
      </c>
      <c r="V76">
        <v>2018</v>
      </c>
      <c r="W76" s="4" t="s">
        <v>1358</v>
      </c>
      <c r="X76" s="4" t="s">
        <v>47</v>
      </c>
      <c r="Y76" s="4" t="s">
        <v>1359</v>
      </c>
      <c r="Z76" s="4" t="s">
        <v>47</v>
      </c>
      <c r="AA76" s="4" t="s">
        <v>47</v>
      </c>
      <c r="AB76" s="4" t="s">
        <v>47</v>
      </c>
      <c r="AC76" s="4" t="s">
        <v>47</v>
      </c>
      <c r="AD76" s="4" t="s">
        <v>47</v>
      </c>
      <c r="AE76" s="4" t="s">
        <v>47</v>
      </c>
      <c r="AF76" s="4" t="s">
        <v>47</v>
      </c>
      <c r="AG76" s="4" t="s">
        <v>47</v>
      </c>
      <c r="AH76" s="4" t="s">
        <v>47</v>
      </c>
      <c r="AI76" s="4" t="s">
        <v>47</v>
      </c>
      <c r="AJ76" s="4" t="s">
        <v>47</v>
      </c>
      <c r="AK76" s="4" t="s">
        <v>47</v>
      </c>
      <c r="AL76" s="4" t="s">
        <v>47</v>
      </c>
      <c r="AM76" s="4" t="s">
        <v>47</v>
      </c>
      <c r="AN76" s="4" t="s">
        <v>47</v>
      </c>
      <c r="AO76" s="4" t="s">
        <v>1360</v>
      </c>
      <c r="AP76" s="4" t="s">
        <v>1361</v>
      </c>
      <c r="AQ76" s="4" t="s">
        <v>1362</v>
      </c>
      <c r="AR76" s="4" t="s">
        <v>1363</v>
      </c>
    </row>
    <row r="77" spans="1:44" x14ac:dyDescent="0.2">
      <c r="A77" s="4" t="s">
        <v>148</v>
      </c>
      <c r="B77" s="4" t="s">
        <v>161</v>
      </c>
      <c r="C77">
        <v>3</v>
      </c>
      <c r="D77">
        <v>2.5</v>
      </c>
      <c r="F77">
        <v>2</v>
      </c>
      <c r="G77">
        <v>0.7</v>
      </c>
      <c r="I77" s="4" t="s">
        <v>866</v>
      </c>
      <c r="J77" s="4" t="s">
        <v>1026</v>
      </c>
      <c r="K77" s="4" t="s">
        <v>1364</v>
      </c>
      <c r="L77" s="4" t="s">
        <v>1365</v>
      </c>
      <c r="M77">
        <v>41466</v>
      </c>
      <c r="N77" s="4" t="s">
        <v>1366</v>
      </c>
      <c r="O77" s="4" t="s">
        <v>1367</v>
      </c>
      <c r="P77" s="4" t="s">
        <v>714</v>
      </c>
      <c r="Q77" s="9">
        <v>43283</v>
      </c>
      <c r="R77" s="4" t="s">
        <v>1130</v>
      </c>
      <c r="S77" s="4" t="s">
        <v>1368</v>
      </c>
      <c r="T77" s="4" t="s">
        <v>47</v>
      </c>
      <c r="U77" s="4" t="s">
        <v>89</v>
      </c>
      <c r="V77">
        <v>2018</v>
      </c>
      <c r="W77" s="4" t="s">
        <v>1369</v>
      </c>
      <c r="X77" s="4" t="s">
        <v>1370</v>
      </c>
      <c r="Y77" s="4" t="s">
        <v>1371</v>
      </c>
      <c r="Z77" s="4" t="s">
        <v>1372</v>
      </c>
      <c r="AA77" s="4" t="s">
        <v>47</v>
      </c>
      <c r="AB77" s="4" t="s">
        <v>47</v>
      </c>
      <c r="AC77" s="4" t="s">
        <v>47</v>
      </c>
      <c r="AD77" s="4" t="s">
        <v>47</v>
      </c>
      <c r="AE77" s="4" t="s">
        <v>47</v>
      </c>
      <c r="AF77" s="4" t="s">
        <v>47</v>
      </c>
      <c r="AG77" s="4" t="s">
        <v>47</v>
      </c>
      <c r="AH77" s="4" t="s">
        <v>47</v>
      </c>
      <c r="AI77" s="4" t="s">
        <v>47</v>
      </c>
      <c r="AJ77" s="4" t="s">
        <v>47</v>
      </c>
      <c r="AK77" s="4" t="s">
        <v>47</v>
      </c>
      <c r="AL77" s="4" t="s">
        <v>47</v>
      </c>
      <c r="AM77" s="4" t="s">
        <v>47</v>
      </c>
      <c r="AN77" s="4" t="s">
        <v>47</v>
      </c>
      <c r="AO77" s="4" t="s">
        <v>47</v>
      </c>
      <c r="AP77" s="4" t="s">
        <v>1373</v>
      </c>
      <c r="AQ77" s="4" t="s">
        <v>1374</v>
      </c>
      <c r="AR77" s="4" t="s">
        <v>1375</v>
      </c>
    </row>
    <row r="78" spans="1:44" x14ac:dyDescent="0.2">
      <c r="A78" s="4" t="s">
        <v>20</v>
      </c>
      <c r="B78" s="4" t="s">
        <v>89</v>
      </c>
      <c r="C78">
        <v>1</v>
      </c>
      <c r="D78">
        <v>1.8</v>
      </c>
      <c r="E78">
        <v>3</v>
      </c>
      <c r="F78">
        <v>1</v>
      </c>
      <c r="G78">
        <v>1</v>
      </c>
      <c r="H78">
        <v>4</v>
      </c>
      <c r="I78" s="4" t="s">
        <v>1376</v>
      </c>
      <c r="J78" s="4" t="s">
        <v>1377</v>
      </c>
      <c r="K78" s="4" t="s">
        <v>1286</v>
      </c>
      <c r="L78" s="4" t="s">
        <v>1287</v>
      </c>
      <c r="M78">
        <v>78011</v>
      </c>
      <c r="N78" s="4" t="s">
        <v>1234</v>
      </c>
      <c r="O78" s="4" t="s">
        <v>1378</v>
      </c>
      <c r="P78" s="4" t="s">
        <v>714</v>
      </c>
      <c r="Q78" s="9">
        <v>43282</v>
      </c>
      <c r="R78" s="4" t="s">
        <v>1340</v>
      </c>
      <c r="S78" s="4" t="s">
        <v>1279</v>
      </c>
      <c r="T78" s="4" t="s">
        <v>1379</v>
      </c>
      <c r="U78" s="4" t="s">
        <v>89</v>
      </c>
      <c r="V78">
        <v>2018</v>
      </c>
      <c r="W78" s="4" t="s">
        <v>47</v>
      </c>
      <c r="X78" s="4" t="s">
        <v>47</v>
      </c>
      <c r="Y78" s="4" t="s">
        <v>47</v>
      </c>
      <c r="Z78" s="4" t="s">
        <v>47</v>
      </c>
      <c r="AA78" s="4" t="s">
        <v>1380</v>
      </c>
      <c r="AB78" s="4" t="s">
        <v>47</v>
      </c>
      <c r="AC78" s="4" t="s">
        <v>47</v>
      </c>
      <c r="AD78" s="4" t="s">
        <v>1381</v>
      </c>
      <c r="AE78" s="4" t="s">
        <v>47</v>
      </c>
      <c r="AF78" s="4" t="s">
        <v>47</v>
      </c>
      <c r="AG78" s="4" t="s">
        <v>1382</v>
      </c>
      <c r="AH78" s="4" t="s">
        <v>1383</v>
      </c>
      <c r="AI78" s="4" t="s">
        <v>1384</v>
      </c>
      <c r="AJ78" s="4" t="s">
        <v>47</v>
      </c>
      <c r="AK78" s="4" t="s">
        <v>47</v>
      </c>
      <c r="AL78" s="4" t="s">
        <v>47</v>
      </c>
      <c r="AM78" s="4" t="s">
        <v>47</v>
      </c>
      <c r="AN78" s="4" t="s">
        <v>47</v>
      </c>
      <c r="AO78" s="4" t="s">
        <v>1385</v>
      </c>
      <c r="AP78" s="4" t="s">
        <v>1386</v>
      </c>
      <c r="AQ78" s="4" t="s">
        <v>1387</v>
      </c>
      <c r="AR78" s="4" t="s">
        <v>1388</v>
      </c>
    </row>
    <row r="79" spans="1:44" x14ac:dyDescent="0.2">
      <c r="A79" s="4" t="s">
        <v>90</v>
      </c>
      <c r="B79" s="4" t="s">
        <v>167</v>
      </c>
      <c r="C79">
        <v>1</v>
      </c>
      <c r="D79">
        <v>2.5</v>
      </c>
      <c r="E79">
        <v>3</v>
      </c>
      <c r="F79">
        <v>1</v>
      </c>
      <c r="G79">
        <v>0.9</v>
      </c>
      <c r="H79">
        <v>2</v>
      </c>
      <c r="I79" s="4" t="s">
        <v>610</v>
      </c>
      <c r="J79" s="4" t="s">
        <v>611</v>
      </c>
      <c r="K79" s="4" t="s">
        <v>1389</v>
      </c>
      <c r="L79" s="4" t="s">
        <v>1181</v>
      </c>
      <c r="M79">
        <v>40851</v>
      </c>
      <c r="N79" s="4" t="s">
        <v>1304</v>
      </c>
      <c r="O79" s="4" t="s">
        <v>1390</v>
      </c>
      <c r="P79" s="4" t="s">
        <v>714</v>
      </c>
      <c r="Q79" s="9">
        <v>43282</v>
      </c>
      <c r="R79" s="4" t="s">
        <v>1391</v>
      </c>
      <c r="S79" s="4" t="s">
        <v>1237</v>
      </c>
      <c r="T79" s="4" t="s">
        <v>680</v>
      </c>
      <c r="U79" s="4" t="s">
        <v>89</v>
      </c>
      <c r="V79">
        <v>2018</v>
      </c>
      <c r="W79" s="4" t="s">
        <v>1392</v>
      </c>
      <c r="X79" s="4" t="s">
        <v>1393</v>
      </c>
      <c r="Y79" s="4" t="s">
        <v>1394</v>
      </c>
      <c r="Z79" s="4" t="s">
        <v>1395</v>
      </c>
      <c r="AA79" s="4" t="s">
        <v>47</v>
      </c>
      <c r="AB79" s="4" t="s">
        <v>47</v>
      </c>
      <c r="AC79" s="4" t="s">
        <v>47</v>
      </c>
      <c r="AD79" s="4" t="s">
        <v>47</v>
      </c>
      <c r="AE79" s="4" t="s">
        <v>1396</v>
      </c>
      <c r="AF79" s="4" t="s">
        <v>47</v>
      </c>
      <c r="AG79" s="4" t="s">
        <v>1397</v>
      </c>
      <c r="AH79" s="4" t="s">
        <v>1398</v>
      </c>
      <c r="AI79" s="4" t="s">
        <v>1399</v>
      </c>
      <c r="AJ79" s="4" t="s">
        <v>1400</v>
      </c>
      <c r="AK79" s="4" t="s">
        <v>47</v>
      </c>
      <c r="AL79" s="4" t="s">
        <v>47</v>
      </c>
      <c r="AM79" s="4" t="s">
        <v>47</v>
      </c>
      <c r="AN79" s="4" t="s">
        <v>47</v>
      </c>
      <c r="AO79" s="4" t="s">
        <v>47</v>
      </c>
      <c r="AP79" s="4" t="s">
        <v>1401</v>
      </c>
      <c r="AQ79" s="4" t="s">
        <v>1402</v>
      </c>
      <c r="AR79" s="4" t="s">
        <v>1403</v>
      </c>
    </row>
    <row r="80" spans="1:44" x14ac:dyDescent="0.2">
      <c r="A80" s="4" t="s">
        <v>87</v>
      </c>
      <c r="B80" s="4" t="s">
        <v>26</v>
      </c>
      <c r="C80">
        <v>4</v>
      </c>
      <c r="D80">
        <v>2.2000000000000002</v>
      </c>
      <c r="F80">
        <v>3</v>
      </c>
      <c r="G80">
        <v>0.8</v>
      </c>
      <c r="I80" s="4" t="s">
        <v>589</v>
      </c>
      <c r="J80" s="4" t="s">
        <v>590</v>
      </c>
      <c r="K80" s="4" t="s">
        <v>1404</v>
      </c>
      <c r="L80" s="4" t="s">
        <v>588</v>
      </c>
      <c r="M80">
        <v>42873</v>
      </c>
      <c r="N80" s="4" t="s">
        <v>1313</v>
      </c>
      <c r="O80" s="4" t="s">
        <v>1405</v>
      </c>
      <c r="P80" s="4" t="s">
        <v>714</v>
      </c>
      <c r="Q80" s="9">
        <v>43281</v>
      </c>
      <c r="R80" s="4" t="s">
        <v>1406</v>
      </c>
      <c r="S80" s="4" t="s">
        <v>1011</v>
      </c>
      <c r="T80" s="4" t="s">
        <v>47</v>
      </c>
      <c r="U80" s="4" t="s">
        <v>89</v>
      </c>
      <c r="V80">
        <v>2018</v>
      </c>
      <c r="W80" s="4" t="s">
        <v>1407</v>
      </c>
      <c r="X80" s="4" t="s">
        <v>1408</v>
      </c>
      <c r="Y80" s="4" t="s">
        <v>1409</v>
      </c>
      <c r="Z80" s="4" t="s">
        <v>1410</v>
      </c>
      <c r="AA80" s="4" t="s">
        <v>47</v>
      </c>
      <c r="AB80" s="4" t="s">
        <v>47</v>
      </c>
      <c r="AC80" s="4" t="s">
        <v>1411</v>
      </c>
      <c r="AD80" s="4" t="s">
        <v>47</v>
      </c>
      <c r="AE80" s="4" t="s">
        <v>47</v>
      </c>
      <c r="AF80" s="4" t="s">
        <v>47</v>
      </c>
      <c r="AG80" s="4" t="s">
        <v>47</v>
      </c>
      <c r="AH80" s="4" t="s">
        <v>47</v>
      </c>
      <c r="AI80" s="4" t="s">
        <v>47</v>
      </c>
      <c r="AJ80" s="4" t="s">
        <v>47</v>
      </c>
      <c r="AK80" s="4" t="s">
        <v>47</v>
      </c>
      <c r="AL80" s="4" t="s">
        <v>47</v>
      </c>
      <c r="AM80" s="4" t="s">
        <v>47</v>
      </c>
      <c r="AN80" s="4" t="s">
        <v>47</v>
      </c>
      <c r="AO80" s="4" t="s">
        <v>1412</v>
      </c>
      <c r="AP80" s="4" t="s">
        <v>1413</v>
      </c>
      <c r="AQ80" s="4" t="s">
        <v>1414</v>
      </c>
      <c r="AR80" s="4" t="s">
        <v>1415</v>
      </c>
    </row>
    <row r="81" spans="1:44" x14ac:dyDescent="0.2">
      <c r="A81" s="4" t="s">
        <v>121</v>
      </c>
      <c r="B81" s="4" t="s">
        <v>141</v>
      </c>
      <c r="C81">
        <v>2</v>
      </c>
      <c r="D81">
        <v>0.6</v>
      </c>
      <c r="F81">
        <v>1</v>
      </c>
      <c r="G81">
        <v>1</v>
      </c>
      <c r="I81" s="4" t="s">
        <v>1303</v>
      </c>
      <c r="J81" s="4" t="s">
        <v>1009</v>
      </c>
      <c r="K81" s="4" t="s">
        <v>647</v>
      </c>
      <c r="L81" s="4" t="s">
        <v>809</v>
      </c>
      <c r="M81">
        <v>44287</v>
      </c>
      <c r="N81" s="4" t="s">
        <v>1288</v>
      </c>
      <c r="O81" s="4" t="s">
        <v>1416</v>
      </c>
      <c r="P81" s="4" t="s">
        <v>714</v>
      </c>
      <c r="Q81" s="9">
        <v>43281</v>
      </c>
      <c r="R81" s="4" t="s">
        <v>617</v>
      </c>
      <c r="S81" s="4" t="s">
        <v>631</v>
      </c>
      <c r="T81" s="4" t="s">
        <v>47</v>
      </c>
      <c r="U81" s="4" t="s">
        <v>89</v>
      </c>
      <c r="V81">
        <v>2018</v>
      </c>
      <c r="W81" s="4" t="s">
        <v>1417</v>
      </c>
      <c r="X81" s="4" t="s">
        <v>1418</v>
      </c>
      <c r="Y81" s="4" t="s">
        <v>1419</v>
      </c>
      <c r="Z81" s="4" t="s">
        <v>1420</v>
      </c>
      <c r="AA81" s="4" t="s">
        <v>47</v>
      </c>
      <c r="AB81" s="4" t="s">
        <v>47</v>
      </c>
      <c r="AC81" s="4" t="s">
        <v>47</v>
      </c>
      <c r="AD81" s="4" t="s">
        <v>47</v>
      </c>
      <c r="AE81" s="4" t="s">
        <v>47</v>
      </c>
      <c r="AF81" s="4" t="s">
        <v>47</v>
      </c>
      <c r="AG81" s="4" t="s">
        <v>47</v>
      </c>
      <c r="AH81" s="4" t="s">
        <v>47</v>
      </c>
      <c r="AI81" s="4" t="s">
        <v>47</v>
      </c>
      <c r="AJ81" s="4" t="s">
        <v>47</v>
      </c>
      <c r="AK81" s="4" t="s">
        <v>47</v>
      </c>
      <c r="AL81" s="4" t="s">
        <v>47</v>
      </c>
      <c r="AM81" s="4" t="s">
        <v>47</v>
      </c>
      <c r="AN81" s="4" t="s">
        <v>47</v>
      </c>
      <c r="AO81" s="4" t="s">
        <v>47</v>
      </c>
      <c r="AP81" s="4" t="s">
        <v>1421</v>
      </c>
      <c r="AQ81" s="4" t="s">
        <v>1422</v>
      </c>
      <c r="AR81" s="4" t="s">
        <v>1423</v>
      </c>
    </row>
    <row r="82" spans="1:44" x14ac:dyDescent="0.2">
      <c r="A82" s="4" t="s">
        <v>161</v>
      </c>
      <c r="B82" s="4" t="s">
        <v>195</v>
      </c>
      <c r="C82">
        <v>0</v>
      </c>
      <c r="D82">
        <v>0.7</v>
      </c>
      <c r="F82">
        <v>1</v>
      </c>
      <c r="G82">
        <v>1.4</v>
      </c>
      <c r="I82" s="4" t="s">
        <v>1364</v>
      </c>
      <c r="J82" s="4" t="s">
        <v>1424</v>
      </c>
      <c r="K82" s="4" t="s">
        <v>1425</v>
      </c>
      <c r="L82" s="4" t="s">
        <v>768</v>
      </c>
      <c r="M82">
        <v>42189</v>
      </c>
      <c r="N82" s="4" t="s">
        <v>1426</v>
      </c>
      <c r="O82" s="4" t="s">
        <v>1427</v>
      </c>
      <c r="P82" s="4" t="s">
        <v>811</v>
      </c>
      <c r="Q82" s="9">
        <v>43279</v>
      </c>
      <c r="R82" s="4" t="s">
        <v>963</v>
      </c>
      <c r="S82" s="4" t="s">
        <v>1165</v>
      </c>
      <c r="T82" s="4" t="s">
        <v>47</v>
      </c>
      <c r="U82" s="4" t="s">
        <v>89</v>
      </c>
      <c r="V82">
        <v>2018</v>
      </c>
      <c r="W82" s="4" t="s">
        <v>47</v>
      </c>
      <c r="X82" s="4" t="s">
        <v>1428</v>
      </c>
      <c r="Y82" s="4" t="s">
        <v>47</v>
      </c>
      <c r="Z82" s="4" t="s">
        <v>1429</v>
      </c>
      <c r="AA82" s="4" t="s">
        <v>47</v>
      </c>
      <c r="AB82" s="4" t="s">
        <v>47</v>
      </c>
      <c r="AC82" s="4" t="s">
        <v>47</v>
      </c>
      <c r="AD82" s="4" t="s">
        <v>47</v>
      </c>
      <c r="AE82" s="4" t="s">
        <v>47</v>
      </c>
      <c r="AF82" s="4" t="s">
        <v>47</v>
      </c>
      <c r="AG82" s="4" t="s">
        <v>47</v>
      </c>
      <c r="AH82" s="4" t="s">
        <v>47</v>
      </c>
      <c r="AI82" s="4" t="s">
        <v>47</v>
      </c>
      <c r="AJ82" s="4" t="s">
        <v>47</v>
      </c>
      <c r="AK82" s="4" t="s">
        <v>47</v>
      </c>
      <c r="AL82" s="4" t="s">
        <v>47</v>
      </c>
      <c r="AM82" s="4" t="s">
        <v>47</v>
      </c>
      <c r="AN82" s="4" t="s">
        <v>47</v>
      </c>
      <c r="AO82" s="4" t="s">
        <v>1430</v>
      </c>
      <c r="AP82" s="4" t="s">
        <v>47</v>
      </c>
      <c r="AQ82" s="4" t="s">
        <v>1431</v>
      </c>
      <c r="AR82" s="4" t="s">
        <v>1432</v>
      </c>
    </row>
    <row r="83" spans="1:44" x14ac:dyDescent="0.2">
      <c r="A83" s="4" t="s">
        <v>157</v>
      </c>
      <c r="B83" s="4" t="s">
        <v>153</v>
      </c>
      <c r="C83">
        <v>0</v>
      </c>
      <c r="D83">
        <v>0.5</v>
      </c>
      <c r="F83">
        <v>1</v>
      </c>
      <c r="G83">
        <v>0.3</v>
      </c>
      <c r="I83" s="4" t="s">
        <v>779</v>
      </c>
      <c r="J83" s="4" t="s">
        <v>1433</v>
      </c>
      <c r="K83" s="4" t="s">
        <v>1336</v>
      </c>
      <c r="L83" s="4" t="s">
        <v>1337</v>
      </c>
      <c r="M83">
        <v>41970</v>
      </c>
      <c r="N83" s="4" t="s">
        <v>1277</v>
      </c>
      <c r="O83" s="4" t="s">
        <v>1434</v>
      </c>
      <c r="P83" s="4" t="s">
        <v>811</v>
      </c>
      <c r="Q83" s="9">
        <v>43279</v>
      </c>
      <c r="R83" s="4" t="s">
        <v>963</v>
      </c>
      <c r="S83" s="4" t="s">
        <v>1315</v>
      </c>
      <c r="T83" s="4" t="s">
        <v>47</v>
      </c>
      <c r="U83" s="4" t="s">
        <v>89</v>
      </c>
      <c r="V83">
        <v>2018</v>
      </c>
      <c r="W83" s="4" t="s">
        <v>47</v>
      </c>
      <c r="X83" s="4" t="s">
        <v>1435</v>
      </c>
      <c r="Y83" s="4" t="s">
        <v>47</v>
      </c>
      <c r="Z83" s="4" t="s">
        <v>1436</v>
      </c>
      <c r="AA83" s="4" t="s">
        <v>47</v>
      </c>
      <c r="AB83" s="4" t="s">
        <v>47</v>
      </c>
      <c r="AC83" s="4" t="s">
        <v>47</v>
      </c>
      <c r="AD83" s="4" t="s">
        <v>47</v>
      </c>
      <c r="AE83" s="4" t="s">
        <v>47</v>
      </c>
      <c r="AF83" s="4" t="s">
        <v>47</v>
      </c>
      <c r="AG83" s="4" t="s">
        <v>47</v>
      </c>
      <c r="AH83" s="4" t="s">
        <v>47</v>
      </c>
      <c r="AI83" s="4" t="s">
        <v>47</v>
      </c>
      <c r="AJ83" s="4" t="s">
        <v>47</v>
      </c>
      <c r="AK83" s="4" t="s">
        <v>47</v>
      </c>
      <c r="AL83" s="4" t="s">
        <v>47</v>
      </c>
      <c r="AM83" s="4" t="s">
        <v>47</v>
      </c>
      <c r="AN83" s="4" t="s">
        <v>47</v>
      </c>
      <c r="AO83" s="4" t="s">
        <v>1437</v>
      </c>
      <c r="AP83" s="4" t="s">
        <v>1438</v>
      </c>
      <c r="AQ83" s="4" t="s">
        <v>1439</v>
      </c>
      <c r="AR83" s="4" t="s">
        <v>1440</v>
      </c>
    </row>
    <row r="84" spans="1:44" x14ac:dyDescent="0.2">
      <c r="A84" s="4" t="s">
        <v>52</v>
      </c>
      <c r="B84" s="4" t="s">
        <v>148</v>
      </c>
      <c r="C84">
        <v>0</v>
      </c>
      <c r="D84">
        <v>0.9</v>
      </c>
      <c r="F84">
        <v>1</v>
      </c>
      <c r="G84">
        <v>1.3</v>
      </c>
      <c r="I84" s="4" t="s">
        <v>661</v>
      </c>
      <c r="J84" s="4" t="s">
        <v>1441</v>
      </c>
      <c r="K84" s="4" t="s">
        <v>866</v>
      </c>
      <c r="L84" s="4" t="s">
        <v>1442</v>
      </c>
      <c r="M84">
        <v>33973</v>
      </c>
      <c r="N84" s="4" t="s">
        <v>1443</v>
      </c>
      <c r="O84" s="4" t="s">
        <v>1444</v>
      </c>
      <c r="P84" s="4" t="s">
        <v>811</v>
      </c>
      <c r="Q84" s="9">
        <v>43279</v>
      </c>
      <c r="R84" s="4" t="s">
        <v>963</v>
      </c>
      <c r="S84" s="4" t="s">
        <v>1328</v>
      </c>
      <c r="T84" s="4" t="s">
        <v>47</v>
      </c>
      <c r="U84" s="4" t="s">
        <v>89</v>
      </c>
      <c r="V84">
        <v>2018</v>
      </c>
      <c r="W84" s="4" t="s">
        <v>47</v>
      </c>
      <c r="X84" s="4" t="s">
        <v>1445</v>
      </c>
      <c r="Y84" s="4" t="s">
        <v>47</v>
      </c>
      <c r="Z84" s="4" t="s">
        <v>1446</v>
      </c>
      <c r="AA84" s="4" t="s">
        <v>47</v>
      </c>
      <c r="AB84" s="4" t="s">
        <v>47</v>
      </c>
      <c r="AC84" s="4" t="s">
        <v>47</v>
      </c>
      <c r="AD84" s="4" t="s">
        <v>47</v>
      </c>
      <c r="AE84" s="4" t="s">
        <v>47</v>
      </c>
      <c r="AF84" s="4" t="s">
        <v>47</v>
      </c>
      <c r="AG84" s="4" t="s">
        <v>47</v>
      </c>
      <c r="AH84" s="4" t="s">
        <v>47</v>
      </c>
      <c r="AI84" s="4" t="s">
        <v>47</v>
      </c>
      <c r="AJ84" s="4" t="s">
        <v>47</v>
      </c>
      <c r="AK84" s="4" t="s">
        <v>47</v>
      </c>
      <c r="AL84" s="4" t="s">
        <v>47</v>
      </c>
      <c r="AM84" s="4" t="s">
        <v>47</v>
      </c>
      <c r="AN84" s="4" t="s">
        <v>47</v>
      </c>
      <c r="AO84" s="4" t="s">
        <v>47</v>
      </c>
      <c r="AP84" s="4" t="s">
        <v>1447</v>
      </c>
      <c r="AQ84" s="4" t="s">
        <v>1448</v>
      </c>
      <c r="AR84" s="4" t="s">
        <v>1449</v>
      </c>
    </row>
    <row r="85" spans="1:44" x14ac:dyDescent="0.2">
      <c r="A85" s="4" t="s">
        <v>192</v>
      </c>
      <c r="B85" s="4" t="s">
        <v>213</v>
      </c>
      <c r="C85">
        <v>1</v>
      </c>
      <c r="D85">
        <v>0.6</v>
      </c>
      <c r="F85">
        <v>2</v>
      </c>
      <c r="G85">
        <v>2.1</v>
      </c>
      <c r="I85" s="4" t="s">
        <v>1450</v>
      </c>
      <c r="J85" s="4" t="s">
        <v>1451</v>
      </c>
      <c r="K85" s="4" t="s">
        <v>1452</v>
      </c>
      <c r="L85" s="4" t="s">
        <v>1453</v>
      </c>
      <c r="M85">
        <v>37168</v>
      </c>
      <c r="N85" s="4" t="s">
        <v>1454</v>
      </c>
      <c r="O85" s="4" t="s">
        <v>1455</v>
      </c>
      <c r="P85" s="4" t="s">
        <v>811</v>
      </c>
      <c r="Q85" s="9">
        <v>43279</v>
      </c>
      <c r="R85" s="4" t="s">
        <v>664</v>
      </c>
      <c r="S85" s="4" t="s">
        <v>1456</v>
      </c>
      <c r="T85" s="4" t="s">
        <v>47</v>
      </c>
      <c r="U85" s="4" t="s">
        <v>89</v>
      </c>
      <c r="V85">
        <v>2018</v>
      </c>
      <c r="W85" s="4" t="s">
        <v>47</v>
      </c>
      <c r="X85" s="4" t="s">
        <v>1457</v>
      </c>
      <c r="Y85" s="4" t="s">
        <v>47</v>
      </c>
      <c r="Z85" s="4" t="s">
        <v>1458</v>
      </c>
      <c r="AA85" s="4" t="s">
        <v>1459</v>
      </c>
      <c r="AB85" s="4" t="s">
        <v>47</v>
      </c>
      <c r="AC85" s="4" t="s">
        <v>47</v>
      </c>
      <c r="AD85" s="4" t="s">
        <v>47</v>
      </c>
      <c r="AE85" s="4" t="s">
        <v>47</v>
      </c>
      <c r="AF85" s="4" t="s">
        <v>47</v>
      </c>
      <c r="AG85" s="4" t="s">
        <v>47</v>
      </c>
      <c r="AH85" s="4" t="s">
        <v>47</v>
      </c>
      <c r="AI85" s="4" t="s">
        <v>47</v>
      </c>
      <c r="AJ85" s="4" t="s">
        <v>47</v>
      </c>
      <c r="AK85" s="4" t="s">
        <v>47</v>
      </c>
      <c r="AL85" s="4" t="s">
        <v>47</v>
      </c>
      <c r="AM85" s="4" t="s">
        <v>47</v>
      </c>
      <c r="AN85" s="4" t="s">
        <v>47</v>
      </c>
      <c r="AO85" s="4" t="s">
        <v>1460</v>
      </c>
      <c r="AP85" s="4" t="s">
        <v>1461</v>
      </c>
      <c r="AQ85" s="4" t="s">
        <v>1462</v>
      </c>
      <c r="AR85" s="4" t="s">
        <v>1463</v>
      </c>
    </row>
    <row r="86" spans="1:44" x14ac:dyDescent="0.2">
      <c r="A86" s="4" t="s">
        <v>175</v>
      </c>
      <c r="B86" s="4" t="s">
        <v>92</v>
      </c>
      <c r="C86">
        <v>2</v>
      </c>
      <c r="D86">
        <v>1.7</v>
      </c>
      <c r="F86">
        <v>0</v>
      </c>
      <c r="G86">
        <v>2.7</v>
      </c>
      <c r="I86" s="4" t="s">
        <v>1464</v>
      </c>
      <c r="J86" s="4" t="s">
        <v>754</v>
      </c>
      <c r="K86" s="4" t="s">
        <v>1465</v>
      </c>
      <c r="L86" s="4" t="s">
        <v>877</v>
      </c>
      <c r="M86">
        <v>41835</v>
      </c>
      <c r="N86" s="4" t="s">
        <v>1313</v>
      </c>
      <c r="O86" s="4" t="s">
        <v>1466</v>
      </c>
      <c r="P86" s="4" t="s">
        <v>811</v>
      </c>
      <c r="Q86" s="9">
        <v>43278</v>
      </c>
      <c r="R86" s="4" t="s">
        <v>630</v>
      </c>
      <c r="S86" s="4" t="s">
        <v>1341</v>
      </c>
      <c r="T86" s="4" t="s">
        <v>47</v>
      </c>
      <c r="U86" s="4" t="s">
        <v>89</v>
      </c>
      <c r="V86">
        <v>2018</v>
      </c>
      <c r="W86" s="4" t="s">
        <v>1467</v>
      </c>
      <c r="X86" s="4" t="s">
        <v>47</v>
      </c>
      <c r="Y86" s="4" t="s">
        <v>1468</v>
      </c>
      <c r="Z86" s="4" t="s">
        <v>47</v>
      </c>
      <c r="AA86" s="4" t="s">
        <v>47</v>
      </c>
      <c r="AB86" s="4" t="s">
        <v>47</v>
      </c>
      <c r="AC86" s="4" t="s">
        <v>47</v>
      </c>
      <c r="AD86" s="4" t="s">
        <v>47</v>
      </c>
      <c r="AE86" s="4" t="s">
        <v>47</v>
      </c>
      <c r="AF86" s="4" t="s">
        <v>47</v>
      </c>
      <c r="AG86" s="4" t="s">
        <v>47</v>
      </c>
      <c r="AH86" s="4" t="s">
        <v>47</v>
      </c>
      <c r="AI86" s="4" t="s">
        <v>47</v>
      </c>
      <c r="AJ86" s="4" t="s">
        <v>47</v>
      </c>
      <c r="AK86" s="4" t="s">
        <v>47</v>
      </c>
      <c r="AL86" s="4" t="s">
        <v>47</v>
      </c>
      <c r="AM86" s="4" t="s">
        <v>47</v>
      </c>
      <c r="AN86" s="4" t="s">
        <v>47</v>
      </c>
      <c r="AO86" s="4" t="s">
        <v>1469</v>
      </c>
      <c r="AP86" s="4" t="s">
        <v>47</v>
      </c>
      <c r="AQ86" s="4" t="s">
        <v>1470</v>
      </c>
      <c r="AR86" s="4" t="s">
        <v>1471</v>
      </c>
    </row>
    <row r="87" spans="1:44" x14ac:dyDescent="0.2">
      <c r="A87" s="4" t="s">
        <v>106</v>
      </c>
      <c r="B87" s="4" t="s">
        <v>116</v>
      </c>
      <c r="C87">
        <v>0</v>
      </c>
      <c r="D87">
        <v>1.4</v>
      </c>
      <c r="F87">
        <v>3</v>
      </c>
      <c r="G87">
        <v>2.4</v>
      </c>
      <c r="I87" s="4" t="s">
        <v>1354</v>
      </c>
      <c r="J87" s="4" t="s">
        <v>1080</v>
      </c>
      <c r="K87" s="4" t="s">
        <v>1275</v>
      </c>
      <c r="L87" s="4" t="s">
        <v>1472</v>
      </c>
      <c r="M87">
        <v>33061</v>
      </c>
      <c r="N87" s="4" t="s">
        <v>1473</v>
      </c>
      <c r="O87" s="4" t="s">
        <v>1474</v>
      </c>
      <c r="P87" s="4" t="s">
        <v>811</v>
      </c>
      <c r="Q87" s="9">
        <v>43278</v>
      </c>
      <c r="R87" s="4" t="s">
        <v>973</v>
      </c>
      <c r="S87" s="4" t="s">
        <v>1237</v>
      </c>
      <c r="T87" s="4" t="s">
        <v>47</v>
      </c>
      <c r="U87" s="4" t="s">
        <v>89</v>
      </c>
      <c r="V87">
        <v>2018</v>
      </c>
      <c r="W87" s="4" t="s">
        <v>47</v>
      </c>
      <c r="X87" s="4" t="s">
        <v>1475</v>
      </c>
      <c r="Y87" s="4" t="s">
        <v>47</v>
      </c>
      <c r="Z87" s="4" t="s">
        <v>1476</v>
      </c>
      <c r="AA87" s="4" t="s">
        <v>47</v>
      </c>
      <c r="AB87" s="4" t="s">
        <v>1477</v>
      </c>
      <c r="AC87" s="4" t="s">
        <v>47</v>
      </c>
      <c r="AD87" s="4" t="s">
        <v>1478</v>
      </c>
      <c r="AE87" s="4" t="s">
        <v>47</v>
      </c>
      <c r="AF87" s="4" t="s">
        <v>47</v>
      </c>
      <c r="AG87" s="4" t="s">
        <v>47</v>
      </c>
      <c r="AH87" s="4" t="s">
        <v>47</v>
      </c>
      <c r="AI87" s="4" t="s">
        <v>47</v>
      </c>
      <c r="AJ87" s="4" t="s">
        <v>47</v>
      </c>
      <c r="AK87" s="4" t="s">
        <v>47</v>
      </c>
      <c r="AL87" s="4" t="s">
        <v>47</v>
      </c>
      <c r="AM87" s="4" t="s">
        <v>47</v>
      </c>
      <c r="AN87" s="4" t="s">
        <v>47</v>
      </c>
      <c r="AO87" s="4" t="s">
        <v>1479</v>
      </c>
      <c r="AP87" s="4" t="s">
        <v>1480</v>
      </c>
      <c r="AQ87" s="4" t="s">
        <v>1481</v>
      </c>
      <c r="AR87" s="4" t="s">
        <v>1482</v>
      </c>
    </row>
    <row r="88" spans="1:44" x14ac:dyDescent="0.2">
      <c r="A88" s="4" t="s">
        <v>118</v>
      </c>
      <c r="B88" s="4" t="s">
        <v>225</v>
      </c>
      <c r="C88">
        <v>2</v>
      </c>
      <c r="D88">
        <v>1.4</v>
      </c>
      <c r="F88">
        <v>2</v>
      </c>
      <c r="G88">
        <v>1.5</v>
      </c>
      <c r="I88" s="4" t="s">
        <v>1325</v>
      </c>
      <c r="J88" s="4" t="s">
        <v>1483</v>
      </c>
      <c r="K88" s="4" t="s">
        <v>1484</v>
      </c>
      <c r="L88" s="4" t="s">
        <v>1485</v>
      </c>
      <c r="M88">
        <v>43319</v>
      </c>
      <c r="N88" s="4" t="s">
        <v>1304</v>
      </c>
      <c r="O88" s="4" t="s">
        <v>1486</v>
      </c>
      <c r="P88" s="4" t="s">
        <v>811</v>
      </c>
      <c r="Q88" s="9">
        <v>43278</v>
      </c>
      <c r="R88" s="4" t="s">
        <v>1487</v>
      </c>
      <c r="S88" s="4" t="s">
        <v>758</v>
      </c>
      <c r="T88" s="4" t="s">
        <v>47</v>
      </c>
      <c r="U88" s="4" t="s">
        <v>89</v>
      </c>
      <c r="V88">
        <v>2018</v>
      </c>
      <c r="W88" s="4" t="s">
        <v>1488</v>
      </c>
      <c r="X88" s="4" t="s">
        <v>1489</v>
      </c>
      <c r="Y88" s="4" t="s">
        <v>1490</v>
      </c>
      <c r="Z88" s="4" t="s">
        <v>1491</v>
      </c>
      <c r="AA88" s="4" t="s">
        <v>47</v>
      </c>
      <c r="AB88" s="4" t="s">
        <v>1492</v>
      </c>
      <c r="AC88" s="4" t="s">
        <v>47</v>
      </c>
      <c r="AD88" s="4" t="s">
        <v>47</v>
      </c>
      <c r="AE88" s="4" t="s">
        <v>47</v>
      </c>
      <c r="AF88" s="4" t="s">
        <v>1493</v>
      </c>
      <c r="AG88" s="4" t="s">
        <v>47</v>
      </c>
      <c r="AH88" s="4" t="s">
        <v>47</v>
      </c>
      <c r="AI88" s="4" t="s">
        <v>47</v>
      </c>
      <c r="AJ88" s="4" t="s">
        <v>47</v>
      </c>
      <c r="AK88" s="4" t="s">
        <v>47</v>
      </c>
      <c r="AL88" s="4" t="s">
        <v>47</v>
      </c>
      <c r="AM88" s="4" t="s">
        <v>47</v>
      </c>
      <c r="AN88" s="4" t="s">
        <v>47</v>
      </c>
      <c r="AO88" s="4" t="s">
        <v>1494</v>
      </c>
      <c r="AP88" s="4" t="s">
        <v>1495</v>
      </c>
      <c r="AQ88" s="4" t="s">
        <v>1496</v>
      </c>
      <c r="AR88" s="4" t="s">
        <v>1497</v>
      </c>
    </row>
    <row r="89" spans="1:44" x14ac:dyDescent="0.2">
      <c r="A89" s="4" t="s">
        <v>207</v>
      </c>
      <c r="B89" s="4" t="s">
        <v>12</v>
      </c>
      <c r="C89">
        <v>0</v>
      </c>
      <c r="D89">
        <v>0.8</v>
      </c>
      <c r="F89">
        <v>2</v>
      </c>
      <c r="G89">
        <v>1.4</v>
      </c>
      <c r="I89" s="4" t="s">
        <v>1498</v>
      </c>
      <c r="J89" s="4" t="s">
        <v>1499</v>
      </c>
      <c r="K89" s="4" t="s">
        <v>674</v>
      </c>
      <c r="L89" s="4" t="s">
        <v>1312</v>
      </c>
      <c r="M89">
        <v>44190</v>
      </c>
      <c r="N89" s="4" t="s">
        <v>1338</v>
      </c>
      <c r="O89" s="4" t="s">
        <v>1500</v>
      </c>
      <c r="P89" s="4" t="s">
        <v>811</v>
      </c>
      <c r="Q89" s="9">
        <v>43278</v>
      </c>
      <c r="R89" s="4" t="s">
        <v>824</v>
      </c>
      <c r="S89" s="4" t="s">
        <v>1011</v>
      </c>
      <c r="T89" s="4" t="s">
        <v>47</v>
      </c>
      <c r="U89" s="4" t="s">
        <v>89</v>
      </c>
      <c r="V89">
        <v>2018</v>
      </c>
      <c r="W89" s="4" t="s">
        <v>47</v>
      </c>
      <c r="X89" s="4" t="s">
        <v>1501</v>
      </c>
      <c r="Y89" s="4" t="s">
        <v>47</v>
      </c>
      <c r="Z89" s="4" t="s">
        <v>1502</v>
      </c>
      <c r="AA89" s="4" t="s">
        <v>47</v>
      </c>
      <c r="AB89" s="4" t="s">
        <v>47</v>
      </c>
      <c r="AC89" s="4" t="s">
        <v>47</v>
      </c>
      <c r="AD89" s="4" t="s">
        <v>47</v>
      </c>
      <c r="AE89" s="4" t="s">
        <v>47</v>
      </c>
      <c r="AF89" s="4" t="s">
        <v>47</v>
      </c>
      <c r="AG89" s="4" t="s">
        <v>47</v>
      </c>
      <c r="AH89" s="4" t="s">
        <v>47</v>
      </c>
      <c r="AI89" s="4" t="s">
        <v>47</v>
      </c>
      <c r="AJ89" s="4" t="s">
        <v>47</v>
      </c>
      <c r="AK89" s="4" t="s">
        <v>47</v>
      </c>
      <c r="AL89" s="4" t="s">
        <v>47</v>
      </c>
      <c r="AM89" s="4" t="s">
        <v>47</v>
      </c>
      <c r="AN89" s="4" t="s">
        <v>47</v>
      </c>
      <c r="AO89" s="4" t="s">
        <v>1503</v>
      </c>
      <c r="AP89" s="4" t="s">
        <v>47</v>
      </c>
      <c r="AQ89" s="4" t="s">
        <v>1504</v>
      </c>
      <c r="AR89" s="4" t="s">
        <v>1505</v>
      </c>
    </row>
    <row r="90" spans="1:44" x14ac:dyDescent="0.2">
      <c r="A90" s="4" t="s">
        <v>179</v>
      </c>
      <c r="B90" s="4" t="s">
        <v>223</v>
      </c>
      <c r="C90">
        <v>0</v>
      </c>
      <c r="D90">
        <v>0.9</v>
      </c>
      <c r="F90">
        <v>2</v>
      </c>
      <c r="G90">
        <v>0.2</v>
      </c>
      <c r="I90" s="4" t="s">
        <v>1506</v>
      </c>
      <c r="J90" s="4" t="s">
        <v>1507</v>
      </c>
      <c r="K90" s="4" t="s">
        <v>1508</v>
      </c>
      <c r="L90" s="4" t="s">
        <v>1509</v>
      </c>
      <c r="M90">
        <v>44073</v>
      </c>
      <c r="N90" s="4" t="s">
        <v>1288</v>
      </c>
      <c r="O90" s="4" t="s">
        <v>1510</v>
      </c>
      <c r="P90" s="4" t="s">
        <v>811</v>
      </c>
      <c r="Q90" s="9">
        <v>43277</v>
      </c>
      <c r="R90" s="4" t="s">
        <v>824</v>
      </c>
      <c r="S90" s="4" t="s">
        <v>1511</v>
      </c>
      <c r="T90" s="4" t="s">
        <v>47</v>
      </c>
      <c r="U90" s="4" t="s">
        <v>89</v>
      </c>
      <c r="V90">
        <v>2018</v>
      </c>
      <c r="W90" s="4" t="s">
        <v>47</v>
      </c>
      <c r="X90" s="4" t="s">
        <v>1512</v>
      </c>
      <c r="Y90" s="4" t="s">
        <v>47</v>
      </c>
      <c r="Z90" s="4" t="s">
        <v>1513</v>
      </c>
      <c r="AA90" s="4" t="s">
        <v>47</v>
      </c>
      <c r="AB90" s="4" t="s">
        <v>47</v>
      </c>
      <c r="AC90" s="4" t="s">
        <v>47</v>
      </c>
      <c r="AD90" s="4" t="s">
        <v>47</v>
      </c>
      <c r="AE90" s="4" t="s">
        <v>47</v>
      </c>
      <c r="AF90" s="4" t="s">
        <v>47</v>
      </c>
      <c r="AG90" s="4" t="s">
        <v>47</v>
      </c>
      <c r="AH90" s="4" t="s">
        <v>47</v>
      </c>
      <c r="AI90" s="4" t="s">
        <v>47</v>
      </c>
      <c r="AJ90" s="4" t="s">
        <v>47</v>
      </c>
      <c r="AK90" s="4" t="s">
        <v>47</v>
      </c>
      <c r="AL90" s="4" t="s">
        <v>47</v>
      </c>
      <c r="AM90" s="4" t="s">
        <v>47</v>
      </c>
      <c r="AN90" s="4" t="s">
        <v>47</v>
      </c>
      <c r="AO90" s="4" t="s">
        <v>1514</v>
      </c>
      <c r="AP90" s="4" t="s">
        <v>1515</v>
      </c>
      <c r="AQ90" s="4" t="s">
        <v>1516</v>
      </c>
      <c r="AR90" s="4" t="s">
        <v>1517</v>
      </c>
    </row>
    <row r="91" spans="1:44" x14ac:dyDescent="0.2">
      <c r="A91" s="4" t="s">
        <v>167</v>
      </c>
      <c r="B91" s="4" t="s">
        <v>87</v>
      </c>
      <c r="C91">
        <v>0</v>
      </c>
      <c r="D91">
        <v>0.2</v>
      </c>
      <c r="F91">
        <v>0</v>
      </c>
      <c r="G91">
        <v>0.4</v>
      </c>
      <c r="I91" s="4" t="s">
        <v>1389</v>
      </c>
      <c r="J91" s="4" t="s">
        <v>1181</v>
      </c>
      <c r="K91" s="4" t="s">
        <v>589</v>
      </c>
      <c r="L91" s="4" t="s">
        <v>910</v>
      </c>
      <c r="M91">
        <v>78011</v>
      </c>
      <c r="N91" s="4" t="s">
        <v>1234</v>
      </c>
      <c r="O91" s="4" t="s">
        <v>1518</v>
      </c>
      <c r="P91" s="4" t="s">
        <v>811</v>
      </c>
      <c r="Q91" s="9">
        <v>43277</v>
      </c>
      <c r="R91" s="4" t="s">
        <v>869</v>
      </c>
      <c r="S91" s="4" t="s">
        <v>1290</v>
      </c>
      <c r="T91" s="4" t="s">
        <v>47</v>
      </c>
      <c r="U91" s="4" t="s">
        <v>89</v>
      </c>
      <c r="V91">
        <v>2018</v>
      </c>
      <c r="W91" s="4" t="s">
        <v>47</v>
      </c>
      <c r="X91" s="4" t="s">
        <v>47</v>
      </c>
      <c r="Y91" s="4" t="s">
        <v>47</v>
      </c>
      <c r="Z91" s="4" t="s">
        <v>47</v>
      </c>
      <c r="AA91" s="4" t="s">
        <v>47</v>
      </c>
      <c r="AB91" s="4" t="s">
        <v>47</v>
      </c>
      <c r="AC91" s="4" t="s">
        <v>47</v>
      </c>
      <c r="AD91" s="4" t="s">
        <v>47</v>
      </c>
      <c r="AE91" s="4" t="s">
        <v>47</v>
      </c>
      <c r="AF91" s="4" t="s">
        <v>47</v>
      </c>
      <c r="AG91" s="4" t="s">
        <v>47</v>
      </c>
      <c r="AH91" s="4" t="s">
        <v>47</v>
      </c>
      <c r="AI91" s="4" t="s">
        <v>47</v>
      </c>
      <c r="AJ91" s="4" t="s">
        <v>47</v>
      </c>
      <c r="AK91" s="4" t="s">
        <v>47</v>
      </c>
      <c r="AL91" s="4" t="s">
        <v>47</v>
      </c>
      <c r="AM91" s="4" t="s">
        <v>47</v>
      </c>
      <c r="AN91" s="4" t="s">
        <v>47</v>
      </c>
      <c r="AO91" s="4" t="s">
        <v>1519</v>
      </c>
      <c r="AP91" s="4" t="s">
        <v>47</v>
      </c>
      <c r="AQ91" s="4" t="s">
        <v>1520</v>
      </c>
      <c r="AR91" s="4" t="s">
        <v>1521</v>
      </c>
    </row>
    <row r="92" spans="1:44" x14ac:dyDescent="0.2">
      <c r="A92" s="4" t="s">
        <v>266</v>
      </c>
      <c r="B92" s="4" t="s">
        <v>90</v>
      </c>
      <c r="C92">
        <v>1</v>
      </c>
      <c r="D92">
        <v>2.1</v>
      </c>
      <c r="F92">
        <v>2</v>
      </c>
      <c r="G92">
        <v>0.7</v>
      </c>
      <c r="I92" s="4" t="s">
        <v>1522</v>
      </c>
      <c r="J92" s="4" t="s">
        <v>1523</v>
      </c>
      <c r="K92" s="4" t="s">
        <v>610</v>
      </c>
      <c r="L92" s="4" t="s">
        <v>611</v>
      </c>
      <c r="M92">
        <v>43472</v>
      </c>
      <c r="N92" s="4" t="s">
        <v>1366</v>
      </c>
      <c r="O92" s="4" t="s">
        <v>1524</v>
      </c>
      <c r="P92" s="4" t="s">
        <v>811</v>
      </c>
      <c r="Q92" s="9">
        <v>43277</v>
      </c>
      <c r="R92" s="4" t="s">
        <v>664</v>
      </c>
      <c r="S92" s="4" t="s">
        <v>1525</v>
      </c>
      <c r="T92" s="4" t="s">
        <v>47</v>
      </c>
      <c r="U92" s="4" t="s">
        <v>89</v>
      </c>
      <c r="V92">
        <v>2018</v>
      </c>
      <c r="W92" s="4" t="s">
        <v>47</v>
      </c>
      <c r="X92" s="4" t="s">
        <v>1526</v>
      </c>
      <c r="Y92" s="4" t="s">
        <v>47</v>
      </c>
      <c r="Z92" s="4" t="s">
        <v>1527</v>
      </c>
      <c r="AA92" s="4" t="s">
        <v>47</v>
      </c>
      <c r="AB92" s="4" t="s">
        <v>47</v>
      </c>
      <c r="AC92" s="4" t="s">
        <v>1528</v>
      </c>
      <c r="AD92" s="4" t="s">
        <v>47</v>
      </c>
      <c r="AE92" s="4" t="s">
        <v>47</v>
      </c>
      <c r="AF92" s="4" t="s">
        <v>47</v>
      </c>
      <c r="AG92" s="4" t="s">
        <v>47</v>
      </c>
      <c r="AH92" s="4" t="s">
        <v>47</v>
      </c>
      <c r="AI92" s="4" t="s">
        <v>47</v>
      </c>
      <c r="AJ92" s="4" t="s">
        <v>47</v>
      </c>
      <c r="AK92" s="4" t="s">
        <v>47</v>
      </c>
      <c r="AL92" s="4" t="s">
        <v>47</v>
      </c>
      <c r="AM92" s="4" t="s">
        <v>47</v>
      </c>
      <c r="AN92" s="4" t="s">
        <v>47</v>
      </c>
      <c r="AO92" s="4" t="s">
        <v>1529</v>
      </c>
      <c r="AP92" s="4" t="s">
        <v>1530</v>
      </c>
      <c r="AQ92" s="4" t="s">
        <v>1531</v>
      </c>
      <c r="AR92" s="4" t="s">
        <v>1532</v>
      </c>
    </row>
    <row r="93" spans="1:44" x14ac:dyDescent="0.2">
      <c r="A93" s="4" t="s">
        <v>177</v>
      </c>
      <c r="B93" s="4" t="s">
        <v>26</v>
      </c>
      <c r="C93">
        <v>1</v>
      </c>
      <c r="D93">
        <v>1.4</v>
      </c>
      <c r="F93">
        <v>2</v>
      </c>
      <c r="G93">
        <v>0.9</v>
      </c>
      <c r="I93" s="4" t="s">
        <v>1533</v>
      </c>
      <c r="J93" s="4" t="s">
        <v>1534</v>
      </c>
      <c r="K93" s="4" t="s">
        <v>1404</v>
      </c>
      <c r="L93" s="4" t="s">
        <v>588</v>
      </c>
      <c r="M93">
        <v>64468</v>
      </c>
      <c r="N93" s="4" t="s">
        <v>1248</v>
      </c>
      <c r="O93" s="4" t="s">
        <v>1535</v>
      </c>
      <c r="P93" s="4" t="s">
        <v>811</v>
      </c>
      <c r="Q93" s="9">
        <v>43277</v>
      </c>
      <c r="R93" s="4" t="s">
        <v>664</v>
      </c>
      <c r="S93" s="4" t="s">
        <v>1257</v>
      </c>
      <c r="T93" s="4" t="s">
        <v>47</v>
      </c>
      <c r="U93" s="4" t="s">
        <v>89</v>
      </c>
      <c r="V93">
        <v>2018</v>
      </c>
      <c r="W93" s="4" t="s">
        <v>47</v>
      </c>
      <c r="X93" s="4" t="s">
        <v>1536</v>
      </c>
      <c r="Y93" s="4" t="s">
        <v>47</v>
      </c>
      <c r="Z93" s="4" t="s">
        <v>1537</v>
      </c>
      <c r="AA93" s="4" t="s">
        <v>47</v>
      </c>
      <c r="AB93" s="4" t="s">
        <v>47</v>
      </c>
      <c r="AC93" s="4" t="s">
        <v>1538</v>
      </c>
      <c r="AD93" s="4" t="s">
        <v>47</v>
      </c>
      <c r="AE93" s="4" t="s">
        <v>47</v>
      </c>
      <c r="AF93" s="4" t="s">
        <v>47</v>
      </c>
      <c r="AG93" s="4" t="s">
        <v>47</v>
      </c>
      <c r="AH93" s="4" t="s">
        <v>47</v>
      </c>
      <c r="AI93" s="4" t="s">
        <v>47</v>
      </c>
      <c r="AJ93" s="4" t="s">
        <v>47</v>
      </c>
      <c r="AK93" s="4" t="s">
        <v>47</v>
      </c>
      <c r="AL93" s="4" t="s">
        <v>47</v>
      </c>
      <c r="AM93" s="4" t="s">
        <v>47</v>
      </c>
      <c r="AN93" s="4" t="s">
        <v>47</v>
      </c>
      <c r="AO93" s="4" t="s">
        <v>1539</v>
      </c>
      <c r="AP93" s="4" t="s">
        <v>1540</v>
      </c>
      <c r="AQ93" s="4" t="s">
        <v>1541</v>
      </c>
      <c r="AR93" s="4" t="s">
        <v>1542</v>
      </c>
    </row>
    <row r="94" spans="1:44" x14ac:dyDescent="0.2">
      <c r="A94" s="4" t="s">
        <v>240</v>
      </c>
      <c r="B94" s="4" t="s">
        <v>183</v>
      </c>
      <c r="C94">
        <v>2</v>
      </c>
      <c r="D94">
        <v>2.6</v>
      </c>
      <c r="F94">
        <v>1</v>
      </c>
      <c r="G94">
        <v>0.8</v>
      </c>
      <c r="I94" s="4" t="s">
        <v>1543</v>
      </c>
      <c r="J94" s="4" t="s">
        <v>1544</v>
      </c>
      <c r="K94" s="4" t="s">
        <v>1545</v>
      </c>
      <c r="L94" s="4" t="s">
        <v>1546</v>
      </c>
      <c r="M94">
        <v>36823</v>
      </c>
      <c r="N94" s="4" t="s">
        <v>1426</v>
      </c>
      <c r="O94" s="4" t="s">
        <v>1547</v>
      </c>
      <c r="P94" s="4" t="s">
        <v>811</v>
      </c>
      <c r="Q94" s="9">
        <v>43276</v>
      </c>
      <c r="R94" s="4" t="s">
        <v>617</v>
      </c>
      <c r="S94" s="4" t="s">
        <v>1548</v>
      </c>
      <c r="T94" s="4" t="s">
        <v>47</v>
      </c>
      <c r="U94" s="4" t="s">
        <v>89</v>
      </c>
      <c r="V94">
        <v>2018</v>
      </c>
      <c r="W94" s="4" t="s">
        <v>923</v>
      </c>
      <c r="X94" s="4" t="s">
        <v>1549</v>
      </c>
      <c r="Y94" s="4" t="s">
        <v>1550</v>
      </c>
      <c r="Z94" s="4" t="s">
        <v>1551</v>
      </c>
      <c r="AA94" s="4" t="s">
        <v>47</v>
      </c>
      <c r="AB94" s="4" t="s">
        <v>47</v>
      </c>
      <c r="AC94" s="4" t="s">
        <v>1552</v>
      </c>
      <c r="AD94" s="4" t="s">
        <v>47</v>
      </c>
      <c r="AE94" s="4" t="s">
        <v>1553</v>
      </c>
      <c r="AF94" s="4" t="s">
        <v>47</v>
      </c>
      <c r="AG94" s="4" t="s">
        <v>47</v>
      </c>
      <c r="AH94" s="4" t="s">
        <v>47</v>
      </c>
      <c r="AI94" s="4" t="s">
        <v>47</v>
      </c>
      <c r="AJ94" s="4" t="s">
        <v>47</v>
      </c>
      <c r="AK94" s="4" t="s">
        <v>47</v>
      </c>
      <c r="AL94" s="4" t="s">
        <v>47</v>
      </c>
      <c r="AM94" s="4" t="s">
        <v>47</v>
      </c>
      <c r="AN94" s="4" t="s">
        <v>47</v>
      </c>
      <c r="AO94" s="4" t="s">
        <v>47</v>
      </c>
      <c r="AP94" s="4" t="s">
        <v>1554</v>
      </c>
      <c r="AQ94" s="4" t="s">
        <v>1555</v>
      </c>
      <c r="AR94" s="4" t="s">
        <v>1556</v>
      </c>
    </row>
    <row r="95" spans="1:44" x14ac:dyDescent="0.2">
      <c r="A95" s="4" t="s">
        <v>121</v>
      </c>
      <c r="B95" s="4" t="s">
        <v>89</v>
      </c>
      <c r="C95">
        <v>3</v>
      </c>
      <c r="D95">
        <v>2.4</v>
      </c>
      <c r="F95">
        <v>0</v>
      </c>
      <c r="G95">
        <v>0.1</v>
      </c>
      <c r="I95" s="4" t="s">
        <v>1303</v>
      </c>
      <c r="J95" s="4" t="s">
        <v>1009</v>
      </c>
      <c r="K95" s="4" t="s">
        <v>1286</v>
      </c>
      <c r="L95" s="4" t="s">
        <v>1287</v>
      </c>
      <c r="M95">
        <v>41970</v>
      </c>
      <c r="N95" s="4" t="s">
        <v>1277</v>
      </c>
      <c r="O95" s="4" t="s">
        <v>1557</v>
      </c>
      <c r="P95" s="4" t="s">
        <v>811</v>
      </c>
      <c r="Q95" s="9">
        <v>43276</v>
      </c>
      <c r="R95" s="4" t="s">
        <v>638</v>
      </c>
      <c r="S95" s="4" t="s">
        <v>1368</v>
      </c>
      <c r="T95" s="4" t="s">
        <v>47</v>
      </c>
      <c r="U95" s="4" t="s">
        <v>89</v>
      </c>
      <c r="V95">
        <v>2018</v>
      </c>
      <c r="W95" s="4" t="s">
        <v>1558</v>
      </c>
      <c r="X95" s="4" t="s">
        <v>47</v>
      </c>
      <c r="Y95" s="4" t="s">
        <v>1559</v>
      </c>
      <c r="Z95" s="4" t="s">
        <v>47</v>
      </c>
      <c r="AA95" s="4" t="s">
        <v>1560</v>
      </c>
      <c r="AB95" s="4" t="s">
        <v>47</v>
      </c>
      <c r="AC95" s="4" t="s">
        <v>47</v>
      </c>
      <c r="AD95" s="4" t="s">
        <v>47</v>
      </c>
      <c r="AE95" s="4" t="s">
        <v>47</v>
      </c>
      <c r="AF95" s="4" t="s">
        <v>47</v>
      </c>
      <c r="AG95" s="4" t="s">
        <v>47</v>
      </c>
      <c r="AH95" s="4" t="s">
        <v>47</v>
      </c>
      <c r="AI95" s="4" t="s">
        <v>47</v>
      </c>
      <c r="AJ95" s="4" t="s">
        <v>47</v>
      </c>
      <c r="AK95" s="4" t="s">
        <v>47</v>
      </c>
      <c r="AL95" s="4" t="s">
        <v>47</v>
      </c>
      <c r="AM95" s="4" t="s">
        <v>47</v>
      </c>
      <c r="AN95" s="4" t="s">
        <v>1561</v>
      </c>
      <c r="AO95" s="4" t="s">
        <v>1562</v>
      </c>
      <c r="AP95" s="4" t="s">
        <v>1563</v>
      </c>
      <c r="AQ95" s="4" t="s">
        <v>1564</v>
      </c>
      <c r="AR95" s="4" t="s">
        <v>1565</v>
      </c>
    </row>
    <row r="96" spans="1:44" x14ac:dyDescent="0.2">
      <c r="A96" s="4" t="s">
        <v>20</v>
      </c>
      <c r="B96" s="4" t="s">
        <v>144</v>
      </c>
      <c r="C96">
        <v>2</v>
      </c>
      <c r="D96">
        <v>2.9</v>
      </c>
      <c r="F96">
        <v>2</v>
      </c>
      <c r="G96">
        <v>1.2</v>
      </c>
      <c r="I96" s="4" t="s">
        <v>1376</v>
      </c>
      <c r="J96" s="4" t="s">
        <v>1377</v>
      </c>
      <c r="K96" s="4" t="s">
        <v>918</v>
      </c>
      <c r="L96" s="4" t="s">
        <v>1566</v>
      </c>
      <c r="M96">
        <v>33973</v>
      </c>
      <c r="N96" s="4" t="s">
        <v>1443</v>
      </c>
      <c r="O96" s="4" t="s">
        <v>1567</v>
      </c>
      <c r="P96" s="4" t="s">
        <v>811</v>
      </c>
      <c r="Q96" s="9">
        <v>43276</v>
      </c>
      <c r="R96" s="4" t="s">
        <v>1487</v>
      </c>
      <c r="S96" s="4" t="s">
        <v>1568</v>
      </c>
      <c r="T96" s="4" t="s">
        <v>47</v>
      </c>
      <c r="U96" s="4" t="s">
        <v>89</v>
      </c>
      <c r="V96">
        <v>2018</v>
      </c>
      <c r="W96" s="4" t="s">
        <v>1569</v>
      </c>
      <c r="X96" s="4" t="s">
        <v>1570</v>
      </c>
      <c r="Y96" s="4" t="s">
        <v>1571</v>
      </c>
      <c r="Z96" s="4" t="s">
        <v>1572</v>
      </c>
      <c r="AA96" s="4" t="s">
        <v>47</v>
      </c>
      <c r="AB96" s="4" t="s">
        <v>47</v>
      </c>
      <c r="AC96" s="4" t="s">
        <v>47</v>
      </c>
      <c r="AD96" s="4" t="s">
        <v>47</v>
      </c>
      <c r="AE96" s="4" t="s">
        <v>47</v>
      </c>
      <c r="AF96" s="4" t="s">
        <v>47</v>
      </c>
      <c r="AG96" s="4" t="s">
        <v>47</v>
      </c>
      <c r="AH96" s="4" t="s">
        <v>47</v>
      </c>
      <c r="AI96" s="4" t="s">
        <v>47</v>
      </c>
      <c r="AJ96" s="4" t="s">
        <v>47</v>
      </c>
      <c r="AK96" s="4" t="s">
        <v>47</v>
      </c>
      <c r="AL96" s="4" t="s">
        <v>47</v>
      </c>
      <c r="AM96" s="4" t="s">
        <v>47</v>
      </c>
      <c r="AN96" s="4" t="s">
        <v>47</v>
      </c>
      <c r="AO96" s="4" t="s">
        <v>47</v>
      </c>
      <c r="AP96" s="4" t="s">
        <v>1573</v>
      </c>
      <c r="AQ96" s="4" t="s">
        <v>1574</v>
      </c>
      <c r="AR96" s="4" t="s">
        <v>1575</v>
      </c>
    </row>
    <row r="97" spans="1:44" x14ac:dyDescent="0.2">
      <c r="A97" s="4" t="s">
        <v>165</v>
      </c>
      <c r="B97" s="4" t="s">
        <v>141</v>
      </c>
      <c r="C97">
        <v>1</v>
      </c>
      <c r="D97">
        <v>1.4</v>
      </c>
      <c r="F97">
        <v>1</v>
      </c>
      <c r="G97">
        <v>1.3</v>
      </c>
      <c r="I97" s="4" t="s">
        <v>960</v>
      </c>
      <c r="J97" s="4" t="s">
        <v>961</v>
      </c>
      <c r="K97" s="4" t="s">
        <v>647</v>
      </c>
      <c r="L97" s="4" t="s">
        <v>809</v>
      </c>
      <c r="M97">
        <v>41685</v>
      </c>
      <c r="N97" s="4" t="s">
        <v>1454</v>
      </c>
      <c r="O97" s="4" t="s">
        <v>1576</v>
      </c>
      <c r="P97" s="4" t="s">
        <v>811</v>
      </c>
      <c r="Q97" s="9">
        <v>43276</v>
      </c>
      <c r="R97" s="4" t="s">
        <v>1046</v>
      </c>
      <c r="S97" s="4" t="s">
        <v>1577</v>
      </c>
      <c r="T97" s="4" t="s">
        <v>47</v>
      </c>
      <c r="U97" s="4" t="s">
        <v>89</v>
      </c>
      <c r="V97">
        <v>2018</v>
      </c>
      <c r="W97" s="4" t="s">
        <v>47</v>
      </c>
      <c r="X97" s="4" t="s">
        <v>1578</v>
      </c>
      <c r="Y97" s="4" t="s">
        <v>47</v>
      </c>
      <c r="Z97" s="4" t="s">
        <v>1579</v>
      </c>
      <c r="AA97" s="4" t="s">
        <v>47</v>
      </c>
      <c r="AB97" s="4" t="s">
        <v>47</v>
      </c>
      <c r="AC97" s="4" t="s">
        <v>1580</v>
      </c>
      <c r="AD97" s="4" t="s">
        <v>47</v>
      </c>
      <c r="AE97" s="4" t="s">
        <v>47</v>
      </c>
      <c r="AF97" s="4" t="s">
        <v>1581</v>
      </c>
      <c r="AG97" s="4" t="s">
        <v>47</v>
      </c>
      <c r="AH97" s="4" t="s">
        <v>47</v>
      </c>
      <c r="AI97" s="4" t="s">
        <v>47</v>
      </c>
      <c r="AJ97" s="4" t="s">
        <v>47</v>
      </c>
      <c r="AK97" s="4" t="s">
        <v>47</v>
      </c>
      <c r="AL97" s="4" t="s">
        <v>47</v>
      </c>
      <c r="AM97" s="4" t="s">
        <v>47</v>
      </c>
      <c r="AN97" s="4" t="s">
        <v>47</v>
      </c>
      <c r="AO97" s="4" t="s">
        <v>1582</v>
      </c>
      <c r="AP97" s="4" t="s">
        <v>1583</v>
      </c>
      <c r="AQ97" s="4" t="s">
        <v>1584</v>
      </c>
      <c r="AR97" s="4" t="s">
        <v>1585</v>
      </c>
    </row>
    <row r="98" spans="1:44" x14ac:dyDescent="0.2">
      <c r="A98" s="4" t="s">
        <v>52</v>
      </c>
      <c r="B98" s="4" t="s">
        <v>192</v>
      </c>
      <c r="C98">
        <v>6</v>
      </c>
      <c r="D98">
        <v>2.8</v>
      </c>
      <c r="F98">
        <v>1</v>
      </c>
      <c r="G98">
        <v>1.1000000000000001</v>
      </c>
      <c r="I98" s="4" t="s">
        <v>661</v>
      </c>
      <c r="J98" s="4" t="s">
        <v>662</v>
      </c>
      <c r="K98" s="4" t="s">
        <v>1450</v>
      </c>
      <c r="L98" s="4" t="s">
        <v>1451</v>
      </c>
      <c r="M98">
        <v>43319</v>
      </c>
      <c r="N98" s="4" t="s">
        <v>1304</v>
      </c>
      <c r="O98" s="4" t="s">
        <v>1586</v>
      </c>
      <c r="P98" s="4" t="s">
        <v>811</v>
      </c>
      <c r="Q98" s="9">
        <v>43275</v>
      </c>
      <c r="R98" s="4" t="s">
        <v>728</v>
      </c>
      <c r="S98" s="4" t="s">
        <v>1587</v>
      </c>
      <c r="T98" s="4" t="s">
        <v>47</v>
      </c>
      <c r="U98" s="4" t="s">
        <v>89</v>
      </c>
      <c r="V98">
        <v>2018</v>
      </c>
      <c r="W98" s="4" t="s">
        <v>1588</v>
      </c>
      <c r="X98" s="4" t="s">
        <v>1589</v>
      </c>
      <c r="Y98" s="4" t="s">
        <v>1590</v>
      </c>
      <c r="Z98" s="4" t="s">
        <v>1591</v>
      </c>
      <c r="AA98" s="4" t="s">
        <v>47</v>
      </c>
      <c r="AB98" s="4" t="s">
        <v>47</v>
      </c>
      <c r="AC98" s="4" t="s">
        <v>1592</v>
      </c>
      <c r="AD98" s="4" t="s">
        <v>47</v>
      </c>
      <c r="AE98" s="4" t="s">
        <v>47</v>
      </c>
      <c r="AF98" s="4" t="s">
        <v>47</v>
      </c>
      <c r="AG98" s="4" t="s">
        <v>47</v>
      </c>
      <c r="AH98" s="4" t="s">
        <v>47</v>
      </c>
      <c r="AI98" s="4" t="s">
        <v>47</v>
      </c>
      <c r="AJ98" s="4" t="s">
        <v>47</v>
      </c>
      <c r="AK98" s="4" t="s">
        <v>47</v>
      </c>
      <c r="AL98" s="4" t="s">
        <v>47</v>
      </c>
      <c r="AM98" s="4" t="s">
        <v>47</v>
      </c>
      <c r="AN98" s="4" t="s">
        <v>47</v>
      </c>
      <c r="AO98" s="4" t="s">
        <v>1593</v>
      </c>
      <c r="AP98" s="4" t="s">
        <v>1594</v>
      </c>
      <c r="AQ98" s="4" t="s">
        <v>1595</v>
      </c>
      <c r="AR98" s="4" t="s">
        <v>1596</v>
      </c>
    </row>
    <row r="99" spans="1:44" x14ac:dyDescent="0.2">
      <c r="A99" s="4" t="s">
        <v>161</v>
      </c>
      <c r="B99" s="4" t="s">
        <v>157</v>
      </c>
      <c r="C99">
        <v>2</v>
      </c>
      <c r="D99">
        <v>0.9</v>
      </c>
      <c r="F99">
        <v>2</v>
      </c>
      <c r="G99">
        <v>1.4</v>
      </c>
      <c r="I99" s="4" t="s">
        <v>1364</v>
      </c>
      <c r="J99" s="4" t="s">
        <v>1365</v>
      </c>
      <c r="K99" s="4" t="s">
        <v>779</v>
      </c>
      <c r="L99" s="4" t="s">
        <v>1597</v>
      </c>
      <c r="M99">
        <v>32572</v>
      </c>
      <c r="N99" s="4" t="s">
        <v>1473</v>
      </c>
      <c r="O99" s="4" t="s">
        <v>1598</v>
      </c>
      <c r="P99" s="4" t="s">
        <v>811</v>
      </c>
      <c r="Q99" s="9">
        <v>43275</v>
      </c>
      <c r="R99" s="4" t="s">
        <v>1487</v>
      </c>
      <c r="S99" s="4" t="s">
        <v>1357</v>
      </c>
      <c r="T99" s="4" t="s">
        <v>47</v>
      </c>
      <c r="U99" s="4" t="s">
        <v>89</v>
      </c>
      <c r="V99">
        <v>2018</v>
      </c>
      <c r="W99" s="4" t="s">
        <v>1599</v>
      </c>
      <c r="X99" s="4" t="s">
        <v>1600</v>
      </c>
      <c r="Y99" s="4" t="s">
        <v>1601</v>
      </c>
      <c r="Z99" s="4" t="s">
        <v>1602</v>
      </c>
      <c r="AA99" s="4" t="s">
        <v>47</v>
      </c>
      <c r="AB99" s="4" t="s">
        <v>47</v>
      </c>
      <c r="AC99" s="4" t="s">
        <v>47</v>
      </c>
      <c r="AD99" s="4" t="s">
        <v>47</v>
      </c>
      <c r="AE99" s="4" t="s">
        <v>47</v>
      </c>
      <c r="AF99" s="4" t="s">
        <v>47</v>
      </c>
      <c r="AG99" s="4" t="s">
        <v>47</v>
      </c>
      <c r="AH99" s="4" t="s">
        <v>47</v>
      </c>
      <c r="AI99" s="4" t="s">
        <v>47</v>
      </c>
      <c r="AJ99" s="4" t="s">
        <v>47</v>
      </c>
      <c r="AK99" s="4" t="s">
        <v>47</v>
      </c>
      <c r="AL99" s="4" t="s">
        <v>47</v>
      </c>
      <c r="AM99" s="4" t="s">
        <v>47</v>
      </c>
      <c r="AN99" s="4" t="s">
        <v>47</v>
      </c>
      <c r="AO99" s="4" t="s">
        <v>1603</v>
      </c>
      <c r="AP99" s="4" t="s">
        <v>1604</v>
      </c>
      <c r="AQ99" s="4" t="s">
        <v>1605</v>
      </c>
      <c r="AR99" s="4" t="s">
        <v>1606</v>
      </c>
    </row>
    <row r="100" spans="1:44" x14ac:dyDescent="0.2">
      <c r="A100" s="4" t="s">
        <v>195</v>
      </c>
      <c r="B100" s="4" t="s">
        <v>153</v>
      </c>
      <c r="C100">
        <v>0</v>
      </c>
      <c r="D100">
        <v>1.1000000000000001</v>
      </c>
      <c r="F100">
        <v>3</v>
      </c>
      <c r="G100">
        <v>2.1</v>
      </c>
      <c r="I100" s="4" t="s">
        <v>1425</v>
      </c>
      <c r="J100" s="4" t="s">
        <v>768</v>
      </c>
      <c r="K100" s="4" t="s">
        <v>1336</v>
      </c>
      <c r="L100" s="4" t="s">
        <v>1337</v>
      </c>
      <c r="M100">
        <v>42873</v>
      </c>
      <c r="N100" s="4" t="s">
        <v>1313</v>
      </c>
      <c r="O100" s="4" t="s">
        <v>1607</v>
      </c>
      <c r="P100" s="4" t="s">
        <v>811</v>
      </c>
      <c r="Q100" s="9">
        <v>43275</v>
      </c>
      <c r="R100" s="4" t="s">
        <v>973</v>
      </c>
      <c r="S100" s="4" t="s">
        <v>631</v>
      </c>
      <c r="T100" s="4" t="s">
        <v>47</v>
      </c>
      <c r="U100" s="4" t="s">
        <v>89</v>
      </c>
      <c r="V100">
        <v>2018</v>
      </c>
      <c r="W100" s="4" t="s">
        <v>47</v>
      </c>
      <c r="X100" s="4" t="s">
        <v>1608</v>
      </c>
      <c r="Y100" s="4" t="s">
        <v>47</v>
      </c>
      <c r="Z100" s="4" t="s">
        <v>1609</v>
      </c>
      <c r="AA100" s="4" t="s">
        <v>47</v>
      </c>
      <c r="AB100" s="4" t="s">
        <v>47</v>
      </c>
      <c r="AC100" s="4" t="s">
        <v>47</v>
      </c>
      <c r="AD100" s="4" t="s">
        <v>47</v>
      </c>
      <c r="AE100" s="4" t="s">
        <v>47</v>
      </c>
      <c r="AF100" s="4" t="s">
        <v>47</v>
      </c>
      <c r="AG100" s="4" t="s">
        <v>47</v>
      </c>
      <c r="AH100" s="4" t="s">
        <v>47</v>
      </c>
      <c r="AI100" s="4" t="s">
        <v>47</v>
      </c>
      <c r="AJ100" s="4" t="s">
        <v>47</v>
      </c>
      <c r="AK100" s="4" t="s">
        <v>47</v>
      </c>
      <c r="AL100" s="4" t="s">
        <v>47</v>
      </c>
      <c r="AM100" s="4" t="s">
        <v>47</v>
      </c>
      <c r="AN100" s="4" t="s">
        <v>47</v>
      </c>
      <c r="AO100" s="4" t="s">
        <v>1610</v>
      </c>
      <c r="AP100" s="4" t="s">
        <v>47</v>
      </c>
      <c r="AQ100" s="4" t="s">
        <v>1611</v>
      </c>
      <c r="AR100" s="4" t="s">
        <v>1612</v>
      </c>
    </row>
    <row r="101" spans="1:44" x14ac:dyDescent="0.2">
      <c r="A101" s="4" t="s">
        <v>148</v>
      </c>
      <c r="B101" s="4" t="s">
        <v>213</v>
      </c>
      <c r="C101">
        <v>5</v>
      </c>
      <c r="D101">
        <v>5.2</v>
      </c>
      <c r="F101">
        <v>2</v>
      </c>
      <c r="G101">
        <v>1.1000000000000001</v>
      </c>
      <c r="I101" s="4" t="s">
        <v>866</v>
      </c>
      <c r="J101" s="4" t="s">
        <v>1026</v>
      </c>
      <c r="K101" s="4" t="s">
        <v>1452</v>
      </c>
      <c r="L101" s="4" t="s">
        <v>909</v>
      </c>
      <c r="M101">
        <v>44190</v>
      </c>
      <c r="N101" s="4" t="s">
        <v>1338</v>
      </c>
      <c r="O101" s="4" t="s">
        <v>1613</v>
      </c>
      <c r="P101" s="4" t="s">
        <v>811</v>
      </c>
      <c r="Q101" s="9">
        <v>43274</v>
      </c>
      <c r="R101" s="4" t="s">
        <v>1614</v>
      </c>
      <c r="S101" s="4" t="s">
        <v>1615</v>
      </c>
      <c r="T101" s="4" t="s">
        <v>47</v>
      </c>
      <c r="U101" s="4" t="s">
        <v>89</v>
      </c>
      <c r="V101">
        <v>2018</v>
      </c>
      <c r="W101" s="4" t="s">
        <v>1616</v>
      </c>
      <c r="X101" s="4" t="s">
        <v>1617</v>
      </c>
      <c r="Y101" s="4" t="s">
        <v>1618</v>
      </c>
      <c r="Z101" s="4" t="s">
        <v>1619</v>
      </c>
      <c r="AA101" s="4" t="s">
        <v>47</v>
      </c>
      <c r="AB101" s="4" t="s">
        <v>47</v>
      </c>
      <c r="AC101" s="4" t="s">
        <v>1620</v>
      </c>
      <c r="AD101" s="4" t="s">
        <v>47</v>
      </c>
      <c r="AE101" s="4" t="s">
        <v>47</v>
      </c>
      <c r="AF101" s="4" t="s">
        <v>47</v>
      </c>
      <c r="AG101" s="4" t="s">
        <v>47</v>
      </c>
      <c r="AH101" s="4" t="s">
        <v>47</v>
      </c>
      <c r="AI101" s="4" t="s">
        <v>47</v>
      </c>
      <c r="AJ101" s="4" t="s">
        <v>47</v>
      </c>
      <c r="AK101" s="4" t="s">
        <v>47</v>
      </c>
      <c r="AL101" s="4" t="s">
        <v>47</v>
      </c>
      <c r="AM101" s="4" t="s">
        <v>47</v>
      </c>
      <c r="AN101" s="4" t="s">
        <v>47</v>
      </c>
      <c r="AO101" s="4" t="s">
        <v>47</v>
      </c>
      <c r="AP101" s="4" t="s">
        <v>1621</v>
      </c>
      <c r="AQ101" s="4" t="s">
        <v>1622</v>
      </c>
      <c r="AR101" s="4" t="s">
        <v>1623</v>
      </c>
    </row>
    <row r="102" spans="1:44" x14ac:dyDescent="0.2">
      <c r="A102" s="4" t="s">
        <v>175</v>
      </c>
      <c r="B102" s="4" t="s">
        <v>106</v>
      </c>
      <c r="C102">
        <v>1</v>
      </c>
      <c r="D102">
        <v>0.9</v>
      </c>
      <c r="F102">
        <v>2</v>
      </c>
      <c r="G102">
        <v>1.9</v>
      </c>
      <c r="I102" s="4" t="s">
        <v>1464</v>
      </c>
      <c r="J102" s="4" t="s">
        <v>1624</v>
      </c>
      <c r="K102" s="4" t="s">
        <v>1354</v>
      </c>
      <c r="L102" s="4" t="s">
        <v>921</v>
      </c>
      <c r="M102">
        <v>43472</v>
      </c>
      <c r="N102" s="4" t="s">
        <v>1366</v>
      </c>
      <c r="O102" s="4" t="s">
        <v>1625</v>
      </c>
      <c r="P102" s="4" t="s">
        <v>811</v>
      </c>
      <c r="Q102" s="9">
        <v>43274</v>
      </c>
      <c r="R102" s="4" t="s">
        <v>664</v>
      </c>
      <c r="S102" s="4" t="s">
        <v>1315</v>
      </c>
      <c r="T102" s="4" t="s">
        <v>47</v>
      </c>
      <c r="U102" s="4" t="s">
        <v>89</v>
      </c>
      <c r="V102">
        <v>2018</v>
      </c>
      <c r="W102" s="4" t="s">
        <v>1626</v>
      </c>
      <c r="X102" s="4" t="s">
        <v>1627</v>
      </c>
      <c r="Y102" s="4" t="s">
        <v>1628</v>
      </c>
      <c r="Z102" s="4" t="s">
        <v>1629</v>
      </c>
      <c r="AA102" s="4" t="s">
        <v>47</v>
      </c>
      <c r="AB102" s="4" t="s">
        <v>47</v>
      </c>
      <c r="AC102" s="4" t="s">
        <v>47</v>
      </c>
      <c r="AD102" s="4" t="s">
        <v>1630</v>
      </c>
      <c r="AE102" s="4" t="s">
        <v>47</v>
      </c>
      <c r="AF102" s="4" t="s">
        <v>47</v>
      </c>
      <c r="AG102" s="4" t="s">
        <v>47</v>
      </c>
      <c r="AH102" s="4" t="s">
        <v>47</v>
      </c>
      <c r="AI102" s="4" t="s">
        <v>47</v>
      </c>
      <c r="AJ102" s="4" t="s">
        <v>47</v>
      </c>
      <c r="AK102" s="4" t="s">
        <v>47</v>
      </c>
      <c r="AL102" s="4" t="s">
        <v>47</v>
      </c>
      <c r="AM102" s="4" t="s">
        <v>47</v>
      </c>
      <c r="AN102" s="4" t="s">
        <v>47</v>
      </c>
      <c r="AO102" s="4" t="s">
        <v>1631</v>
      </c>
      <c r="AP102" s="4" t="s">
        <v>47</v>
      </c>
      <c r="AQ102" s="4" t="s">
        <v>1632</v>
      </c>
      <c r="AR102" s="4" t="s">
        <v>1633</v>
      </c>
    </row>
    <row r="103" spans="1:44" x14ac:dyDescent="0.2">
      <c r="A103" s="4" t="s">
        <v>92</v>
      </c>
      <c r="B103" s="4" t="s">
        <v>116</v>
      </c>
      <c r="C103">
        <v>2</v>
      </c>
      <c r="D103">
        <v>1.4</v>
      </c>
      <c r="F103">
        <v>1</v>
      </c>
      <c r="G103">
        <v>0.9</v>
      </c>
      <c r="I103" s="4" t="s">
        <v>1465</v>
      </c>
      <c r="J103" s="4" t="s">
        <v>877</v>
      </c>
      <c r="K103" s="4" t="s">
        <v>1275</v>
      </c>
      <c r="L103" s="4" t="s">
        <v>1276</v>
      </c>
      <c r="M103">
        <v>44287</v>
      </c>
      <c r="N103" s="4" t="s">
        <v>1288</v>
      </c>
      <c r="O103" s="4" t="s">
        <v>1634</v>
      </c>
      <c r="P103" s="4" t="s">
        <v>811</v>
      </c>
      <c r="Q103" s="9">
        <v>43274</v>
      </c>
      <c r="R103" s="4" t="s">
        <v>617</v>
      </c>
      <c r="S103" s="4" t="s">
        <v>595</v>
      </c>
      <c r="T103" s="4" t="s">
        <v>47</v>
      </c>
      <c r="U103" s="4" t="s">
        <v>89</v>
      </c>
      <c r="V103">
        <v>2018</v>
      </c>
      <c r="W103" s="4" t="s">
        <v>1635</v>
      </c>
      <c r="X103" s="4" t="s">
        <v>1636</v>
      </c>
      <c r="Y103" s="4" t="s">
        <v>1637</v>
      </c>
      <c r="Z103" s="4" t="s">
        <v>1638</v>
      </c>
      <c r="AA103" s="4" t="s">
        <v>47</v>
      </c>
      <c r="AB103" s="4" t="s">
        <v>47</v>
      </c>
      <c r="AC103" s="4" t="s">
        <v>47</v>
      </c>
      <c r="AD103" s="4" t="s">
        <v>47</v>
      </c>
      <c r="AE103" s="4" t="s">
        <v>47</v>
      </c>
      <c r="AF103" s="4" t="s">
        <v>47</v>
      </c>
      <c r="AG103" s="4" t="s">
        <v>47</v>
      </c>
      <c r="AH103" s="4" t="s">
        <v>47</v>
      </c>
      <c r="AI103" s="4" t="s">
        <v>47</v>
      </c>
      <c r="AJ103" s="4" t="s">
        <v>47</v>
      </c>
      <c r="AK103" s="4" t="s">
        <v>47</v>
      </c>
      <c r="AL103" s="4" t="s">
        <v>47</v>
      </c>
      <c r="AM103" s="4" t="s">
        <v>1639</v>
      </c>
      <c r="AN103" s="4" t="s">
        <v>47</v>
      </c>
      <c r="AO103" s="4" t="s">
        <v>1640</v>
      </c>
      <c r="AP103" s="4" t="s">
        <v>1641</v>
      </c>
      <c r="AQ103" s="4" t="s">
        <v>1642</v>
      </c>
      <c r="AR103" s="4" t="s">
        <v>1643</v>
      </c>
    </row>
    <row r="104" spans="1:44" x14ac:dyDescent="0.2">
      <c r="A104" s="4" t="s">
        <v>12</v>
      </c>
      <c r="B104" s="4" t="s">
        <v>225</v>
      </c>
      <c r="C104">
        <v>2</v>
      </c>
      <c r="D104">
        <v>2.6</v>
      </c>
      <c r="F104">
        <v>0</v>
      </c>
      <c r="G104">
        <v>0.1</v>
      </c>
      <c r="I104" s="4" t="s">
        <v>674</v>
      </c>
      <c r="J104" s="4" t="s">
        <v>675</v>
      </c>
      <c r="K104" s="4" t="s">
        <v>1484</v>
      </c>
      <c r="L104" s="4" t="s">
        <v>1485</v>
      </c>
      <c r="M104">
        <v>64468</v>
      </c>
      <c r="N104" s="4" t="s">
        <v>1248</v>
      </c>
      <c r="O104" s="4" t="s">
        <v>1644</v>
      </c>
      <c r="P104" s="4" t="s">
        <v>811</v>
      </c>
      <c r="Q104" s="9">
        <v>43273</v>
      </c>
      <c r="R104" s="4" t="s">
        <v>630</v>
      </c>
      <c r="S104" s="4" t="s">
        <v>1279</v>
      </c>
      <c r="T104" s="4" t="s">
        <v>47</v>
      </c>
      <c r="U104" s="4" t="s">
        <v>89</v>
      </c>
      <c r="V104">
        <v>2018</v>
      </c>
      <c r="W104" s="4" t="s">
        <v>1645</v>
      </c>
      <c r="X104" s="4" t="s">
        <v>47</v>
      </c>
      <c r="Y104" s="4" t="s">
        <v>1646</v>
      </c>
      <c r="Z104" s="4" t="s">
        <v>47</v>
      </c>
      <c r="AA104" s="4" t="s">
        <v>47</v>
      </c>
      <c r="AB104" s="4" t="s">
        <v>47</v>
      </c>
      <c r="AC104" s="4" t="s">
        <v>47</v>
      </c>
      <c r="AD104" s="4" t="s">
        <v>47</v>
      </c>
      <c r="AE104" s="4" t="s">
        <v>47</v>
      </c>
      <c r="AF104" s="4" t="s">
        <v>47</v>
      </c>
      <c r="AG104" s="4" t="s">
        <v>47</v>
      </c>
      <c r="AH104" s="4" t="s">
        <v>47</v>
      </c>
      <c r="AI104" s="4" t="s">
        <v>47</v>
      </c>
      <c r="AJ104" s="4" t="s">
        <v>47</v>
      </c>
      <c r="AK104" s="4" t="s">
        <v>47</v>
      </c>
      <c r="AL104" s="4" t="s">
        <v>47</v>
      </c>
      <c r="AM104" s="4" t="s">
        <v>47</v>
      </c>
      <c r="AN104" s="4" t="s">
        <v>47</v>
      </c>
      <c r="AO104" s="4" t="s">
        <v>1647</v>
      </c>
      <c r="AP104" s="4" t="s">
        <v>1648</v>
      </c>
      <c r="AQ104" s="4" t="s">
        <v>1649</v>
      </c>
      <c r="AR104" s="4" t="s">
        <v>1650</v>
      </c>
    </row>
    <row r="105" spans="1:44" x14ac:dyDescent="0.2">
      <c r="A105" s="4" t="s">
        <v>177</v>
      </c>
      <c r="B105" s="4" t="s">
        <v>266</v>
      </c>
      <c r="C105">
        <v>2</v>
      </c>
      <c r="D105">
        <v>0.9</v>
      </c>
      <c r="F105">
        <v>0</v>
      </c>
      <c r="G105">
        <v>1.3</v>
      </c>
      <c r="I105" s="4" t="s">
        <v>1533</v>
      </c>
      <c r="J105" s="4" t="s">
        <v>1534</v>
      </c>
      <c r="K105" s="4" t="s">
        <v>1522</v>
      </c>
      <c r="L105" s="4" t="s">
        <v>1523</v>
      </c>
      <c r="M105">
        <v>40904</v>
      </c>
      <c r="N105" s="4" t="s">
        <v>1426</v>
      </c>
      <c r="O105" s="4" t="s">
        <v>1651</v>
      </c>
      <c r="P105" s="4" t="s">
        <v>811</v>
      </c>
      <c r="Q105" s="9">
        <v>43273</v>
      </c>
      <c r="R105" s="4" t="s">
        <v>630</v>
      </c>
      <c r="S105" s="4" t="s">
        <v>912</v>
      </c>
      <c r="T105" s="4" t="s">
        <v>47</v>
      </c>
      <c r="U105" s="4" t="s">
        <v>89</v>
      </c>
      <c r="V105">
        <v>2018</v>
      </c>
      <c r="W105" s="4" t="s">
        <v>1652</v>
      </c>
      <c r="X105" s="4" t="s">
        <v>47</v>
      </c>
      <c r="Y105" s="4" t="s">
        <v>1653</v>
      </c>
      <c r="Z105" s="4" t="s">
        <v>47</v>
      </c>
      <c r="AA105" s="4" t="s">
        <v>47</v>
      </c>
      <c r="AB105" s="4" t="s">
        <v>47</v>
      </c>
      <c r="AC105" s="4" t="s">
        <v>47</v>
      </c>
      <c r="AD105" s="4" t="s">
        <v>47</v>
      </c>
      <c r="AE105" s="4" t="s">
        <v>47</v>
      </c>
      <c r="AF105" s="4" t="s">
        <v>1654</v>
      </c>
      <c r="AG105" s="4" t="s">
        <v>47</v>
      </c>
      <c r="AH105" s="4" t="s">
        <v>47</v>
      </c>
      <c r="AI105" s="4" t="s">
        <v>47</v>
      </c>
      <c r="AJ105" s="4" t="s">
        <v>47</v>
      </c>
      <c r="AK105" s="4" t="s">
        <v>47</v>
      </c>
      <c r="AL105" s="4" t="s">
        <v>47</v>
      </c>
      <c r="AM105" s="4" t="s">
        <v>47</v>
      </c>
      <c r="AN105" s="4" t="s">
        <v>47</v>
      </c>
      <c r="AO105" s="4" t="s">
        <v>1655</v>
      </c>
      <c r="AP105" s="4" t="s">
        <v>47</v>
      </c>
      <c r="AQ105" s="4" t="s">
        <v>1656</v>
      </c>
      <c r="AR105" s="4" t="s">
        <v>1657</v>
      </c>
    </row>
    <row r="106" spans="1:44" x14ac:dyDescent="0.2">
      <c r="A106" s="4" t="s">
        <v>207</v>
      </c>
      <c r="B106" s="4" t="s">
        <v>118</v>
      </c>
      <c r="C106">
        <v>1</v>
      </c>
      <c r="D106">
        <v>1.5</v>
      </c>
      <c r="F106">
        <v>2</v>
      </c>
      <c r="G106">
        <v>2.1</v>
      </c>
      <c r="I106" s="4" t="s">
        <v>1498</v>
      </c>
      <c r="J106" s="4" t="s">
        <v>1499</v>
      </c>
      <c r="K106" s="4" t="s">
        <v>1325</v>
      </c>
      <c r="L106" s="4" t="s">
        <v>1483</v>
      </c>
      <c r="M106">
        <v>33167</v>
      </c>
      <c r="N106" s="4" t="s">
        <v>1443</v>
      </c>
      <c r="O106" s="4" t="s">
        <v>1658</v>
      </c>
      <c r="P106" s="4" t="s">
        <v>811</v>
      </c>
      <c r="Q106" s="9">
        <v>43273</v>
      </c>
      <c r="R106" s="4" t="s">
        <v>664</v>
      </c>
      <c r="S106" s="4" t="s">
        <v>1659</v>
      </c>
      <c r="T106" s="4" t="s">
        <v>47</v>
      </c>
      <c r="U106" s="4" t="s">
        <v>89</v>
      </c>
      <c r="V106">
        <v>2018</v>
      </c>
      <c r="W106" s="4" t="s">
        <v>1660</v>
      </c>
      <c r="X106" s="4" t="s">
        <v>1661</v>
      </c>
      <c r="Y106" s="4" t="s">
        <v>1662</v>
      </c>
      <c r="Z106" s="4" t="s">
        <v>1663</v>
      </c>
      <c r="AA106" s="4" t="s">
        <v>47</v>
      </c>
      <c r="AB106" s="4" t="s">
        <v>47</v>
      </c>
      <c r="AC106" s="4" t="s">
        <v>47</v>
      </c>
      <c r="AD106" s="4" t="s">
        <v>47</v>
      </c>
      <c r="AE106" s="4" t="s">
        <v>47</v>
      </c>
      <c r="AF106" s="4" t="s">
        <v>47</v>
      </c>
      <c r="AG106" s="4" t="s">
        <v>47</v>
      </c>
      <c r="AH106" s="4" t="s">
        <v>47</v>
      </c>
      <c r="AI106" s="4" t="s">
        <v>47</v>
      </c>
      <c r="AJ106" s="4" t="s">
        <v>47</v>
      </c>
      <c r="AK106" s="4" t="s">
        <v>47</v>
      </c>
      <c r="AL106" s="4" t="s">
        <v>47</v>
      </c>
      <c r="AM106" s="4" t="s">
        <v>47</v>
      </c>
      <c r="AN106" s="4" t="s">
        <v>47</v>
      </c>
      <c r="AO106" s="4" t="s">
        <v>1664</v>
      </c>
      <c r="AP106" s="4" t="s">
        <v>1665</v>
      </c>
      <c r="AQ106" s="4" t="s">
        <v>1666</v>
      </c>
      <c r="AR106" s="4" t="s">
        <v>1667</v>
      </c>
    </row>
    <row r="107" spans="1:44" x14ac:dyDescent="0.2">
      <c r="A107" s="4" t="s">
        <v>167</v>
      </c>
      <c r="B107" s="4" t="s">
        <v>179</v>
      </c>
      <c r="C107">
        <v>1</v>
      </c>
      <c r="D107">
        <v>0.8</v>
      </c>
      <c r="F107">
        <v>1</v>
      </c>
      <c r="G107">
        <v>1.3</v>
      </c>
      <c r="I107" s="4" t="s">
        <v>1389</v>
      </c>
      <c r="J107" s="4" t="s">
        <v>1181</v>
      </c>
      <c r="K107" s="4" t="s">
        <v>1506</v>
      </c>
      <c r="L107" s="4" t="s">
        <v>1507</v>
      </c>
      <c r="M107">
        <v>40727</v>
      </c>
      <c r="N107" s="4" t="s">
        <v>1277</v>
      </c>
      <c r="O107" s="4" t="s">
        <v>1668</v>
      </c>
      <c r="P107" s="4" t="s">
        <v>811</v>
      </c>
      <c r="Q107" s="9">
        <v>43272</v>
      </c>
      <c r="R107" s="4" t="s">
        <v>1046</v>
      </c>
      <c r="S107" s="4" t="s">
        <v>1525</v>
      </c>
      <c r="T107" s="4" t="s">
        <v>47</v>
      </c>
      <c r="U107" s="4" t="s">
        <v>89</v>
      </c>
      <c r="V107">
        <v>2018</v>
      </c>
      <c r="W107" s="4" t="s">
        <v>1669</v>
      </c>
      <c r="X107" s="4" t="s">
        <v>47</v>
      </c>
      <c r="Y107" s="4" t="s">
        <v>1670</v>
      </c>
      <c r="Z107" s="4" t="s">
        <v>47</v>
      </c>
      <c r="AA107" s="4" t="s">
        <v>47</v>
      </c>
      <c r="AB107" s="4" t="s">
        <v>47</v>
      </c>
      <c r="AC107" s="4" t="s">
        <v>47</v>
      </c>
      <c r="AD107" s="4" t="s">
        <v>1671</v>
      </c>
      <c r="AE107" s="4" t="s">
        <v>47</v>
      </c>
      <c r="AF107" s="4" t="s">
        <v>47</v>
      </c>
      <c r="AG107" s="4" t="s">
        <v>47</v>
      </c>
      <c r="AH107" s="4" t="s">
        <v>47</v>
      </c>
      <c r="AI107" s="4" t="s">
        <v>47</v>
      </c>
      <c r="AJ107" s="4" t="s">
        <v>47</v>
      </c>
      <c r="AK107" s="4" t="s">
        <v>47</v>
      </c>
      <c r="AL107" s="4" t="s">
        <v>47</v>
      </c>
      <c r="AM107" s="4" t="s">
        <v>47</v>
      </c>
      <c r="AN107" s="4" t="s">
        <v>47</v>
      </c>
      <c r="AO107" s="4" t="s">
        <v>1672</v>
      </c>
      <c r="AP107" s="4" t="s">
        <v>47</v>
      </c>
      <c r="AQ107" s="4" t="s">
        <v>1673</v>
      </c>
      <c r="AR107" s="4" t="s">
        <v>1674</v>
      </c>
    </row>
    <row r="108" spans="1:44" x14ac:dyDescent="0.2">
      <c r="A108" s="4" t="s">
        <v>87</v>
      </c>
      <c r="B108" s="4" t="s">
        <v>223</v>
      </c>
      <c r="C108">
        <v>1</v>
      </c>
      <c r="D108">
        <v>2</v>
      </c>
      <c r="F108">
        <v>0</v>
      </c>
      <c r="G108">
        <v>0.4</v>
      </c>
      <c r="I108" s="4" t="s">
        <v>589</v>
      </c>
      <c r="J108" s="4" t="s">
        <v>590</v>
      </c>
      <c r="K108" s="4" t="s">
        <v>1508</v>
      </c>
      <c r="L108" s="4" t="s">
        <v>1509</v>
      </c>
      <c r="M108">
        <v>32789</v>
      </c>
      <c r="N108" s="4" t="s">
        <v>1473</v>
      </c>
      <c r="O108" s="4" t="s">
        <v>1675</v>
      </c>
      <c r="P108" s="4" t="s">
        <v>811</v>
      </c>
      <c r="Q108" s="9">
        <v>43272</v>
      </c>
      <c r="R108" s="4" t="s">
        <v>652</v>
      </c>
      <c r="S108" s="4" t="s">
        <v>983</v>
      </c>
      <c r="T108" s="4" t="s">
        <v>47</v>
      </c>
      <c r="U108" s="4" t="s">
        <v>89</v>
      </c>
      <c r="V108">
        <v>2018</v>
      </c>
      <c r="W108" s="4" t="s">
        <v>1676</v>
      </c>
      <c r="X108" s="4" t="s">
        <v>47</v>
      </c>
      <c r="Y108" s="4" t="s">
        <v>1677</v>
      </c>
      <c r="Z108" s="4" t="s">
        <v>47</v>
      </c>
      <c r="AA108" s="4" t="s">
        <v>47</v>
      </c>
      <c r="AB108" s="4" t="s">
        <v>47</v>
      </c>
      <c r="AC108" s="4" t="s">
        <v>47</v>
      </c>
      <c r="AD108" s="4" t="s">
        <v>47</v>
      </c>
      <c r="AE108" s="4" t="s">
        <v>47</v>
      </c>
      <c r="AF108" s="4" t="s">
        <v>47</v>
      </c>
      <c r="AG108" s="4" t="s">
        <v>47</v>
      </c>
      <c r="AH108" s="4" t="s">
        <v>47</v>
      </c>
      <c r="AI108" s="4" t="s">
        <v>47</v>
      </c>
      <c r="AJ108" s="4" t="s">
        <v>47</v>
      </c>
      <c r="AK108" s="4" t="s">
        <v>47</v>
      </c>
      <c r="AL108" s="4" t="s">
        <v>47</v>
      </c>
      <c r="AM108" s="4" t="s">
        <v>47</v>
      </c>
      <c r="AN108" s="4" t="s">
        <v>47</v>
      </c>
      <c r="AO108" s="4" t="s">
        <v>1678</v>
      </c>
      <c r="AP108" s="4" t="s">
        <v>1679</v>
      </c>
      <c r="AQ108" s="4" t="s">
        <v>1680</v>
      </c>
      <c r="AR108" s="4" t="s">
        <v>1681</v>
      </c>
    </row>
    <row r="109" spans="1:44" x14ac:dyDescent="0.2">
      <c r="A109" s="4" t="s">
        <v>26</v>
      </c>
      <c r="B109" s="4" t="s">
        <v>90</v>
      </c>
      <c r="C109">
        <v>0</v>
      </c>
      <c r="D109">
        <v>1.3</v>
      </c>
      <c r="F109">
        <v>3</v>
      </c>
      <c r="G109">
        <v>1.9</v>
      </c>
      <c r="I109" s="4" t="s">
        <v>1404</v>
      </c>
      <c r="J109" s="4" t="s">
        <v>588</v>
      </c>
      <c r="K109" s="4" t="s">
        <v>610</v>
      </c>
      <c r="L109" s="4" t="s">
        <v>611</v>
      </c>
      <c r="M109">
        <v>43319</v>
      </c>
      <c r="N109" s="4" t="s">
        <v>1304</v>
      </c>
      <c r="O109" s="4" t="s">
        <v>1682</v>
      </c>
      <c r="P109" s="4" t="s">
        <v>811</v>
      </c>
      <c r="Q109" s="9">
        <v>43272</v>
      </c>
      <c r="R109" s="4" t="s">
        <v>973</v>
      </c>
      <c r="S109" s="4" t="s">
        <v>1568</v>
      </c>
      <c r="T109" s="4" t="s">
        <v>47</v>
      </c>
      <c r="U109" s="4" t="s">
        <v>89</v>
      </c>
      <c r="V109">
        <v>2018</v>
      </c>
      <c r="W109" s="4" t="s">
        <v>47</v>
      </c>
      <c r="X109" s="4" t="s">
        <v>1683</v>
      </c>
      <c r="Y109" s="4" t="s">
        <v>47</v>
      </c>
      <c r="Z109" s="4" t="s">
        <v>1684</v>
      </c>
      <c r="AA109" s="4" t="s">
        <v>47</v>
      </c>
      <c r="AB109" s="4" t="s">
        <v>47</v>
      </c>
      <c r="AC109" s="4" t="s">
        <v>47</v>
      </c>
      <c r="AD109" s="4" t="s">
        <v>47</v>
      </c>
      <c r="AE109" s="4" t="s">
        <v>47</v>
      </c>
      <c r="AF109" s="4" t="s">
        <v>47</v>
      </c>
      <c r="AG109" s="4" t="s">
        <v>47</v>
      </c>
      <c r="AH109" s="4" t="s">
        <v>47</v>
      </c>
      <c r="AI109" s="4" t="s">
        <v>47</v>
      </c>
      <c r="AJ109" s="4" t="s">
        <v>47</v>
      </c>
      <c r="AK109" s="4" t="s">
        <v>47</v>
      </c>
      <c r="AL109" s="4" t="s">
        <v>47</v>
      </c>
      <c r="AM109" s="4" t="s">
        <v>47</v>
      </c>
      <c r="AN109" s="4" t="s">
        <v>47</v>
      </c>
      <c r="AO109" s="4" t="s">
        <v>1685</v>
      </c>
      <c r="AP109" s="4" t="s">
        <v>1686</v>
      </c>
      <c r="AQ109" s="4" t="s">
        <v>1687</v>
      </c>
      <c r="AR109" s="4" t="s">
        <v>1688</v>
      </c>
    </row>
    <row r="110" spans="1:44" x14ac:dyDescent="0.2">
      <c r="A110" s="4" t="s">
        <v>141</v>
      </c>
      <c r="B110" s="4" t="s">
        <v>144</v>
      </c>
      <c r="C110">
        <v>1</v>
      </c>
      <c r="D110">
        <v>1.2</v>
      </c>
      <c r="F110">
        <v>0</v>
      </c>
      <c r="G110">
        <v>0.9</v>
      </c>
      <c r="I110" s="4" t="s">
        <v>647</v>
      </c>
      <c r="J110" s="4" t="s">
        <v>809</v>
      </c>
      <c r="K110" s="4" t="s">
        <v>918</v>
      </c>
      <c r="L110" s="4" t="s">
        <v>1689</v>
      </c>
      <c r="M110">
        <v>78011</v>
      </c>
      <c r="N110" s="4" t="s">
        <v>1234</v>
      </c>
      <c r="O110" s="4" t="s">
        <v>1690</v>
      </c>
      <c r="P110" s="4" t="s">
        <v>811</v>
      </c>
      <c r="Q110" s="9">
        <v>43271</v>
      </c>
      <c r="R110" s="4" t="s">
        <v>652</v>
      </c>
      <c r="S110" s="4" t="s">
        <v>1341</v>
      </c>
      <c r="T110" s="4" t="s">
        <v>47</v>
      </c>
      <c r="U110" s="4" t="s">
        <v>89</v>
      </c>
      <c r="V110">
        <v>2018</v>
      </c>
      <c r="W110" s="4" t="s">
        <v>1691</v>
      </c>
      <c r="X110" s="4" t="s">
        <v>47</v>
      </c>
      <c r="Y110" s="4" t="s">
        <v>1692</v>
      </c>
      <c r="Z110" s="4" t="s">
        <v>47</v>
      </c>
      <c r="AA110" s="4" t="s">
        <v>47</v>
      </c>
      <c r="AB110" s="4" t="s">
        <v>47</v>
      </c>
      <c r="AC110" s="4" t="s">
        <v>47</v>
      </c>
      <c r="AD110" s="4" t="s">
        <v>47</v>
      </c>
      <c r="AE110" s="4" t="s">
        <v>47</v>
      </c>
      <c r="AF110" s="4" t="s">
        <v>47</v>
      </c>
      <c r="AG110" s="4" t="s">
        <v>47</v>
      </c>
      <c r="AH110" s="4" t="s">
        <v>47</v>
      </c>
      <c r="AI110" s="4" t="s">
        <v>47</v>
      </c>
      <c r="AJ110" s="4" t="s">
        <v>47</v>
      </c>
      <c r="AK110" s="4" t="s">
        <v>47</v>
      </c>
      <c r="AL110" s="4" t="s">
        <v>47</v>
      </c>
      <c r="AM110" s="4" t="s">
        <v>47</v>
      </c>
      <c r="AN110" s="4" t="s">
        <v>47</v>
      </c>
      <c r="AO110" s="4" t="s">
        <v>1693</v>
      </c>
      <c r="AP110" s="4" t="s">
        <v>1694</v>
      </c>
      <c r="AQ110" s="4" t="s">
        <v>1695</v>
      </c>
      <c r="AR110" s="4" t="s">
        <v>1696</v>
      </c>
    </row>
    <row r="111" spans="1:44" x14ac:dyDescent="0.2">
      <c r="A111" s="4" t="s">
        <v>121</v>
      </c>
      <c r="B111" s="4" t="s">
        <v>240</v>
      </c>
      <c r="C111">
        <v>1</v>
      </c>
      <c r="D111">
        <v>1.7</v>
      </c>
      <c r="F111">
        <v>0</v>
      </c>
      <c r="G111">
        <v>0.3</v>
      </c>
      <c r="I111" s="4" t="s">
        <v>1303</v>
      </c>
      <c r="J111" s="4" t="s">
        <v>1009</v>
      </c>
      <c r="K111" s="4" t="s">
        <v>1543</v>
      </c>
      <c r="L111" s="4" t="s">
        <v>1544</v>
      </c>
      <c r="M111">
        <v>42678</v>
      </c>
      <c r="N111" s="4" t="s">
        <v>1366</v>
      </c>
      <c r="O111" s="4" t="s">
        <v>1697</v>
      </c>
      <c r="P111" s="4" t="s">
        <v>811</v>
      </c>
      <c r="Q111" s="9">
        <v>43271</v>
      </c>
      <c r="R111" s="4" t="s">
        <v>652</v>
      </c>
      <c r="S111" s="4" t="s">
        <v>758</v>
      </c>
      <c r="T111" s="4" t="s">
        <v>47</v>
      </c>
      <c r="U111" s="4" t="s">
        <v>89</v>
      </c>
      <c r="V111">
        <v>2018</v>
      </c>
      <c r="W111" s="4" t="s">
        <v>1698</v>
      </c>
      <c r="X111" s="4" t="s">
        <v>47</v>
      </c>
      <c r="Y111" s="4" t="s">
        <v>1699</v>
      </c>
      <c r="Z111" s="4" t="s">
        <v>47</v>
      </c>
      <c r="AA111" s="4" t="s">
        <v>47</v>
      </c>
      <c r="AB111" s="4" t="s">
        <v>47</v>
      </c>
      <c r="AC111" s="4" t="s">
        <v>47</v>
      </c>
      <c r="AD111" s="4" t="s">
        <v>47</v>
      </c>
      <c r="AE111" s="4" t="s">
        <v>47</v>
      </c>
      <c r="AF111" s="4" t="s">
        <v>47</v>
      </c>
      <c r="AG111" s="4" t="s">
        <v>47</v>
      </c>
      <c r="AH111" s="4" t="s">
        <v>47</v>
      </c>
      <c r="AI111" s="4" t="s">
        <v>47</v>
      </c>
      <c r="AJ111" s="4" t="s">
        <v>47</v>
      </c>
      <c r="AK111" s="4" t="s">
        <v>47</v>
      </c>
      <c r="AL111" s="4" t="s">
        <v>47</v>
      </c>
      <c r="AM111" s="4" t="s">
        <v>47</v>
      </c>
      <c r="AN111" s="4" t="s">
        <v>47</v>
      </c>
      <c r="AO111" s="4" t="s">
        <v>47</v>
      </c>
      <c r="AP111" s="4" t="s">
        <v>47</v>
      </c>
      <c r="AQ111" s="4" t="s">
        <v>1700</v>
      </c>
      <c r="AR111" s="4" t="s">
        <v>1701</v>
      </c>
    </row>
    <row r="112" spans="1:44" x14ac:dyDescent="0.2">
      <c r="A112" s="4" t="s">
        <v>165</v>
      </c>
      <c r="B112" s="4" t="s">
        <v>20</v>
      </c>
      <c r="C112">
        <v>0</v>
      </c>
      <c r="D112">
        <v>0.7</v>
      </c>
      <c r="F112">
        <v>1</v>
      </c>
      <c r="G112">
        <v>1.9</v>
      </c>
      <c r="I112" s="4" t="s">
        <v>960</v>
      </c>
      <c r="J112" s="4" t="s">
        <v>961</v>
      </c>
      <c r="K112" s="4" t="s">
        <v>1376</v>
      </c>
      <c r="L112" s="4" t="s">
        <v>1377</v>
      </c>
      <c r="M112">
        <v>42718</v>
      </c>
      <c r="N112" s="4" t="s">
        <v>1313</v>
      </c>
      <c r="O112" s="4" t="s">
        <v>1702</v>
      </c>
      <c r="P112" s="4" t="s">
        <v>811</v>
      </c>
      <c r="Q112" s="9">
        <v>43271</v>
      </c>
      <c r="R112" s="4" t="s">
        <v>963</v>
      </c>
      <c r="S112" s="4" t="s">
        <v>1268</v>
      </c>
      <c r="T112" s="4" t="s">
        <v>47</v>
      </c>
      <c r="U112" s="4" t="s">
        <v>89</v>
      </c>
      <c r="V112">
        <v>2018</v>
      </c>
      <c r="W112" s="4" t="s">
        <v>47</v>
      </c>
      <c r="X112" s="4" t="s">
        <v>1703</v>
      </c>
      <c r="Y112" s="4" t="s">
        <v>47</v>
      </c>
      <c r="Z112" s="4" t="s">
        <v>1704</v>
      </c>
      <c r="AA112" s="4" t="s">
        <v>47</v>
      </c>
      <c r="AB112" s="4" t="s">
        <v>47</v>
      </c>
      <c r="AC112" s="4" t="s">
        <v>47</v>
      </c>
      <c r="AD112" s="4" t="s">
        <v>47</v>
      </c>
      <c r="AE112" s="4" t="s">
        <v>47</v>
      </c>
      <c r="AF112" s="4" t="s">
        <v>47</v>
      </c>
      <c r="AG112" s="4" t="s">
        <v>47</v>
      </c>
      <c r="AH112" s="4" t="s">
        <v>47</v>
      </c>
      <c r="AI112" s="4" t="s">
        <v>47</v>
      </c>
      <c r="AJ112" s="4" t="s">
        <v>47</v>
      </c>
      <c r="AK112" s="4" t="s">
        <v>47</v>
      </c>
      <c r="AL112" s="4" t="s">
        <v>47</v>
      </c>
      <c r="AM112" s="4" t="s">
        <v>47</v>
      </c>
      <c r="AN112" s="4" t="s">
        <v>47</v>
      </c>
      <c r="AO112" s="4" t="s">
        <v>1705</v>
      </c>
      <c r="AP112" s="4" t="s">
        <v>47</v>
      </c>
      <c r="AQ112" s="4" t="s">
        <v>1706</v>
      </c>
      <c r="AR112" s="4" t="s">
        <v>1707</v>
      </c>
    </row>
    <row r="113" spans="1:44" x14ac:dyDescent="0.2">
      <c r="A113" s="4" t="s">
        <v>153</v>
      </c>
      <c r="B113" s="4" t="s">
        <v>161</v>
      </c>
      <c r="C113">
        <v>1</v>
      </c>
      <c r="D113">
        <v>1</v>
      </c>
      <c r="F113">
        <v>2</v>
      </c>
      <c r="G113">
        <v>2</v>
      </c>
      <c r="I113" s="4" t="s">
        <v>1336</v>
      </c>
      <c r="J113" s="4" t="s">
        <v>1337</v>
      </c>
      <c r="K113" s="4" t="s">
        <v>1364</v>
      </c>
      <c r="L113" s="4" t="s">
        <v>1365</v>
      </c>
      <c r="M113">
        <v>40842</v>
      </c>
      <c r="N113" s="4" t="s">
        <v>1454</v>
      </c>
      <c r="O113" s="4" t="s">
        <v>1708</v>
      </c>
      <c r="P113" s="4" t="s">
        <v>811</v>
      </c>
      <c r="Q113" s="9">
        <v>43270</v>
      </c>
      <c r="R113" s="4" t="s">
        <v>664</v>
      </c>
      <c r="S113" s="4" t="s">
        <v>1328</v>
      </c>
      <c r="T113" s="4" t="s">
        <v>47</v>
      </c>
      <c r="U113" s="4" t="s">
        <v>89</v>
      </c>
      <c r="V113">
        <v>2018</v>
      </c>
      <c r="W113" s="4" t="s">
        <v>1709</v>
      </c>
      <c r="X113" s="4" t="s">
        <v>1710</v>
      </c>
      <c r="Y113" s="4" t="s">
        <v>1711</v>
      </c>
      <c r="Z113" s="4" t="s">
        <v>1712</v>
      </c>
      <c r="AA113" s="4" t="s">
        <v>47</v>
      </c>
      <c r="AB113" s="4" t="s">
        <v>47</v>
      </c>
      <c r="AC113" s="4" t="s">
        <v>47</v>
      </c>
      <c r="AD113" s="4" t="s">
        <v>1713</v>
      </c>
      <c r="AE113" s="4" t="s">
        <v>47</v>
      </c>
      <c r="AF113" s="4" t="s">
        <v>47</v>
      </c>
      <c r="AG113" s="4" t="s">
        <v>47</v>
      </c>
      <c r="AH113" s="4" t="s">
        <v>47</v>
      </c>
      <c r="AI113" s="4" t="s">
        <v>47</v>
      </c>
      <c r="AJ113" s="4" t="s">
        <v>47</v>
      </c>
      <c r="AK113" s="4" t="s">
        <v>1714</v>
      </c>
      <c r="AL113" s="4" t="s">
        <v>47</v>
      </c>
      <c r="AM113" s="4" t="s">
        <v>47</v>
      </c>
      <c r="AN113" s="4" t="s">
        <v>47</v>
      </c>
      <c r="AO113" s="4" t="s">
        <v>1715</v>
      </c>
      <c r="AP113" s="4" t="s">
        <v>1716</v>
      </c>
      <c r="AQ113" s="4" t="s">
        <v>1717</v>
      </c>
      <c r="AR113" s="4" t="s">
        <v>1718</v>
      </c>
    </row>
    <row r="114" spans="1:44" x14ac:dyDescent="0.2">
      <c r="A114" s="4" t="s">
        <v>195</v>
      </c>
      <c r="B114" s="4" t="s">
        <v>157</v>
      </c>
      <c r="C114">
        <v>1</v>
      </c>
      <c r="D114">
        <v>0.8</v>
      </c>
      <c r="F114">
        <v>2</v>
      </c>
      <c r="G114">
        <v>1</v>
      </c>
      <c r="I114" s="4" t="s">
        <v>1425</v>
      </c>
      <c r="J114" s="4" t="s">
        <v>768</v>
      </c>
      <c r="K114" s="4" t="s">
        <v>779</v>
      </c>
      <c r="L114" s="4" t="s">
        <v>1597</v>
      </c>
      <c r="M114">
        <v>44190</v>
      </c>
      <c r="N114" s="4" t="s">
        <v>1338</v>
      </c>
      <c r="O114" s="4" t="s">
        <v>1719</v>
      </c>
      <c r="P114" s="4" t="s">
        <v>811</v>
      </c>
      <c r="Q114" s="9">
        <v>43270</v>
      </c>
      <c r="R114" s="4" t="s">
        <v>664</v>
      </c>
      <c r="S114" s="4" t="s">
        <v>1456</v>
      </c>
      <c r="T114" s="4" t="s">
        <v>47</v>
      </c>
      <c r="U114" s="4" t="s">
        <v>89</v>
      </c>
      <c r="V114">
        <v>2018</v>
      </c>
      <c r="W114" s="4" t="s">
        <v>1720</v>
      </c>
      <c r="X114" s="4" t="s">
        <v>1721</v>
      </c>
      <c r="Y114" s="4" t="s">
        <v>1722</v>
      </c>
      <c r="Z114" s="4" t="s">
        <v>1723</v>
      </c>
      <c r="AA114" s="4" t="s">
        <v>47</v>
      </c>
      <c r="AB114" s="4" t="s">
        <v>1724</v>
      </c>
      <c r="AC114" s="4" t="s">
        <v>47</v>
      </c>
      <c r="AD114" s="4" t="s">
        <v>47</v>
      </c>
      <c r="AE114" s="4" t="s">
        <v>47</v>
      </c>
      <c r="AF114" s="4" t="s">
        <v>47</v>
      </c>
      <c r="AG114" s="4" t="s">
        <v>47</v>
      </c>
      <c r="AH114" s="4" t="s">
        <v>47</v>
      </c>
      <c r="AI114" s="4" t="s">
        <v>47</v>
      </c>
      <c r="AJ114" s="4" t="s">
        <v>47</v>
      </c>
      <c r="AK114" s="4" t="s">
        <v>47</v>
      </c>
      <c r="AL114" s="4" t="s">
        <v>47</v>
      </c>
      <c r="AM114" s="4" t="s">
        <v>47</v>
      </c>
      <c r="AN114" s="4" t="s">
        <v>47</v>
      </c>
      <c r="AO114" s="4" t="s">
        <v>1725</v>
      </c>
      <c r="AP114" s="4" t="s">
        <v>1726</v>
      </c>
      <c r="AQ114" s="4" t="s">
        <v>1727</v>
      </c>
      <c r="AR114" s="4" t="s">
        <v>1728</v>
      </c>
    </row>
    <row r="115" spans="1:44" x14ac:dyDescent="0.2">
      <c r="A115" s="4" t="s">
        <v>89</v>
      </c>
      <c r="B115" s="4" t="s">
        <v>183</v>
      </c>
      <c r="C115">
        <v>3</v>
      </c>
      <c r="D115">
        <v>1.2</v>
      </c>
      <c r="F115">
        <v>1</v>
      </c>
      <c r="G115">
        <v>1.4</v>
      </c>
      <c r="I115" s="4" t="s">
        <v>1286</v>
      </c>
      <c r="J115" s="4" t="s">
        <v>1287</v>
      </c>
      <c r="K115" s="4" t="s">
        <v>1545</v>
      </c>
      <c r="L115" s="4" t="s">
        <v>1729</v>
      </c>
      <c r="M115">
        <v>64468</v>
      </c>
      <c r="N115" s="4" t="s">
        <v>1248</v>
      </c>
      <c r="O115" s="4" t="s">
        <v>1730</v>
      </c>
      <c r="P115" s="4" t="s">
        <v>811</v>
      </c>
      <c r="Q115" s="9">
        <v>43270</v>
      </c>
      <c r="R115" s="4" t="s">
        <v>770</v>
      </c>
      <c r="S115" s="4" t="s">
        <v>1577</v>
      </c>
      <c r="T115" s="4" t="s">
        <v>47</v>
      </c>
      <c r="U115" s="4" t="s">
        <v>89</v>
      </c>
      <c r="V115">
        <v>2018</v>
      </c>
      <c r="W115" s="4" t="s">
        <v>1731</v>
      </c>
      <c r="X115" s="4" t="s">
        <v>47</v>
      </c>
      <c r="Y115" s="4" t="s">
        <v>1732</v>
      </c>
      <c r="Z115" s="4" t="s">
        <v>47</v>
      </c>
      <c r="AA115" s="4" t="s">
        <v>1733</v>
      </c>
      <c r="AB115" s="4" t="s">
        <v>47</v>
      </c>
      <c r="AC115" s="4" t="s">
        <v>47</v>
      </c>
      <c r="AD115" s="4" t="s">
        <v>1734</v>
      </c>
      <c r="AE115" s="4" t="s">
        <v>47</v>
      </c>
      <c r="AF115" s="4" t="s">
        <v>47</v>
      </c>
      <c r="AG115" s="4" t="s">
        <v>47</v>
      </c>
      <c r="AH115" s="4" t="s">
        <v>47</v>
      </c>
      <c r="AI115" s="4" t="s">
        <v>47</v>
      </c>
      <c r="AJ115" s="4" t="s">
        <v>47</v>
      </c>
      <c r="AK115" s="4" t="s">
        <v>47</v>
      </c>
      <c r="AL115" s="4" t="s">
        <v>47</v>
      </c>
      <c r="AM115" s="4" t="s">
        <v>47</v>
      </c>
      <c r="AN115" s="4" t="s">
        <v>47</v>
      </c>
      <c r="AO115" s="4" t="s">
        <v>1735</v>
      </c>
      <c r="AP115" s="4" t="s">
        <v>1736</v>
      </c>
      <c r="AQ115" s="4" t="s">
        <v>1737</v>
      </c>
      <c r="AR115" s="4" t="s">
        <v>1738</v>
      </c>
    </row>
    <row r="116" spans="1:44" x14ac:dyDescent="0.2">
      <c r="A116" s="4" t="s">
        <v>116</v>
      </c>
      <c r="B116" s="4" t="s">
        <v>175</v>
      </c>
      <c r="C116">
        <v>1</v>
      </c>
      <c r="D116">
        <v>2.2999999999999998</v>
      </c>
      <c r="F116">
        <v>0</v>
      </c>
      <c r="G116">
        <v>0.3</v>
      </c>
      <c r="I116" s="4" t="s">
        <v>1275</v>
      </c>
      <c r="J116" s="4" t="s">
        <v>1472</v>
      </c>
      <c r="K116" s="4" t="s">
        <v>1464</v>
      </c>
      <c r="L116" s="4" t="s">
        <v>1739</v>
      </c>
      <c r="M116">
        <v>42300</v>
      </c>
      <c r="N116" s="4" t="s">
        <v>1304</v>
      </c>
      <c r="O116" s="4" t="s">
        <v>1740</v>
      </c>
      <c r="P116" s="4" t="s">
        <v>811</v>
      </c>
      <c r="Q116" s="9">
        <v>43269</v>
      </c>
      <c r="R116" s="4" t="s">
        <v>652</v>
      </c>
      <c r="S116" s="4" t="s">
        <v>1741</v>
      </c>
      <c r="T116" s="4" t="s">
        <v>47</v>
      </c>
      <c r="U116" s="4" t="s">
        <v>89</v>
      </c>
      <c r="V116">
        <v>2018</v>
      </c>
      <c r="W116" s="4" t="s">
        <v>47</v>
      </c>
      <c r="X116" s="4" t="s">
        <v>47</v>
      </c>
      <c r="Y116" s="4" t="s">
        <v>47</v>
      </c>
      <c r="Z116" s="4" t="s">
        <v>47</v>
      </c>
      <c r="AA116" s="4" t="s">
        <v>47</v>
      </c>
      <c r="AB116" s="4" t="s">
        <v>47</v>
      </c>
      <c r="AC116" s="4" t="s">
        <v>1742</v>
      </c>
      <c r="AD116" s="4" t="s">
        <v>47</v>
      </c>
      <c r="AE116" s="4" t="s">
        <v>47</v>
      </c>
      <c r="AF116" s="4" t="s">
        <v>47</v>
      </c>
      <c r="AG116" s="4" t="s">
        <v>47</v>
      </c>
      <c r="AH116" s="4" t="s">
        <v>47</v>
      </c>
      <c r="AI116" s="4" t="s">
        <v>47</v>
      </c>
      <c r="AJ116" s="4" t="s">
        <v>47</v>
      </c>
      <c r="AK116" s="4" t="s">
        <v>47</v>
      </c>
      <c r="AL116" s="4" t="s">
        <v>47</v>
      </c>
      <c r="AM116" s="4" t="s">
        <v>47</v>
      </c>
      <c r="AN116" s="4" t="s">
        <v>47</v>
      </c>
      <c r="AO116" s="4" t="s">
        <v>1743</v>
      </c>
      <c r="AP116" s="4" t="s">
        <v>1744</v>
      </c>
      <c r="AQ116" s="4" t="s">
        <v>1745</v>
      </c>
      <c r="AR116" s="4" t="s">
        <v>1746</v>
      </c>
    </row>
    <row r="117" spans="1:44" x14ac:dyDescent="0.2">
      <c r="A117" s="4" t="s">
        <v>148</v>
      </c>
      <c r="B117" s="4" t="s">
        <v>192</v>
      </c>
      <c r="C117">
        <v>3</v>
      </c>
      <c r="D117">
        <v>2</v>
      </c>
      <c r="F117">
        <v>0</v>
      </c>
      <c r="G117">
        <v>0.5</v>
      </c>
      <c r="I117" s="4" t="s">
        <v>866</v>
      </c>
      <c r="J117" s="4" t="s">
        <v>1026</v>
      </c>
      <c r="K117" s="4" t="s">
        <v>1450</v>
      </c>
      <c r="L117" s="4" t="s">
        <v>1451</v>
      </c>
      <c r="M117">
        <v>43257</v>
      </c>
      <c r="N117" s="4" t="s">
        <v>1288</v>
      </c>
      <c r="O117" s="4" t="s">
        <v>1747</v>
      </c>
      <c r="P117" s="4" t="s">
        <v>811</v>
      </c>
      <c r="Q117" s="9">
        <v>43269</v>
      </c>
      <c r="R117" s="4" t="s">
        <v>638</v>
      </c>
      <c r="S117" s="4" t="s">
        <v>1165</v>
      </c>
      <c r="T117" s="4" t="s">
        <v>47</v>
      </c>
      <c r="U117" s="4" t="s">
        <v>89</v>
      </c>
      <c r="V117">
        <v>2018</v>
      </c>
      <c r="W117" s="4" t="s">
        <v>1748</v>
      </c>
      <c r="X117" s="4" t="s">
        <v>47</v>
      </c>
      <c r="Y117" s="4" t="s">
        <v>1749</v>
      </c>
      <c r="Z117" s="4" t="s">
        <v>47</v>
      </c>
      <c r="AA117" s="4" t="s">
        <v>47</v>
      </c>
      <c r="AB117" s="4" t="s">
        <v>47</v>
      </c>
      <c r="AC117" s="4" t="s">
        <v>47</v>
      </c>
      <c r="AD117" s="4" t="s">
        <v>47</v>
      </c>
      <c r="AE117" s="4" t="s">
        <v>47</v>
      </c>
      <c r="AF117" s="4" t="s">
        <v>47</v>
      </c>
      <c r="AG117" s="4" t="s">
        <v>47</v>
      </c>
      <c r="AH117" s="4" t="s">
        <v>47</v>
      </c>
      <c r="AI117" s="4" t="s">
        <v>47</v>
      </c>
      <c r="AJ117" s="4" t="s">
        <v>47</v>
      </c>
      <c r="AK117" s="4" t="s">
        <v>47</v>
      </c>
      <c r="AL117" s="4" t="s">
        <v>47</v>
      </c>
      <c r="AM117" s="4" t="s">
        <v>47</v>
      </c>
      <c r="AN117" s="4" t="s">
        <v>47</v>
      </c>
      <c r="AO117" s="4" t="s">
        <v>1750</v>
      </c>
      <c r="AP117" s="4" t="s">
        <v>1751</v>
      </c>
      <c r="AQ117" s="4" t="s">
        <v>1752</v>
      </c>
      <c r="AR117" s="4" t="s">
        <v>1753</v>
      </c>
    </row>
    <row r="118" spans="1:44" x14ac:dyDescent="0.2">
      <c r="A118" s="4" t="s">
        <v>213</v>
      </c>
      <c r="B118" s="4" t="s">
        <v>52</v>
      </c>
      <c r="C118">
        <v>1</v>
      </c>
      <c r="D118">
        <v>1</v>
      </c>
      <c r="F118">
        <v>2</v>
      </c>
      <c r="G118">
        <v>2.8</v>
      </c>
      <c r="I118" s="4" t="s">
        <v>1452</v>
      </c>
      <c r="J118" s="4" t="s">
        <v>909</v>
      </c>
      <c r="K118" s="4" t="s">
        <v>661</v>
      </c>
      <c r="L118" s="4" t="s">
        <v>662</v>
      </c>
      <c r="M118">
        <v>41064</v>
      </c>
      <c r="N118" s="4" t="s">
        <v>1426</v>
      </c>
      <c r="O118" s="4" t="s">
        <v>1754</v>
      </c>
      <c r="P118" s="4" t="s">
        <v>811</v>
      </c>
      <c r="Q118" s="9">
        <v>43269</v>
      </c>
      <c r="R118" s="4" t="s">
        <v>664</v>
      </c>
      <c r="S118" s="4" t="s">
        <v>1548</v>
      </c>
      <c r="T118" s="4" t="s">
        <v>47</v>
      </c>
      <c r="U118" s="4" t="s">
        <v>89</v>
      </c>
      <c r="V118">
        <v>2018</v>
      </c>
      <c r="W118" s="4" t="s">
        <v>47</v>
      </c>
      <c r="X118" s="4" t="s">
        <v>1755</v>
      </c>
      <c r="Y118" s="4" t="s">
        <v>47</v>
      </c>
      <c r="Z118" s="4" t="s">
        <v>1756</v>
      </c>
      <c r="AA118" s="4" t="s">
        <v>47</v>
      </c>
      <c r="AB118" s="4" t="s">
        <v>47</v>
      </c>
      <c r="AC118" s="4" t="s">
        <v>1757</v>
      </c>
      <c r="AD118" s="4" t="s">
        <v>47</v>
      </c>
      <c r="AE118" s="4" t="s">
        <v>47</v>
      </c>
      <c r="AF118" s="4" t="s">
        <v>47</v>
      </c>
      <c r="AG118" s="4" t="s">
        <v>47</v>
      </c>
      <c r="AH118" s="4" t="s">
        <v>47</v>
      </c>
      <c r="AI118" s="4" t="s">
        <v>47</v>
      </c>
      <c r="AJ118" s="4" t="s">
        <v>47</v>
      </c>
      <c r="AK118" s="4" t="s">
        <v>47</v>
      </c>
      <c r="AL118" s="4" t="s">
        <v>47</v>
      </c>
      <c r="AM118" s="4" t="s">
        <v>47</v>
      </c>
      <c r="AN118" s="4" t="s">
        <v>47</v>
      </c>
      <c r="AO118" s="4" t="s">
        <v>47</v>
      </c>
      <c r="AP118" s="4" t="s">
        <v>1758</v>
      </c>
      <c r="AQ118" s="4" t="s">
        <v>1759</v>
      </c>
      <c r="AR118" s="4" t="s">
        <v>1760</v>
      </c>
    </row>
    <row r="119" spans="1:44" x14ac:dyDescent="0.2">
      <c r="A119" s="4" t="s">
        <v>225</v>
      </c>
      <c r="B119" s="4" t="s">
        <v>207</v>
      </c>
      <c r="C119">
        <v>0</v>
      </c>
      <c r="D119">
        <v>0.9</v>
      </c>
      <c r="F119">
        <v>1</v>
      </c>
      <c r="G119">
        <v>0.9</v>
      </c>
      <c r="I119" s="4" t="s">
        <v>1484</v>
      </c>
      <c r="J119" s="4" t="s">
        <v>1485</v>
      </c>
      <c r="K119" s="4" t="s">
        <v>1498</v>
      </c>
      <c r="L119" s="4" t="s">
        <v>1499</v>
      </c>
      <c r="M119">
        <v>41432</v>
      </c>
      <c r="N119" s="4" t="s">
        <v>1277</v>
      </c>
      <c r="O119" s="4" t="s">
        <v>1557</v>
      </c>
      <c r="P119" s="4" t="s">
        <v>811</v>
      </c>
      <c r="Q119" s="9">
        <v>43268</v>
      </c>
      <c r="R119" s="4" t="s">
        <v>963</v>
      </c>
      <c r="S119" s="4" t="s">
        <v>1368</v>
      </c>
      <c r="T119" s="4" t="s">
        <v>47</v>
      </c>
      <c r="U119" s="4" t="s">
        <v>89</v>
      </c>
      <c r="V119">
        <v>2018</v>
      </c>
      <c r="W119" s="4" t="s">
        <v>47</v>
      </c>
      <c r="X119" s="4" t="s">
        <v>1761</v>
      </c>
      <c r="Y119" s="4" t="s">
        <v>47</v>
      </c>
      <c r="Z119" s="4" t="s">
        <v>1762</v>
      </c>
      <c r="AA119" s="4" t="s">
        <v>47</v>
      </c>
      <c r="AB119" s="4" t="s">
        <v>47</v>
      </c>
      <c r="AC119" s="4" t="s">
        <v>47</v>
      </c>
      <c r="AD119" s="4" t="s">
        <v>47</v>
      </c>
      <c r="AE119" s="4" t="s">
        <v>47</v>
      </c>
      <c r="AF119" s="4" t="s">
        <v>47</v>
      </c>
      <c r="AG119" s="4" t="s">
        <v>47</v>
      </c>
      <c r="AH119" s="4" t="s">
        <v>47</v>
      </c>
      <c r="AI119" s="4" t="s">
        <v>47</v>
      </c>
      <c r="AJ119" s="4" t="s">
        <v>47</v>
      </c>
      <c r="AK119" s="4" t="s">
        <v>47</v>
      </c>
      <c r="AL119" s="4" t="s">
        <v>47</v>
      </c>
      <c r="AM119" s="4" t="s">
        <v>47</v>
      </c>
      <c r="AN119" s="4" t="s">
        <v>47</v>
      </c>
      <c r="AO119" s="4" t="s">
        <v>1763</v>
      </c>
      <c r="AP119" s="4" t="s">
        <v>1764</v>
      </c>
      <c r="AQ119" s="4" t="s">
        <v>1765</v>
      </c>
      <c r="AR119" s="4" t="s">
        <v>1766</v>
      </c>
    </row>
    <row r="120" spans="1:44" x14ac:dyDescent="0.2">
      <c r="A120" s="4" t="s">
        <v>92</v>
      </c>
      <c r="B120" s="4" t="s">
        <v>106</v>
      </c>
      <c r="C120">
        <v>0</v>
      </c>
      <c r="D120">
        <v>1.4</v>
      </c>
      <c r="F120">
        <v>1</v>
      </c>
      <c r="G120">
        <v>1.3</v>
      </c>
      <c r="I120" s="4" t="s">
        <v>1465</v>
      </c>
      <c r="J120" s="4" t="s">
        <v>877</v>
      </c>
      <c r="K120" s="4" t="s">
        <v>1354</v>
      </c>
      <c r="L120" s="4" t="s">
        <v>1080</v>
      </c>
      <c r="M120">
        <v>78011</v>
      </c>
      <c r="N120" s="4" t="s">
        <v>1234</v>
      </c>
      <c r="O120" s="4" t="s">
        <v>1767</v>
      </c>
      <c r="P120" s="4" t="s">
        <v>811</v>
      </c>
      <c r="Q120" s="9">
        <v>43268</v>
      </c>
      <c r="R120" s="4" t="s">
        <v>963</v>
      </c>
      <c r="S120" s="4" t="s">
        <v>1011</v>
      </c>
      <c r="T120" s="4" t="s">
        <v>47</v>
      </c>
      <c r="U120" s="4" t="s">
        <v>89</v>
      </c>
      <c r="V120">
        <v>2018</v>
      </c>
      <c r="W120" s="4" t="s">
        <v>47</v>
      </c>
      <c r="X120" s="4" t="s">
        <v>1768</v>
      </c>
      <c r="Y120" s="4" t="s">
        <v>47</v>
      </c>
      <c r="Z120" s="4" t="s">
        <v>1769</v>
      </c>
      <c r="AA120" s="4" t="s">
        <v>47</v>
      </c>
      <c r="AB120" s="4" t="s">
        <v>47</v>
      </c>
      <c r="AC120" s="4" t="s">
        <v>47</v>
      </c>
      <c r="AD120" s="4" t="s">
        <v>47</v>
      </c>
      <c r="AE120" s="4" t="s">
        <v>47</v>
      </c>
      <c r="AF120" s="4" t="s">
        <v>47</v>
      </c>
      <c r="AG120" s="4" t="s">
        <v>47</v>
      </c>
      <c r="AH120" s="4" t="s">
        <v>47</v>
      </c>
      <c r="AI120" s="4" t="s">
        <v>47</v>
      </c>
      <c r="AJ120" s="4" t="s">
        <v>47</v>
      </c>
      <c r="AK120" s="4" t="s">
        <v>47</v>
      </c>
      <c r="AL120" s="4" t="s">
        <v>47</v>
      </c>
      <c r="AM120" s="4" t="s">
        <v>47</v>
      </c>
      <c r="AN120" s="4" t="s">
        <v>47</v>
      </c>
      <c r="AO120" s="4" t="s">
        <v>1770</v>
      </c>
      <c r="AP120" s="4" t="s">
        <v>1771</v>
      </c>
      <c r="AQ120" s="4" t="s">
        <v>1772</v>
      </c>
      <c r="AR120" s="4" t="s">
        <v>1773</v>
      </c>
    </row>
    <row r="121" spans="1:44" x14ac:dyDescent="0.2">
      <c r="A121" s="4" t="s">
        <v>12</v>
      </c>
      <c r="B121" s="4" t="s">
        <v>118</v>
      </c>
      <c r="C121">
        <v>1</v>
      </c>
      <c r="D121">
        <v>2.2000000000000002</v>
      </c>
      <c r="F121">
        <v>1</v>
      </c>
      <c r="G121">
        <v>0.9</v>
      </c>
      <c r="I121" s="4" t="s">
        <v>674</v>
      </c>
      <c r="J121" s="4" t="s">
        <v>1774</v>
      </c>
      <c r="K121" s="4" t="s">
        <v>1325</v>
      </c>
      <c r="L121" s="4" t="s">
        <v>1483</v>
      </c>
      <c r="M121">
        <v>43109</v>
      </c>
      <c r="N121" s="4" t="s">
        <v>1366</v>
      </c>
      <c r="O121" s="4" t="s">
        <v>1775</v>
      </c>
      <c r="P121" s="4" t="s">
        <v>811</v>
      </c>
      <c r="Q121" s="9">
        <v>43268</v>
      </c>
      <c r="R121" s="4" t="s">
        <v>1046</v>
      </c>
      <c r="S121" s="4" t="s">
        <v>1776</v>
      </c>
      <c r="T121" s="4" t="s">
        <v>47</v>
      </c>
      <c r="U121" s="4" t="s">
        <v>89</v>
      </c>
      <c r="V121">
        <v>2018</v>
      </c>
      <c r="W121" s="4" t="s">
        <v>1777</v>
      </c>
      <c r="X121" s="4" t="s">
        <v>1778</v>
      </c>
      <c r="Y121" s="4" t="s">
        <v>1779</v>
      </c>
      <c r="Z121" s="4" t="s">
        <v>1780</v>
      </c>
      <c r="AA121" s="4" t="s">
        <v>47</v>
      </c>
      <c r="AB121" s="4" t="s">
        <v>47</v>
      </c>
      <c r="AC121" s="4" t="s">
        <v>47</v>
      </c>
      <c r="AD121" s="4" t="s">
        <v>47</v>
      </c>
      <c r="AE121" s="4" t="s">
        <v>47</v>
      </c>
      <c r="AF121" s="4" t="s">
        <v>47</v>
      </c>
      <c r="AG121" s="4" t="s">
        <v>47</v>
      </c>
      <c r="AH121" s="4" t="s">
        <v>47</v>
      </c>
      <c r="AI121" s="4" t="s">
        <v>47</v>
      </c>
      <c r="AJ121" s="4" t="s">
        <v>47</v>
      </c>
      <c r="AK121" s="4" t="s">
        <v>47</v>
      </c>
      <c r="AL121" s="4" t="s">
        <v>47</v>
      </c>
      <c r="AM121" s="4" t="s">
        <v>47</v>
      </c>
      <c r="AN121" s="4" t="s">
        <v>47</v>
      </c>
      <c r="AO121" s="4" t="s">
        <v>1781</v>
      </c>
      <c r="AP121" s="4" t="s">
        <v>1782</v>
      </c>
      <c r="AQ121" s="4" t="s">
        <v>1783</v>
      </c>
      <c r="AR121" s="4" t="s">
        <v>1784</v>
      </c>
    </row>
    <row r="122" spans="1:44" x14ac:dyDescent="0.2">
      <c r="A122" s="4" t="s">
        <v>87</v>
      </c>
      <c r="B122" s="4" t="s">
        <v>179</v>
      </c>
      <c r="C122">
        <v>2</v>
      </c>
      <c r="D122">
        <v>1.3</v>
      </c>
      <c r="F122">
        <v>1</v>
      </c>
      <c r="G122">
        <v>1</v>
      </c>
      <c r="I122" s="4" t="s">
        <v>589</v>
      </c>
      <c r="J122" s="4" t="s">
        <v>590</v>
      </c>
      <c r="K122" s="4" t="s">
        <v>1506</v>
      </c>
      <c r="L122" s="4" t="s">
        <v>1507</v>
      </c>
      <c r="M122">
        <v>41279</v>
      </c>
      <c r="N122" s="4" t="s">
        <v>1313</v>
      </c>
      <c r="O122" s="4" t="s">
        <v>1702</v>
      </c>
      <c r="P122" s="4" t="s">
        <v>811</v>
      </c>
      <c r="Q122" s="9">
        <v>43267</v>
      </c>
      <c r="R122" s="4" t="s">
        <v>617</v>
      </c>
      <c r="S122" s="4" t="s">
        <v>1268</v>
      </c>
      <c r="T122" s="4" t="s">
        <v>47</v>
      </c>
      <c r="U122" s="4" t="s">
        <v>89</v>
      </c>
      <c r="V122">
        <v>2018</v>
      </c>
      <c r="W122" s="4" t="s">
        <v>47</v>
      </c>
      <c r="X122" s="4" t="s">
        <v>47</v>
      </c>
      <c r="Y122" s="4" t="s">
        <v>47</v>
      </c>
      <c r="Z122" s="4" t="s">
        <v>47</v>
      </c>
      <c r="AA122" s="4" t="s">
        <v>1785</v>
      </c>
      <c r="AB122" s="4" t="s">
        <v>47</v>
      </c>
      <c r="AC122" s="4" t="s">
        <v>1786</v>
      </c>
      <c r="AD122" s="4" t="s">
        <v>1787</v>
      </c>
      <c r="AE122" s="4" t="s">
        <v>47</v>
      </c>
      <c r="AF122" s="4" t="s">
        <v>47</v>
      </c>
      <c r="AG122" s="4" t="s">
        <v>47</v>
      </c>
      <c r="AH122" s="4" t="s">
        <v>47</v>
      </c>
      <c r="AI122" s="4" t="s">
        <v>47</v>
      </c>
      <c r="AJ122" s="4" t="s">
        <v>47</v>
      </c>
      <c r="AK122" s="4" t="s">
        <v>47</v>
      </c>
      <c r="AL122" s="4" t="s">
        <v>47</v>
      </c>
      <c r="AM122" s="4" t="s">
        <v>47</v>
      </c>
      <c r="AN122" s="4" t="s">
        <v>47</v>
      </c>
      <c r="AO122" s="4" t="s">
        <v>1788</v>
      </c>
      <c r="AP122" s="4" t="s">
        <v>1789</v>
      </c>
      <c r="AQ122" s="4" t="s">
        <v>1790</v>
      </c>
      <c r="AR122" s="4" t="s">
        <v>1791</v>
      </c>
    </row>
    <row r="123" spans="1:44" x14ac:dyDescent="0.2">
      <c r="A123" s="4" t="s">
        <v>26</v>
      </c>
      <c r="B123" s="4" t="s">
        <v>266</v>
      </c>
      <c r="C123">
        <v>1</v>
      </c>
      <c r="D123">
        <v>1.9</v>
      </c>
      <c r="F123">
        <v>1</v>
      </c>
      <c r="G123">
        <v>1</v>
      </c>
      <c r="I123" s="4" t="s">
        <v>1404</v>
      </c>
      <c r="J123" s="4" t="s">
        <v>588</v>
      </c>
      <c r="K123" s="4" t="s">
        <v>1522</v>
      </c>
      <c r="L123" s="4" t="s">
        <v>1523</v>
      </c>
      <c r="M123">
        <v>44190</v>
      </c>
      <c r="N123" s="4" t="s">
        <v>1338</v>
      </c>
      <c r="O123" s="4" t="s">
        <v>1792</v>
      </c>
      <c r="P123" s="4" t="s">
        <v>811</v>
      </c>
      <c r="Q123" s="9">
        <v>43267</v>
      </c>
      <c r="R123" s="4" t="s">
        <v>1046</v>
      </c>
      <c r="S123" s="4" t="s">
        <v>595</v>
      </c>
      <c r="T123" s="4" t="s">
        <v>47</v>
      </c>
      <c r="U123" s="4" t="s">
        <v>89</v>
      </c>
      <c r="V123">
        <v>2018</v>
      </c>
      <c r="W123" s="4" t="s">
        <v>1793</v>
      </c>
      <c r="X123" s="4" t="s">
        <v>1794</v>
      </c>
      <c r="Y123" s="4" t="s">
        <v>1795</v>
      </c>
      <c r="Z123" s="4" t="s">
        <v>1796</v>
      </c>
      <c r="AA123" s="4" t="s">
        <v>47</v>
      </c>
      <c r="AB123" s="4" t="s">
        <v>47</v>
      </c>
      <c r="AC123" s="4" t="s">
        <v>47</v>
      </c>
      <c r="AD123" s="4" t="s">
        <v>47</v>
      </c>
      <c r="AE123" s="4" t="s">
        <v>1797</v>
      </c>
      <c r="AF123" s="4" t="s">
        <v>47</v>
      </c>
      <c r="AG123" s="4" t="s">
        <v>47</v>
      </c>
      <c r="AH123" s="4" t="s">
        <v>47</v>
      </c>
      <c r="AI123" s="4" t="s">
        <v>47</v>
      </c>
      <c r="AJ123" s="4" t="s">
        <v>47</v>
      </c>
      <c r="AK123" s="4" t="s">
        <v>47</v>
      </c>
      <c r="AL123" s="4" t="s">
        <v>47</v>
      </c>
      <c r="AM123" s="4" t="s">
        <v>47</v>
      </c>
      <c r="AN123" s="4" t="s">
        <v>47</v>
      </c>
      <c r="AO123" s="4" t="s">
        <v>47</v>
      </c>
      <c r="AP123" s="4" t="s">
        <v>47</v>
      </c>
      <c r="AQ123" s="4" t="s">
        <v>1798</v>
      </c>
      <c r="AR123" s="4" t="s">
        <v>1799</v>
      </c>
    </row>
    <row r="124" spans="1:44" x14ac:dyDescent="0.2">
      <c r="A124" s="4" t="s">
        <v>223</v>
      </c>
      <c r="B124" s="4" t="s">
        <v>167</v>
      </c>
      <c r="C124">
        <v>0</v>
      </c>
      <c r="D124">
        <v>1.7</v>
      </c>
      <c r="F124">
        <v>1</v>
      </c>
      <c r="G124">
        <v>1</v>
      </c>
      <c r="I124" s="4" t="s">
        <v>1508</v>
      </c>
      <c r="J124" s="4" t="s">
        <v>1800</v>
      </c>
      <c r="K124" s="4" t="s">
        <v>1389</v>
      </c>
      <c r="L124" s="4" t="s">
        <v>1181</v>
      </c>
      <c r="M124">
        <v>40502</v>
      </c>
      <c r="N124" s="4" t="s">
        <v>1454</v>
      </c>
      <c r="O124" s="4" t="s">
        <v>1801</v>
      </c>
      <c r="P124" s="4" t="s">
        <v>811</v>
      </c>
      <c r="Q124" s="9">
        <v>43267</v>
      </c>
      <c r="R124" s="4" t="s">
        <v>963</v>
      </c>
      <c r="S124" s="4" t="s">
        <v>954</v>
      </c>
      <c r="T124" s="4" t="s">
        <v>47</v>
      </c>
      <c r="U124" s="4" t="s">
        <v>89</v>
      </c>
      <c r="V124">
        <v>2018</v>
      </c>
      <c r="W124" s="4" t="s">
        <v>47</v>
      </c>
      <c r="X124" s="4" t="s">
        <v>1802</v>
      </c>
      <c r="Y124" s="4" t="s">
        <v>47</v>
      </c>
      <c r="Z124" s="4" t="s">
        <v>1803</v>
      </c>
      <c r="AA124" s="4" t="s">
        <v>47</v>
      </c>
      <c r="AB124" s="4" t="s">
        <v>47</v>
      </c>
      <c r="AC124" s="4" t="s">
        <v>47</v>
      </c>
      <c r="AD124" s="4" t="s">
        <v>47</v>
      </c>
      <c r="AE124" s="4" t="s">
        <v>1804</v>
      </c>
      <c r="AF124" s="4" t="s">
        <v>47</v>
      </c>
      <c r="AG124" s="4" t="s">
        <v>47</v>
      </c>
      <c r="AH124" s="4" t="s">
        <v>47</v>
      </c>
      <c r="AI124" s="4" t="s">
        <v>47</v>
      </c>
      <c r="AJ124" s="4" t="s">
        <v>47</v>
      </c>
      <c r="AK124" s="4" t="s">
        <v>47</v>
      </c>
      <c r="AL124" s="4" t="s">
        <v>47</v>
      </c>
      <c r="AM124" s="4" t="s">
        <v>47</v>
      </c>
      <c r="AN124" s="4" t="s">
        <v>47</v>
      </c>
      <c r="AO124" s="4" t="s">
        <v>1805</v>
      </c>
      <c r="AP124" s="4" t="s">
        <v>1806</v>
      </c>
      <c r="AQ124" s="4" t="s">
        <v>1807</v>
      </c>
      <c r="AR124" s="4" t="s">
        <v>1808</v>
      </c>
    </row>
    <row r="125" spans="1:44" x14ac:dyDescent="0.2">
      <c r="A125" s="4" t="s">
        <v>90</v>
      </c>
      <c r="B125" s="4" t="s">
        <v>177</v>
      </c>
      <c r="C125">
        <v>2</v>
      </c>
      <c r="D125">
        <v>1.5</v>
      </c>
      <c r="F125">
        <v>0</v>
      </c>
      <c r="G125">
        <v>0.7</v>
      </c>
      <c r="I125" s="4" t="s">
        <v>610</v>
      </c>
      <c r="J125" s="4" t="s">
        <v>611</v>
      </c>
      <c r="K125" s="4" t="s">
        <v>1533</v>
      </c>
      <c r="L125" s="4" t="s">
        <v>1534</v>
      </c>
      <c r="M125">
        <v>31136</v>
      </c>
      <c r="N125" s="4" t="s">
        <v>1443</v>
      </c>
      <c r="O125" s="4" t="s">
        <v>1809</v>
      </c>
      <c r="P125" s="4" t="s">
        <v>811</v>
      </c>
      <c r="Q125" s="9">
        <v>43267</v>
      </c>
      <c r="R125" s="4" t="s">
        <v>630</v>
      </c>
      <c r="S125" s="4" t="s">
        <v>1290</v>
      </c>
      <c r="T125" s="4" t="s">
        <v>47</v>
      </c>
      <c r="U125" s="4" t="s">
        <v>89</v>
      </c>
      <c r="V125">
        <v>2018</v>
      </c>
      <c r="W125" s="4" t="s">
        <v>47</v>
      </c>
      <c r="X125" s="4" t="s">
        <v>47</v>
      </c>
      <c r="Y125" s="4" t="s">
        <v>47</v>
      </c>
      <c r="Z125" s="4" t="s">
        <v>47</v>
      </c>
      <c r="AA125" s="4" t="s">
        <v>1810</v>
      </c>
      <c r="AB125" s="4" t="s">
        <v>47</v>
      </c>
      <c r="AC125" s="4" t="s">
        <v>1811</v>
      </c>
      <c r="AD125" s="4" t="s">
        <v>47</v>
      </c>
      <c r="AE125" s="4" t="s">
        <v>47</v>
      </c>
      <c r="AF125" s="4" t="s">
        <v>47</v>
      </c>
      <c r="AG125" s="4" t="s">
        <v>47</v>
      </c>
      <c r="AH125" s="4" t="s">
        <v>47</v>
      </c>
      <c r="AI125" s="4" t="s">
        <v>47</v>
      </c>
      <c r="AJ125" s="4" t="s">
        <v>47</v>
      </c>
      <c r="AK125" s="4" t="s">
        <v>47</v>
      </c>
      <c r="AL125" s="4" t="s">
        <v>47</v>
      </c>
      <c r="AM125" s="4" t="s">
        <v>47</v>
      </c>
      <c r="AN125" s="4" t="s">
        <v>47</v>
      </c>
      <c r="AO125" s="4" t="s">
        <v>1812</v>
      </c>
      <c r="AP125" s="4" t="s">
        <v>1813</v>
      </c>
      <c r="AQ125" s="4" t="s">
        <v>1814</v>
      </c>
      <c r="AR125" s="4" t="s">
        <v>1815</v>
      </c>
    </row>
    <row r="126" spans="1:44" x14ac:dyDescent="0.2">
      <c r="A126" s="4" t="s">
        <v>183</v>
      </c>
      <c r="B126" s="4" t="s">
        <v>121</v>
      </c>
      <c r="C126">
        <v>0</v>
      </c>
      <c r="D126">
        <v>0.3</v>
      </c>
      <c r="F126">
        <v>1</v>
      </c>
      <c r="G126">
        <v>1.6</v>
      </c>
      <c r="I126" s="4" t="s">
        <v>1545</v>
      </c>
      <c r="J126" s="4" t="s">
        <v>1729</v>
      </c>
      <c r="K126" s="4" t="s">
        <v>1303</v>
      </c>
      <c r="L126" s="4" t="s">
        <v>1009</v>
      </c>
      <c r="M126">
        <v>27015</v>
      </c>
      <c r="N126" s="4" t="s">
        <v>1473</v>
      </c>
      <c r="O126" s="4" t="s">
        <v>1816</v>
      </c>
      <c r="P126" s="4" t="s">
        <v>811</v>
      </c>
      <c r="Q126" s="9">
        <v>43266</v>
      </c>
      <c r="R126" s="4" t="s">
        <v>963</v>
      </c>
      <c r="S126" s="4" t="s">
        <v>1279</v>
      </c>
      <c r="T126" s="4" t="s">
        <v>47</v>
      </c>
      <c r="U126" s="4" t="s">
        <v>89</v>
      </c>
      <c r="V126">
        <v>2018</v>
      </c>
      <c r="W126" s="4" t="s">
        <v>47</v>
      </c>
      <c r="X126" s="4" t="s">
        <v>1817</v>
      </c>
      <c r="Y126" s="4" t="s">
        <v>47</v>
      </c>
      <c r="Z126" s="4" t="s">
        <v>1818</v>
      </c>
      <c r="AA126" s="4" t="s">
        <v>47</v>
      </c>
      <c r="AB126" s="4" t="s">
        <v>47</v>
      </c>
      <c r="AC126" s="4" t="s">
        <v>47</v>
      </c>
      <c r="AD126" s="4" t="s">
        <v>47</v>
      </c>
      <c r="AE126" s="4" t="s">
        <v>47</v>
      </c>
      <c r="AF126" s="4" t="s">
        <v>47</v>
      </c>
      <c r="AG126" s="4" t="s">
        <v>47</v>
      </c>
      <c r="AH126" s="4" t="s">
        <v>47</v>
      </c>
      <c r="AI126" s="4" t="s">
        <v>47</v>
      </c>
      <c r="AJ126" s="4" t="s">
        <v>47</v>
      </c>
      <c r="AK126" s="4" t="s">
        <v>47</v>
      </c>
      <c r="AL126" s="4" t="s">
        <v>47</v>
      </c>
      <c r="AM126" s="4" t="s">
        <v>47</v>
      </c>
      <c r="AN126" s="4" t="s">
        <v>47</v>
      </c>
      <c r="AO126" s="4" t="s">
        <v>1819</v>
      </c>
      <c r="AP126" s="4" t="s">
        <v>47</v>
      </c>
      <c r="AQ126" s="4" t="s">
        <v>1820</v>
      </c>
      <c r="AR126" s="4" t="s">
        <v>1821</v>
      </c>
    </row>
    <row r="127" spans="1:44" x14ac:dyDescent="0.2">
      <c r="A127" s="4" t="s">
        <v>144</v>
      </c>
      <c r="B127" s="4" t="s">
        <v>165</v>
      </c>
      <c r="C127">
        <v>0</v>
      </c>
      <c r="D127">
        <v>0.7</v>
      </c>
      <c r="F127">
        <v>1</v>
      </c>
      <c r="G127">
        <v>1</v>
      </c>
      <c r="I127" s="4" t="s">
        <v>918</v>
      </c>
      <c r="J127" s="4" t="s">
        <v>1689</v>
      </c>
      <c r="K127" s="4" t="s">
        <v>960</v>
      </c>
      <c r="L127" s="4" t="s">
        <v>1822</v>
      </c>
      <c r="M127">
        <v>62548</v>
      </c>
      <c r="N127" s="4" t="s">
        <v>1248</v>
      </c>
      <c r="O127" s="4" t="s">
        <v>1823</v>
      </c>
      <c r="P127" s="4" t="s">
        <v>811</v>
      </c>
      <c r="Q127" s="9">
        <v>43266</v>
      </c>
      <c r="R127" s="4" t="s">
        <v>963</v>
      </c>
      <c r="S127" s="4" t="s">
        <v>1257</v>
      </c>
      <c r="T127" s="4" t="s">
        <v>47</v>
      </c>
      <c r="U127" s="4" t="s">
        <v>89</v>
      </c>
      <c r="V127">
        <v>2018</v>
      </c>
      <c r="W127" s="4" t="s">
        <v>47</v>
      </c>
      <c r="X127" s="4" t="s">
        <v>47</v>
      </c>
      <c r="Y127" s="4" t="s">
        <v>47</v>
      </c>
      <c r="Z127" s="4" t="s">
        <v>47</v>
      </c>
      <c r="AA127" s="4" t="s">
        <v>47</v>
      </c>
      <c r="AB127" s="4" t="s">
        <v>1824</v>
      </c>
      <c r="AC127" s="4" t="s">
        <v>47</v>
      </c>
      <c r="AD127" s="4" t="s">
        <v>47</v>
      </c>
      <c r="AE127" s="4" t="s">
        <v>47</v>
      </c>
      <c r="AF127" s="4" t="s">
        <v>47</v>
      </c>
      <c r="AG127" s="4" t="s">
        <v>47</v>
      </c>
      <c r="AH127" s="4" t="s">
        <v>47</v>
      </c>
      <c r="AI127" s="4" t="s">
        <v>47</v>
      </c>
      <c r="AJ127" s="4" t="s">
        <v>47</v>
      </c>
      <c r="AK127" s="4" t="s">
        <v>47</v>
      </c>
      <c r="AL127" s="4" t="s">
        <v>47</v>
      </c>
      <c r="AM127" s="4" t="s">
        <v>47</v>
      </c>
      <c r="AN127" s="4" t="s">
        <v>47</v>
      </c>
      <c r="AO127" s="4" t="s">
        <v>1825</v>
      </c>
      <c r="AP127" s="4" t="s">
        <v>1826</v>
      </c>
      <c r="AQ127" s="4" t="s">
        <v>1827</v>
      </c>
      <c r="AR127" s="4" t="s">
        <v>1828</v>
      </c>
    </row>
    <row r="128" spans="1:44" x14ac:dyDescent="0.2">
      <c r="A128" s="4" t="s">
        <v>141</v>
      </c>
      <c r="B128" s="4" t="s">
        <v>20</v>
      </c>
      <c r="C128">
        <v>3</v>
      </c>
      <c r="D128">
        <v>1.2</v>
      </c>
      <c r="F128">
        <v>3</v>
      </c>
      <c r="G128">
        <v>1.6</v>
      </c>
      <c r="I128" s="4" t="s">
        <v>647</v>
      </c>
      <c r="J128" s="4" t="s">
        <v>809</v>
      </c>
      <c r="K128" s="4" t="s">
        <v>1376</v>
      </c>
      <c r="L128" s="4" t="s">
        <v>1377</v>
      </c>
      <c r="M128">
        <v>43866</v>
      </c>
      <c r="N128" s="4" t="s">
        <v>1288</v>
      </c>
      <c r="O128" s="4" t="s">
        <v>1829</v>
      </c>
      <c r="P128" s="4" t="s">
        <v>811</v>
      </c>
      <c r="Q128" s="9">
        <v>43266</v>
      </c>
      <c r="R128" s="4" t="s">
        <v>982</v>
      </c>
      <c r="S128" s="4" t="s">
        <v>1357</v>
      </c>
      <c r="T128" s="4" t="s">
        <v>47</v>
      </c>
      <c r="U128" s="4" t="s">
        <v>89</v>
      </c>
      <c r="V128">
        <v>2018</v>
      </c>
      <c r="W128" s="4" t="s">
        <v>1830</v>
      </c>
      <c r="X128" s="4" t="s">
        <v>1831</v>
      </c>
      <c r="Y128" s="4" t="s">
        <v>1832</v>
      </c>
      <c r="Z128" s="4" t="s">
        <v>1833</v>
      </c>
      <c r="AA128" s="4" t="s">
        <v>47</v>
      </c>
      <c r="AB128" s="4" t="s">
        <v>47</v>
      </c>
      <c r="AC128" s="4" t="s">
        <v>1834</v>
      </c>
      <c r="AD128" s="4" t="s">
        <v>47</v>
      </c>
      <c r="AE128" s="4" t="s">
        <v>47</v>
      </c>
      <c r="AF128" s="4" t="s">
        <v>47</v>
      </c>
      <c r="AG128" s="4" t="s">
        <v>47</v>
      </c>
      <c r="AH128" s="4" t="s">
        <v>47</v>
      </c>
      <c r="AI128" s="4" t="s">
        <v>47</v>
      </c>
      <c r="AJ128" s="4" t="s">
        <v>47</v>
      </c>
      <c r="AK128" s="4" t="s">
        <v>47</v>
      </c>
      <c r="AL128" s="4" t="s">
        <v>47</v>
      </c>
      <c r="AM128" s="4" t="s">
        <v>47</v>
      </c>
      <c r="AN128" s="4" t="s">
        <v>47</v>
      </c>
      <c r="AO128" s="4" t="s">
        <v>1835</v>
      </c>
      <c r="AP128" s="4" t="s">
        <v>1836</v>
      </c>
      <c r="AQ128" s="4" t="s">
        <v>1837</v>
      </c>
      <c r="AR128" s="4" t="s">
        <v>1838</v>
      </c>
    </row>
    <row r="129" spans="1:44" x14ac:dyDescent="0.2">
      <c r="A129" s="4" t="s">
        <v>89</v>
      </c>
      <c r="B129" s="4" t="s">
        <v>240</v>
      </c>
      <c r="C129">
        <v>5</v>
      </c>
      <c r="D129">
        <v>1.7</v>
      </c>
      <c r="F129">
        <v>0</v>
      </c>
      <c r="G129">
        <v>0.2</v>
      </c>
      <c r="I129" s="4" t="s">
        <v>1286</v>
      </c>
      <c r="J129" s="4" t="s">
        <v>1287</v>
      </c>
      <c r="K129" s="4" t="s">
        <v>1543</v>
      </c>
      <c r="L129" s="4" t="s">
        <v>1544</v>
      </c>
      <c r="M129">
        <v>78011</v>
      </c>
      <c r="N129" s="4" t="s">
        <v>1234</v>
      </c>
      <c r="O129" s="4" t="s">
        <v>1839</v>
      </c>
      <c r="P129" s="4" t="s">
        <v>811</v>
      </c>
      <c r="Q129" s="9">
        <v>43265</v>
      </c>
      <c r="R129" s="4" t="s">
        <v>1840</v>
      </c>
      <c r="S129" s="4" t="s">
        <v>1237</v>
      </c>
      <c r="T129" s="4" t="s">
        <v>47</v>
      </c>
      <c r="U129" s="4" t="s">
        <v>89</v>
      </c>
      <c r="V129">
        <v>2018</v>
      </c>
      <c r="W129" s="4" t="s">
        <v>1841</v>
      </c>
      <c r="X129" s="4" t="s">
        <v>47</v>
      </c>
      <c r="Y129" s="4" t="s">
        <v>1842</v>
      </c>
      <c r="Z129" s="4" t="s">
        <v>47</v>
      </c>
      <c r="AA129" s="4" t="s">
        <v>47</v>
      </c>
      <c r="AB129" s="4" t="s">
        <v>47</v>
      </c>
      <c r="AC129" s="4" t="s">
        <v>47</v>
      </c>
      <c r="AD129" s="4" t="s">
        <v>47</v>
      </c>
      <c r="AE129" s="4" t="s">
        <v>47</v>
      </c>
      <c r="AF129" s="4" t="s">
        <v>47</v>
      </c>
      <c r="AG129" s="4" t="s">
        <v>47</v>
      </c>
      <c r="AH129" s="4" t="s">
        <v>47</v>
      </c>
      <c r="AI129" s="4" t="s">
        <v>47</v>
      </c>
      <c r="AJ129" s="4" t="s">
        <v>47</v>
      </c>
      <c r="AK129" s="4" t="s">
        <v>47</v>
      </c>
      <c r="AL129" s="4" t="s">
        <v>47</v>
      </c>
      <c r="AM129" s="4" t="s">
        <v>47</v>
      </c>
      <c r="AN129" s="4" t="s">
        <v>47</v>
      </c>
      <c r="AO129" s="4" t="s">
        <v>1843</v>
      </c>
      <c r="AP129" s="4" t="s">
        <v>1844</v>
      </c>
      <c r="AQ129" s="4" t="s">
        <v>1845</v>
      </c>
      <c r="AR129" s="4" t="s">
        <v>1846</v>
      </c>
    </row>
    <row r="130" spans="1:44" x14ac:dyDescent="0.2">
      <c r="A130" s="4" t="s">
        <v>92</v>
      </c>
      <c r="B130" s="4" t="s">
        <v>26</v>
      </c>
      <c r="C130">
        <v>1</v>
      </c>
      <c r="F130">
        <v>0</v>
      </c>
      <c r="I130" s="4" t="s">
        <v>1465</v>
      </c>
      <c r="J130" s="4" t="s">
        <v>47</v>
      </c>
      <c r="K130" s="4" t="s">
        <v>1847</v>
      </c>
      <c r="L130" s="4" t="s">
        <v>47</v>
      </c>
      <c r="M130">
        <v>74738</v>
      </c>
      <c r="N130" s="4" t="s">
        <v>1848</v>
      </c>
      <c r="O130" s="4" t="s">
        <v>1849</v>
      </c>
      <c r="P130" s="4" t="s">
        <v>593</v>
      </c>
      <c r="Q130" s="9">
        <v>41833</v>
      </c>
      <c r="R130" s="4" t="s">
        <v>652</v>
      </c>
      <c r="S130" s="4" t="s">
        <v>1850</v>
      </c>
      <c r="T130" s="4" t="s">
        <v>1258</v>
      </c>
      <c r="U130" s="4" t="s">
        <v>12</v>
      </c>
      <c r="V130">
        <v>2014</v>
      </c>
      <c r="W130" s="4" t="s">
        <v>1851</v>
      </c>
      <c r="X130" s="4" t="s">
        <v>47</v>
      </c>
      <c r="Y130" s="4" t="s">
        <v>1852</v>
      </c>
      <c r="Z130" s="4" t="s">
        <v>47</v>
      </c>
      <c r="AA130" s="4" t="s">
        <v>47</v>
      </c>
      <c r="AB130" s="4" t="s">
        <v>47</v>
      </c>
      <c r="AC130" s="4" t="s">
        <v>47</v>
      </c>
      <c r="AD130" s="4" t="s">
        <v>47</v>
      </c>
      <c r="AE130" s="4" t="s">
        <v>47</v>
      </c>
      <c r="AF130" s="4" t="s">
        <v>47</v>
      </c>
      <c r="AG130" s="4" t="s">
        <v>47</v>
      </c>
      <c r="AH130" s="4" t="s">
        <v>47</v>
      </c>
      <c r="AI130" s="4" t="s">
        <v>47</v>
      </c>
      <c r="AJ130" s="4" t="s">
        <v>47</v>
      </c>
      <c r="AK130" s="4" t="s">
        <v>47</v>
      </c>
      <c r="AL130" s="4" t="s">
        <v>47</v>
      </c>
      <c r="AM130" s="4" t="s">
        <v>47</v>
      </c>
      <c r="AN130" s="4" t="s">
        <v>47</v>
      </c>
      <c r="AO130" s="4" t="s">
        <v>1853</v>
      </c>
      <c r="AP130" s="4" t="s">
        <v>1854</v>
      </c>
      <c r="AQ130" s="4" t="s">
        <v>1855</v>
      </c>
      <c r="AR130" s="4" t="s">
        <v>1856</v>
      </c>
    </row>
    <row r="131" spans="1:44" x14ac:dyDescent="0.2">
      <c r="A131" s="4" t="s">
        <v>12</v>
      </c>
      <c r="B131" s="4" t="s">
        <v>95</v>
      </c>
      <c r="C131">
        <v>0</v>
      </c>
      <c r="F131">
        <v>3</v>
      </c>
      <c r="I131" s="4" t="s">
        <v>1857</v>
      </c>
      <c r="J131" s="4" t="s">
        <v>47</v>
      </c>
      <c r="K131" s="4" t="s">
        <v>692</v>
      </c>
      <c r="L131" s="4" t="s">
        <v>47</v>
      </c>
      <c r="M131">
        <v>68034</v>
      </c>
      <c r="N131" s="4" t="s">
        <v>1858</v>
      </c>
      <c r="O131" s="4" t="s">
        <v>1859</v>
      </c>
      <c r="P131" s="4" t="s">
        <v>616</v>
      </c>
      <c r="Q131" s="9">
        <v>41832</v>
      </c>
      <c r="R131" s="4" t="s">
        <v>973</v>
      </c>
      <c r="S131" s="4" t="s">
        <v>1860</v>
      </c>
      <c r="T131" s="4" t="s">
        <v>47</v>
      </c>
      <c r="U131" s="4" t="s">
        <v>12</v>
      </c>
      <c r="V131">
        <v>2014</v>
      </c>
      <c r="W131" s="4" t="s">
        <v>47</v>
      </c>
      <c r="X131" s="4" t="s">
        <v>1861</v>
      </c>
      <c r="Y131" s="4" t="s">
        <v>47</v>
      </c>
      <c r="Z131" s="4" t="s">
        <v>1862</v>
      </c>
      <c r="AA131" s="4" t="s">
        <v>47</v>
      </c>
      <c r="AB131" s="4" t="s">
        <v>47</v>
      </c>
      <c r="AC131" s="4" t="s">
        <v>47</v>
      </c>
      <c r="AD131" s="4" t="s">
        <v>1863</v>
      </c>
      <c r="AE131" s="4" t="s">
        <v>47</v>
      </c>
      <c r="AF131" s="4" t="s">
        <v>47</v>
      </c>
      <c r="AG131" s="4" t="s">
        <v>47</v>
      </c>
      <c r="AH131" s="4" t="s">
        <v>47</v>
      </c>
      <c r="AI131" s="4" t="s">
        <v>47</v>
      </c>
      <c r="AJ131" s="4" t="s">
        <v>47</v>
      </c>
      <c r="AK131" s="4" t="s">
        <v>47</v>
      </c>
      <c r="AL131" s="4" t="s">
        <v>47</v>
      </c>
      <c r="AM131" s="4" t="s">
        <v>47</v>
      </c>
      <c r="AN131" s="4" t="s">
        <v>47</v>
      </c>
      <c r="AO131" s="4" t="s">
        <v>1864</v>
      </c>
      <c r="AP131" s="4" t="s">
        <v>1865</v>
      </c>
      <c r="AQ131" s="4" t="s">
        <v>1866</v>
      </c>
      <c r="AR131" s="4" t="s">
        <v>1867</v>
      </c>
    </row>
    <row r="132" spans="1:44" x14ac:dyDescent="0.2">
      <c r="A132" s="4" t="s">
        <v>95</v>
      </c>
      <c r="B132" s="4" t="s">
        <v>26</v>
      </c>
      <c r="C132">
        <v>0</v>
      </c>
      <c r="E132">
        <v>2</v>
      </c>
      <c r="F132">
        <v>0</v>
      </c>
      <c r="H132">
        <v>4</v>
      </c>
      <c r="I132" s="4" t="s">
        <v>692</v>
      </c>
      <c r="J132" s="4" t="s">
        <v>47</v>
      </c>
      <c r="K132" s="4" t="s">
        <v>1847</v>
      </c>
      <c r="L132" s="4" t="s">
        <v>47</v>
      </c>
      <c r="M132">
        <v>63267</v>
      </c>
      <c r="N132" s="4" t="s">
        <v>1868</v>
      </c>
      <c r="O132" s="4" t="s">
        <v>1869</v>
      </c>
      <c r="P132" s="4" t="s">
        <v>629</v>
      </c>
      <c r="Q132" s="9">
        <v>41829</v>
      </c>
      <c r="R132" s="4" t="s">
        <v>1870</v>
      </c>
      <c r="S132" s="4" t="s">
        <v>1257</v>
      </c>
      <c r="T132" s="4" t="s">
        <v>596</v>
      </c>
      <c r="U132" s="4" t="s">
        <v>12</v>
      </c>
      <c r="V132">
        <v>2014</v>
      </c>
      <c r="W132" s="4" t="s">
        <v>47</v>
      </c>
      <c r="X132" s="4" t="s">
        <v>47</v>
      </c>
      <c r="Y132" s="4" t="s">
        <v>47</v>
      </c>
      <c r="Z132" s="4" t="s">
        <v>47</v>
      </c>
      <c r="AA132" s="4" t="s">
        <v>47</v>
      </c>
      <c r="AB132" s="4" t="s">
        <v>47</v>
      </c>
      <c r="AC132" s="4" t="s">
        <v>47</v>
      </c>
      <c r="AD132" s="4" t="s">
        <v>47</v>
      </c>
      <c r="AE132" s="4" t="s">
        <v>47</v>
      </c>
      <c r="AF132" s="4" t="s">
        <v>47</v>
      </c>
      <c r="AG132" s="4" t="s">
        <v>1871</v>
      </c>
      <c r="AH132" s="4" t="s">
        <v>1872</v>
      </c>
      <c r="AI132" s="4" t="s">
        <v>1873</v>
      </c>
      <c r="AJ132" s="4" t="s">
        <v>47</v>
      </c>
      <c r="AK132" s="4" t="s">
        <v>47</v>
      </c>
      <c r="AL132" s="4" t="s">
        <v>47</v>
      </c>
      <c r="AM132" s="4" t="s">
        <v>47</v>
      </c>
      <c r="AN132" s="4" t="s">
        <v>47</v>
      </c>
      <c r="AO132" s="4" t="s">
        <v>1874</v>
      </c>
      <c r="AP132" s="4" t="s">
        <v>1875</v>
      </c>
      <c r="AQ132" s="4" t="s">
        <v>1876</v>
      </c>
      <c r="AR132" s="4" t="s">
        <v>1877</v>
      </c>
    </row>
    <row r="133" spans="1:44" x14ac:dyDescent="0.2">
      <c r="A133" s="4" t="s">
        <v>12</v>
      </c>
      <c r="B133" s="4" t="s">
        <v>92</v>
      </c>
      <c r="C133">
        <v>1</v>
      </c>
      <c r="F133">
        <v>7</v>
      </c>
      <c r="I133" s="4" t="s">
        <v>1857</v>
      </c>
      <c r="J133" s="4" t="s">
        <v>47</v>
      </c>
      <c r="K133" s="4" t="s">
        <v>1465</v>
      </c>
      <c r="L133" s="4" t="s">
        <v>47</v>
      </c>
      <c r="M133">
        <v>58141</v>
      </c>
      <c r="N133" s="4" t="s">
        <v>1878</v>
      </c>
      <c r="O133" s="4" t="s">
        <v>1879</v>
      </c>
      <c r="P133" s="4" t="s">
        <v>629</v>
      </c>
      <c r="Q133" s="9">
        <v>41828</v>
      </c>
      <c r="R133" s="4" t="s">
        <v>1880</v>
      </c>
      <c r="S133" s="4" t="s">
        <v>1881</v>
      </c>
      <c r="T133" s="4" t="s">
        <v>47</v>
      </c>
      <c r="U133" s="4" t="s">
        <v>12</v>
      </c>
      <c r="V133">
        <v>2014</v>
      </c>
      <c r="W133" s="4" t="s">
        <v>1882</v>
      </c>
      <c r="X133" s="4" t="s">
        <v>1883</v>
      </c>
      <c r="Y133" s="4" t="s">
        <v>1884</v>
      </c>
      <c r="Z133" s="4" t="s">
        <v>1885</v>
      </c>
      <c r="AA133" s="4" t="s">
        <v>47</v>
      </c>
      <c r="AB133" s="4" t="s">
        <v>47</v>
      </c>
      <c r="AC133" s="4" t="s">
        <v>47</v>
      </c>
      <c r="AD133" s="4" t="s">
        <v>47</v>
      </c>
      <c r="AE133" s="4" t="s">
        <v>47</v>
      </c>
      <c r="AF133" s="4" t="s">
        <v>47</v>
      </c>
      <c r="AG133" s="4" t="s">
        <v>47</v>
      </c>
      <c r="AH133" s="4" t="s">
        <v>47</v>
      </c>
      <c r="AI133" s="4" t="s">
        <v>47</v>
      </c>
      <c r="AJ133" s="4" t="s">
        <v>47</v>
      </c>
      <c r="AK133" s="4" t="s">
        <v>47</v>
      </c>
      <c r="AL133" s="4" t="s">
        <v>47</v>
      </c>
      <c r="AM133" s="4" t="s">
        <v>47</v>
      </c>
      <c r="AN133" s="4" t="s">
        <v>47</v>
      </c>
      <c r="AO133" s="4" t="s">
        <v>1886</v>
      </c>
      <c r="AP133" s="4" t="s">
        <v>47</v>
      </c>
      <c r="AQ133" s="4" t="s">
        <v>1887</v>
      </c>
      <c r="AR133" s="4" t="s">
        <v>1888</v>
      </c>
    </row>
    <row r="134" spans="1:44" x14ac:dyDescent="0.2">
      <c r="A134" s="4" t="s">
        <v>26</v>
      </c>
      <c r="B134" s="4" t="s">
        <v>148</v>
      </c>
      <c r="C134">
        <v>1</v>
      </c>
      <c r="F134">
        <v>0</v>
      </c>
      <c r="I134" s="4" t="s">
        <v>1847</v>
      </c>
      <c r="J134" s="4" t="s">
        <v>47</v>
      </c>
      <c r="K134" s="4" t="s">
        <v>1889</v>
      </c>
      <c r="L134" s="4" t="s">
        <v>47</v>
      </c>
      <c r="M134">
        <v>68551</v>
      </c>
      <c r="N134" s="4" t="s">
        <v>1858</v>
      </c>
      <c r="O134" s="4" t="s">
        <v>1890</v>
      </c>
      <c r="P134" s="4" t="s">
        <v>651</v>
      </c>
      <c r="Q134" s="9">
        <v>41825</v>
      </c>
      <c r="R134" s="4" t="s">
        <v>652</v>
      </c>
      <c r="S134" s="4" t="s">
        <v>1850</v>
      </c>
      <c r="T134" s="4" t="s">
        <v>47</v>
      </c>
      <c r="U134" s="4" t="s">
        <v>12</v>
      </c>
      <c r="V134">
        <v>2014</v>
      </c>
      <c r="W134" s="4" t="s">
        <v>1891</v>
      </c>
      <c r="X134" s="4" t="s">
        <v>47</v>
      </c>
      <c r="Y134" s="4" t="s">
        <v>1892</v>
      </c>
      <c r="Z134" s="4" t="s">
        <v>47</v>
      </c>
      <c r="AA134" s="4" t="s">
        <v>47</v>
      </c>
      <c r="AB134" s="4" t="s">
        <v>47</v>
      </c>
      <c r="AC134" s="4" t="s">
        <v>47</v>
      </c>
      <c r="AD134" s="4" t="s">
        <v>47</v>
      </c>
      <c r="AE134" s="4" t="s">
        <v>47</v>
      </c>
      <c r="AF134" s="4" t="s">
        <v>47</v>
      </c>
      <c r="AG134" s="4" t="s">
        <v>47</v>
      </c>
      <c r="AH134" s="4" t="s">
        <v>47</v>
      </c>
      <c r="AI134" s="4" t="s">
        <v>47</v>
      </c>
      <c r="AJ134" s="4" t="s">
        <v>47</v>
      </c>
      <c r="AK134" s="4" t="s">
        <v>47</v>
      </c>
      <c r="AL134" s="4" t="s">
        <v>47</v>
      </c>
      <c r="AM134" s="4" t="s">
        <v>47</v>
      </c>
      <c r="AN134" s="4" t="s">
        <v>47</v>
      </c>
      <c r="AO134" s="4" t="s">
        <v>1893</v>
      </c>
      <c r="AP134" s="4" t="s">
        <v>1894</v>
      </c>
      <c r="AQ134" s="4" t="s">
        <v>1895</v>
      </c>
      <c r="AR134" s="4" t="s">
        <v>1896</v>
      </c>
    </row>
    <row r="135" spans="1:44" x14ac:dyDescent="0.2">
      <c r="A135" s="4" t="s">
        <v>95</v>
      </c>
      <c r="B135" s="4" t="s">
        <v>225</v>
      </c>
      <c r="C135">
        <v>0</v>
      </c>
      <c r="E135">
        <v>4</v>
      </c>
      <c r="F135">
        <v>0</v>
      </c>
      <c r="H135">
        <v>3</v>
      </c>
      <c r="I135" s="4" t="s">
        <v>692</v>
      </c>
      <c r="J135" s="4" t="s">
        <v>47</v>
      </c>
      <c r="K135" s="4" t="s">
        <v>1897</v>
      </c>
      <c r="L135" s="4" t="s">
        <v>47</v>
      </c>
      <c r="M135">
        <v>51179</v>
      </c>
      <c r="N135" s="4" t="s">
        <v>1898</v>
      </c>
      <c r="O135" s="4" t="s">
        <v>1899</v>
      </c>
      <c r="P135" s="4" t="s">
        <v>651</v>
      </c>
      <c r="Q135" s="9">
        <v>41825</v>
      </c>
      <c r="R135" s="4" t="s">
        <v>1900</v>
      </c>
      <c r="S135" s="4" t="s">
        <v>1568</v>
      </c>
      <c r="T135" s="4" t="s">
        <v>1901</v>
      </c>
      <c r="U135" s="4" t="s">
        <v>12</v>
      </c>
      <c r="V135">
        <v>2014</v>
      </c>
      <c r="W135" s="4" t="s">
        <v>47</v>
      </c>
      <c r="X135" s="4" t="s">
        <v>47</v>
      </c>
      <c r="Y135" s="4" t="s">
        <v>47</v>
      </c>
      <c r="Z135" s="4" t="s">
        <v>47</v>
      </c>
      <c r="AA135" s="4" t="s">
        <v>47</v>
      </c>
      <c r="AB135" s="4" t="s">
        <v>47</v>
      </c>
      <c r="AC135" s="4" t="s">
        <v>47</v>
      </c>
      <c r="AD135" s="4" t="s">
        <v>47</v>
      </c>
      <c r="AE135" s="4" t="s">
        <v>47</v>
      </c>
      <c r="AF135" s="4" t="s">
        <v>47</v>
      </c>
      <c r="AG135" s="4" t="s">
        <v>1902</v>
      </c>
      <c r="AH135" s="4" t="s">
        <v>1903</v>
      </c>
      <c r="AI135" s="4" t="s">
        <v>47</v>
      </c>
      <c r="AJ135" s="4" t="s">
        <v>1904</v>
      </c>
      <c r="AK135" s="4" t="s">
        <v>47</v>
      </c>
      <c r="AL135" s="4" t="s">
        <v>47</v>
      </c>
      <c r="AM135" s="4" t="s">
        <v>47</v>
      </c>
      <c r="AN135" s="4" t="s">
        <v>47</v>
      </c>
      <c r="AO135" s="4" t="s">
        <v>1905</v>
      </c>
      <c r="AP135" s="4" t="s">
        <v>1906</v>
      </c>
      <c r="AQ135" s="4" t="s">
        <v>1907</v>
      </c>
      <c r="AR135" s="4" t="s">
        <v>1908</v>
      </c>
    </row>
    <row r="136" spans="1:44" x14ac:dyDescent="0.2">
      <c r="A136" s="4" t="s">
        <v>87</v>
      </c>
      <c r="B136" s="4" t="s">
        <v>92</v>
      </c>
      <c r="C136">
        <v>0</v>
      </c>
      <c r="F136">
        <v>1</v>
      </c>
      <c r="I136" s="4" t="s">
        <v>589</v>
      </c>
      <c r="J136" s="4" t="s">
        <v>47</v>
      </c>
      <c r="K136" s="4" t="s">
        <v>1465</v>
      </c>
      <c r="L136" s="4" t="s">
        <v>47</v>
      </c>
      <c r="M136">
        <v>74240</v>
      </c>
      <c r="N136" s="4" t="s">
        <v>1848</v>
      </c>
      <c r="O136" s="4" t="s">
        <v>1909</v>
      </c>
      <c r="P136" s="4" t="s">
        <v>651</v>
      </c>
      <c r="Q136" s="9">
        <v>41824</v>
      </c>
      <c r="R136" s="4" t="s">
        <v>963</v>
      </c>
      <c r="S136" s="4" t="s">
        <v>1237</v>
      </c>
      <c r="T136" s="4" t="s">
        <v>47</v>
      </c>
      <c r="U136" s="4" t="s">
        <v>12</v>
      </c>
      <c r="V136">
        <v>2014</v>
      </c>
      <c r="W136" s="4" t="s">
        <v>47</v>
      </c>
      <c r="X136" s="4" t="s">
        <v>1910</v>
      </c>
      <c r="Y136" s="4" t="s">
        <v>47</v>
      </c>
      <c r="Z136" s="4" t="s">
        <v>1911</v>
      </c>
      <c r="AA136" s="4" t="s">
        <v>47</v>
      </c>
      <c r="AB136" s="4" t="s">
        <v>47</v>
      </c>
      <c r="AC136" s="4" t="s">
        <v>47</v>
      </c>
      <c r="AD136" s="4" t="s">
        <v>47</v>
      </c>
      <c r="AE136" s="4" t="s">
        <v>47</v>
      </c>
      <c r="AF136" s="4" t="s">
        <v>47</v>
      </c>
      <c r="AG136" s="4" t="s">
        <v>47</v>
      </c>
      <c r="AH136" s="4" t="s">
        <v>47</v>
      </c>
      <c r="AI136" s="4" t="s">
        <v>47</v>
      </c>
      <c r="AJ136" s="4" t="s">
        <v>47</v>
      </c>
      <c r="AK136" s="4" t="s">
        <v>47</v>
      </c>
      <c r="AL136" s="4" t="s">
        <v>47</v>
      </c>
      <c r="AM136" s="4" t="s">
        <v>47</v>
      </c>
      <c r="AN136" s="4" t="s">
        <v>47</v>
      </c>
      <c r="AO136" s="4" t="s">
        <v>47</v>
      </c>
      <c r="AP136" s="4" t="s">
        <v>1912</v>
      </c>
      <c r="AQ136" s="4" t="s">
        <v>1913</v>
      </c>
      <c r="AR136" s="4" t="s">
        <v>1914</v>
      </c>
    </row>
    <row r="137" spans="1:44" x14ac:dyDescent="0.2">
      <c r="A137" s="4" t="s">
        <v>12</v>
      </c>
      <c r="B137" s="4" t="s">
        <v>153</v>
      </c>
      <c r="C137">
        <v>2</v>
      </c>
      <c r="F137">
        <v>1</v>
      </c>
      <c r="I137" s="4" t="s">
        <v>1857</v>
      </c>
      <c r="J137" s="4" t="s">
        <v>47</v>
      </c>
      <c r="K137" s="4" t="s">
        <v>1336</v>
      </c>
      <c r="L137" s="4" t="s">
        <v>47</v>
      </c>
      <c r="M137">
        <v>60342</v>
      </c>
      <c r="N137" s="4" t="s">
        <v>1915</v>
      </c>
      <c r="O137" s="4" t="s">
        <v>1916</v>
      </c>
      <c r="P137" s="4" t="s">
        <v>651</v>
      </c>
      <c r="Q137" s="9">
        <v>41824</v>
      </c>
      <c r="R137" s="4" t="s">
        <v>617</v>
      </c>
      <c r="S137" s="4" t="s">
        <v>1917</v>
      </c>
      <c r="T137" s="4" t="s">
        <v>47</v>
      </c>
      <c r="U137" s="4" t="s">
        <v>12</v>
      </c>
      <c r="V137">
        <v>2014</v>
      </c>
      <c r="W137" s="4" t="s">
        <v>1918</v>
      </c>
      <c r="X137" s="4" t="s">
        <v>47</v>
      </c>
      <c r="Y137" s="4" t="s">
        <v>1919</v>
      </c>
      <c r="Z137" s="4" t="s">
        <v>47</v>
      </c>
      <c r="AA137" s="4" t="s">
        <v>47</v>
      </c>
      <c r="AB137" s="4" t="s">
        <v>47</v>
      </c>
      <c r="AC137" s="4" t="s">
        <v>47</v>
      </c>
      <c r="AD137" s="4" t="s">
        <v>1920</v>
      </c>
      <c r="AE137" s="4" t="s">
        <v>47</v>
      </c>
      <c r="AF137" s="4" t="s">
        <v>47</v>
      </c>
      <c r="AG137" s="4" t="s">
        <v>47</v>
      </c>
      <c r="AH137" s="4" t="s">
        <v>47</v>
      </c>
      <c r="AI137" s="4" t="s">
        <v>47</v>
      </c>
      <c r="AJ137" s="4" t="s">
        <v>47</v>
      </c>
      <c r="AK137" s="4" t="s">
        <v>47</v>
      </c>
      <c r="AL137" s="4" t="s">
        <v>47</v>
      </c>
      <c r="AM137" s="4" t="s">
        <v>47</v>
      </c>
      <c r="AN137" s="4" t="s">
        <v>47</v>
      </c>
      <c r="AO137" s="4" t="s">
        <v>1921</v>
      </c>
      <c r="AP137" s="4" t="s">
        <v>1922</v>
      </c>
      <c r="AQ137" s="4" t="s">
        <v>1923</v>
      </c>
      <c r="AR137" s="4" t="s">
        <v>1924</v>
      </c>
    </row>
    <row r="138" spans="1:44" x14ac:dyDescent="0.2">
      <c r="A138" s="4" t="s">
        <v>26</v>
      </c>
      <c r="B138" s="4" t="s">
        <v>118</v>
      </c>
      <c r="C138">
        <v>1</v>
      </c>
      <c r="F138">
        <v>0</v>
      </c>
      <c r="I138" s="4" t="s">
        <v>1847</v>
      </c>
      <c r="J138" s="4" t="s">
        <v>47</v>
      </c>
      <c r="K138" s="4" t="s">
        <v>1925</v>
      </c>
      <c r="L138" s="4" t="s">
        <v>47</v>
      </c>
      <c r="M138">
        <v>63255</v>
      </c>
      <c r="N138" s="4" t="s">
        <v>1868</v>
      </c>
      <c r="O138" s="4" t="s">
        <v>1926</v>
      </c>
      <c r="P138" s="4" t="s">
        <v>714</v>
      </c>
      <c r="Q138" s="9">
        <v>41821</v>
      </c>
      <c r="R138" s="4" t="s">
        <v>652</v>
      </c>
      <c r="S138" s="4" t="s">
        <v>1927</v>
      </c>
      <c r="T138" s="4" t="s">
        <v>1258</v>
      </c>
      <c r="U138" s="4" t="s">
        <v>12</v>
      </c>
      <c r="V138">
        <v>2014</v>
      </c>
      <c r="W138" s="4" t="s">
        <v>1928</v>
      </c>
      <c r="X138" s="4" t="s">
        <v>47</v>
      </c>
      <c r="Y138" s="4" t="s">
        <v>1929</v>
      </c>
      <c r="Z138" s="4" t="s">
        <v>47</v>
      </c>
      <c r="AA138" s="4" t="s">
        <v>47</v>
      </c>
      <c r="AB138" s="4" t="s">
        <v>47</v>
      </c>
      <c r="AC138" s="4" t="s">
        <v>47</v>
      </c>
      <c r="AD138" s="4" t="s">
        <v>47</v>
      </c>
      <c r="AE138" s="4" t="s">
        <v>47</v>
      </c>
      <c r="AF138" s="4" t="s">
        <v>47</v>
      </c>
      <c r="AG138" s="4" t="s">
        <v>47</v>
      </c>
      <c r="AH138" s="4" t="s">
        <v>47</v>
      </c>
      <c r="AI138" s="4" t="s">
        <v>47</v>
      </c>
      <c r="AJ138" s="4" t="s">
        <v>47</v>
      </c>
      <c r="AK138" s="4" t="s">
        <v>47</v>
      </c>
      <c r="AL138" s="4" t="s">
        <v>47</v>
      </c>
      <c r="AM138" s="4" t="s">
        <v>47</v>
      </c>
      <c r="AN138" s="4" t="s">
        <v>47</v>
      </c>
      <c r="AO138" s="4" t="s">
        <v>1930</v>
      </c>
      <c r="AP138" s="4" t="s">
        <v>1931</v>
      </c>
      <c r="AQ138" s="4" t="s">
        <v>1932</v>
      </c>
      <c r="AR138" s="4" t="s">
        <v>1933</v>
      </c>
    </row>
    <row r="139" spans="1:44" x14ac:dyDescent="0.2">
      <c r="A139" s="4" t="s">
        <v>148</v>
      </c>
      <c r="B139" s="4" t="s">
        <v>102</v>
      </c>
      <c r="C139">
        <v>2</v>
      </c>
      <c r="F139">
        <v>1</v>
      </c>
      <c r="I139" s="4" t="s">
        <v>1889</v>
      </c>
      <c r="J139" s="4" t="s">
        <v>47</v>
      </c>
      <c r="K139" s="4" t="s">
        <v>1934</v>
      </c>
      <c r="L139" s="4" t="s">
        <v>47</v>
      </c>
      <c r="M139">
        <v>51227</v>
      </c>
      <c r="N139" s="4" t="s">
        <v>1898</v>
      </c>
      <c r="O139" s="4" t="s">
        <v>1935</v>
      </c>
      <c r="P139" s="4" t="s">
        <v>714</v>
      </c>
      <c r="Q139" s="9">
        <v>41821</v>
      </c>
      <c r="R139" s="4" t="s">
        <v>617</v>
      </c>
      <c r="S139" s="4" t="s">
        <v>1860</v>
      </c>
      <c r="T139" s="4" t="s">
        <v>1258</v>
      </c>
      <c r="U139" s="4" t="s">
        <v>12</v>
      </c>
      <c r="V139">
        <v>2014</v>
      </c>
      <c r="W139" s="4" t="s">
        <v>1936</v>
      </c>
      <c r="X139" s="4" t="s">
        <v>1937</v>
      </c>
      <c r="Y139" s="4" t="s">
        <v>1938</v>
      </c>
      <c r="Z139" s="4" t="s">
        <v>1939</v>
      </c>
      <c r="AA139" s="4" t="s">
        <v>47</v>
      </c>
      <c r="AB139" s="4" t="s">
        <v>47</v>
      </c>
      <c r="AC139" s="4" t="s">
        <v>47</v>
      </c>
      <c r="AD139" s="4" t="s">
        <v>47</v>
      </c>
      <c r="AE139" s="4" t="s">
        <v>47</v>
      </c>
      <c r="AF139" s="4" t="s">
        <v>47</v>
      </c>
      <c r="AG139" s="4" t="s">
        <v>47</v>
      </c>
      <c r="AH139" s="4" t="s">
        <v>47</v>
      </c>
      <c r="AI139" s="4" t="s">
        <v>47</v>
      </c>
      <c r="AJ139" s="4" t="s">
        <v>47</v>
      </c>
      <c r="AK139" s="4" t="s">
        <v>47</v>
      </c>
      <c r="AL139" s="4" t="s">
        <v>47</v>
      </c>
      <c r="AM139" s="4" t="s">
        <v>47</v>
      </c>
      <c r="AN139" s="4" t="s">
        <v>47</v>
      </c>
      <c r="AO139" s="4" t="s">
        <v>1940</v>
      </c>
      <c r="AP139" s="4" t="s">
        <v>1941</v>
      </c>
      <c r="AQ139" s="4" t="s">
        <v>1942</v>
      </c>
      <c r="AR139" s="4" t="s">
        <v>1943</v>
      </c>
    </row>
    <row r="140" spans="1:44" x14ac:dyDescent="0.2">
      <c r="A140" s="4" t="s">
        <v>87</v>
      </c>
      <c r="B140" s="4" t="s">
        <v>177</v>
      </c>
      <c r="C140">
        <v>2</v>
      </c>
      <c r="F140">
        <v>0</v>
      </c>
      <c r="I140" s="4" t="s">
        <v>589</v>
      </c>
      <c r="J140" s="4" t="s">
        <v>47</v>
      </c>
      <c r="K140" s="4" t="s">
        <v>1944</v>
      </c>
      <c r="L140" s="4" t="s">
        <v>47</v>
      </c>
      <c r="M140">
        <v>67882</v>
      </c>
      <c r="N140" s="4" t="s">
        <v>1858</v>
      </c>
      <c r="O140" s="4" t="s">
        <v>1945</v>
      </c>
      <c r="P140" s="4" t="s">
        <v>714</v>
      </c>
      <c r="Q140" s="9">
        <v>41820</v>
      </c>
      <c r="R140" s="4" t="s">
        <v>630</v>
      </c>
      <c r="S140" s="4" t="s">
        <v>1341</v>
      </c>
      <c r="T140" s="4" t="s">
        <v>47</v>
      </c>
      <c r="U140" s="4" t="s">
        <v>12</v>
      </c>
      <c r="V140">
        <v>2014</v>
      </c>
      <c r="W140" s="4" t="s">
        <v>1946</v>
      </c>
      <c r="X140" s="4" t="s">
        <v>47</v>
      </c>
      <c r="Y140" s="4" t="s">
        <v>1947</v>
      </c>
      <c r="Z140" s="4" t="s">
        <v>47</v>
      </c>
      <c r="AA140" s="4" t="s">
        <v>1948</v>
      </c>
      <c r="AB140" s="4" t="s">
        <v>47</v>
      </c>
      <c r="AC140" s="4" t="s">
        <v>47</v>
      </c>
      <c r="AD140" s="4" t="s">
        <v>47</v>
      </c>
      <c r="AE140" s="4" t="s">
        <v>47</v>
      </c>
      <c r="AF140" s="4" t="s">
        <v>47</v>
      </c>
      <c r="AG140" s="4" t="s">
        <v>47</v>
      </c>
      <c r="AH140" s="4" t="s">
        <v>47</v>
      </c>
      <c r="AI140" s="4" t="s">
        <v>47</v>
      </c>
      <c r="AJ140" s="4" t="s">
        <v>47</v>
      </c>
      <c r="AK140" s="4" t="s">
        <v>47</v>
      </c>
      <c r="AL140" s="4" t="s">
        <v>47</v>
      </c>
      <c r="AM140" s="4" t="s">
        <v>47</v>
      </c>
      <c r="AN140" s="4" t="s">
        <v>47</v>
      </c>
      <c r="AO140" s="4" t="s">
        <v>1949</v>
      </c>
      <c r="AP140" s="4" t="s">
        <v>47</v>
      </c>
      <c r="AQ140" s="4" t="s">
        <v>1950</v>
      </c>
      <c r="AR140" s="4" t="s">
        <v>1951</v>
      </c>
    </row>
    <row r="141" spans="1:44" x14ac:dyDescent="0.2">
      <c r="A141" s="4" t="s">
        <v>92</v>
      </c>
      <c r="B141" s="4" t="s">
        <v>181</v>
      </c>
      <c r="C141">
        <v>2</v>
      </c>
      <c r="F141">
        <v>1</v>
      </c>
      <c r="I141" s="4" t="s">
        <v>1465</v>
      </c>
      <c r="J141" s="4" t="s">
        <v>47</v>
      </c>
      <c r="K141" s="4" t="s">
        <v>1952</v>
      </c>
      <c r="L141" s="4" t="s">
        <v>47</v>
      </c>
      <c r="M141">
        <v>43063</v>
      </c>
      <c r="N141" s="4" t="s">
        <v>1953</v>
      </c>
      <c r="O141" s="4" t="s">
        <v>1954</v>
      </c>
      <c r="P141" s="4" t="s">
        <v>714</v>
      </c>
      <c r="Q141" s="9">
        <v>41820</v>
      </c>
      <c r="R141" s="4" t="s">
        <v>617</v>
      </c>
      <c r="S141" s="4" t="s">
        <v>1290</v>
      </c>
      <c r="T141" s="4" t="s">
        <v>1258</v>
      </c>
      <c r="U141" s="4" t="s">
        <v>12</v>
      </c>
      <c r="V141">
        <v>2014</v>
      </c>
      <c r="W141" s="4" t="s">
        <v>1955</v>
      </c>
      <c r="X141" s="4" t="s">
        <v>1956</v>
      </c>
      <c r="Y141" s="4" t="s">
        <v>1957</v>
      </c>
      <c r="Z141" s="4" t="s">
        <v>1958</v>
      </c>
      <c r="AA141" s="4" t="s">
        <v>47</v>
      </c>
      <c r="AB141" s="4" t="s">
        <v>47</v>
      </c>
      <c r="AC141" s="4" t="s">
        <v>47</v>
      </c>
      <c r="AD141" s="4" t="s">
        <v>47</v>
      </c>
      <c r="AE141" s="4" t="s">
        <v>47</v>
      </c>
      <c r="AF141" s="4" t="s">
        <v>47</v>
      </c>
      <c r="AG141" s="4" t="s">
        <v>47</v>
      </c>
      <c r="AH141" s="4" t="s">
        <v>47</v>
      </c>
      <c r="AI141" s="4" t="s">
        <v>47</v>
      </c>
      <c r="AJ141" s="4" t="s">
        <v>47</v>
      </c>
      <c r="AK141" s="4" t="s">
        <v>47</v>
      </c>
      <c r="AL141" s="4" t="s">
        <v>47</v>
      </c>
      <c r="AM141" s="4" t="s">
        <v>47</v>
      </c>
      <c r="AN141" s="4" t="s">
        <v>47</v>
      </c>
      <c r="AO141" s="4" t="s">
        <v>1959</v>
      </c>
      <c r="AP141" s="4" t="s">
        <v>1960</v>
      </c>
      <c r="AQ141" s="4" t="s">
        <v>1961</v>
      </c>
      <c r="AR141" s="4" t="s">
        <v>1962</v>
      </c>
    </row>
    <row r="142" spans="1:44" x14ac:dyDescent="0.2">
      <c r="A142" s="4" t="s">
        <v>95</v>
      </c>
      <c r="B142" s="4" t="s">
        <v>106</v>
      </c>
      <c r="C142">
        <v>2</v>
      </c>
      <c r="F142">
        <v>1</v>
      </c>
      <c r="I142" s="4" t="s">
        <v>692</v>
      </c>
      <c r="J142" s="4" t="s">
        <v>47</v>
      </c>
      <c r="K142" s="4" t="s">
        <v>1963</v>
      </c>
      <c r="L142" s="4" t="s">
        <v>47</v>
      </c>
      <c r="M142">
        <v>58817</v>
      </c>
      <c r="N142" s="4" t="s">
        <v>1915</v>
      </c>
      <c r="O142" s="4" t="s">
        <v>1964</v>
      </c>
      <c r="P142" s="4" t="s">
        <v>714</v>
      </c>
      <c r="Q142" s="9">
        <v>41819</v>
      </c>
      <c r="R142" s="4" t="s">
        <v>617</v>
      </c>
      <c r="S142" s="4" t="s">
        <v>1965</v>
      </c>
      <c r="T142" s="4" t="s">
        <v>47</v>
      </c>
      <c r="U142" s="4" t="s">
        <v>12</v>
      </c>
      <c r="V142">
        <v>2014</v>
      </c>
      <c r="W142" s="4" t="s">
        <v>1966</v>
      </c>
      <c r="X142" s="4" t="s">
        <v>1967</v>
      </c>
      <c r="Y142" s="4" t="s">
        <v>1968</v>
      </c>
      <c r="Z142" s="4" t="s">
        <v>1969</v>
      </c>
      <c r="AA142" s="4" t="s">
        <v>47</v>
      </c>
      <c r="AB142" s="4" t="s">
        <v>47</v>
      </c>
      <c r="AC142" s="4" t="s">
        <v>1970</v>
      </c>
      <c r="AD142" s="4" t="s">
        <v>47</v>
      </c>
      <c r="AE142" s="4" t="s">
        <v>47</v>
      </c>
      <c r="AF142" s="4" t="s">
        <v>47</v>
      </c>
      <c r="AG142" s="4" t="s">
        <v>47</v>
      </c>
      <c r="AH142" s="4" t="s">
        <v>47</v>
      </c>
      <c r="AI142" s="4" t="s">
        <v>47</v>
      </c>
      <c r="AJ142" s="4" t="s">
        <v>47</v>
      </c>
      <c r="AK142" s="4" t="s">
        <v>47</v>
      </c>
      <c r="AL142" s="4" t="s">
        <v>47</v>
      </c>
      <c r="AM142" s="4" t="s">
        <v>47</v>
      </c>
      <c r="AN142" s="4" t="s">
        <v>47</v>
      </c>
      <c r="AO142" s="4" t="s">
        <v>47</v>
      </c>
      <c r="AP142" s="4" t="s">
        <v>1971</v>
      </c>
      <c r="AQ142" s="4" t="s">
        <v>1972</v>
      </c>
      <c r="AR142" s="4" t="s">
        <v>1973</v>
      </c>
    </row>
    <row r="143" spans="1:44" x14ac:dyDescent="0.2">
      <c r="A143" s="4" t="s">
        <v>225</v>
      </c>
      <c r="B143" s="4" t="s">
        <v>217</v>
      </c>
      <c r="C143">
        <v>1</v>
      </c>
      <c r="E143">
        <v>5</v>
      </c>
      <c r="F143">
        <v>1</v>
      </c>
      <c r="H143">
        <v>3</v>
      </c>
      <c r="I143" s="4" t="s">
        <v>1897</v>
      </c>
      <c r="J143" s="4" t="s">
        <v>47</v>
      </c>
      <c r="K143" s="4" t="s">
        <v>647</v>
      </c>
      <c r="L143" s="4" t="s">
        <v>47</v>
      </c>
      <c r="M143">
        <v>41242</v>
      </c>
      <c r="N143" s="4" t="s">
        <v>1974</v>
      </c>
      <c r="O143" s="4" t="s">
        <v>1975</v>
      </c>
      <c r="P143" s="4" t="s">
        <v>714</v>
      </c>
      <c r="Q143" s="9">
        <v>41819</v>
      </c>
      <c r="R143" s="4" t="s">
        <v>1976</v>
      </c>
      <c r="S143" s="4" t="s">
        <v>1977</v>
      </c>
      <c r="T143" s="4" t="s">
        <v>1978</v>
      </c>
      <c r="U143" s="4" t="s">
        <v>12</v>
      </c>
      <c r="V143">
        <v>2014</v>
      </c>
      <c r="W143" s="4" t="s">
        <v>1979</v>
      </c>
      <c r="X143" s="4" t="s">
        <v>1980</v>
      </c>
      <c r="Y143" s="4" t="s">
        <v>1981</v>
      </c>
      <c r="Z143" s="4" t="s">
        <v>1982</v>
      </c>
      <c r="AA143" s="4" t="s">
        <v>47</v>
      </c>
      <c r="AB143" s="4" t="s">
        <v>47</v>
      </c>
      <c r="AC143" s="4" t="s">
        <v>47</v>
      </c>
      <c r="AD143" s="4" t="s">
        <v>47</v>
      </c>
      <c r="AE143" s="4" t="s">
        <v>47</v>
      </c>
      <c r="AF143" s="4" t="s">
        <v>47</v>
      </c>
      <c r="AG143" s="4" t="s">
        <v>1983</v>
      </c>
      <c r="AH143" s="4" t="s">
        <v>1984</v>
      </c>
      <c r="AI143" s="4" t="s">
        <v>47</v>
      </c>
      <c r="AJ143" s="4" t="s">
        <v>1985</v>
      </c>
      <c r="AK143" s="4" t="s">
        <v>47</v>
      </c>
      <c r="AL143" s="4" t="s">
        <v>47</v>
      </c>
      <c r="AM143" s="4" t="s">
        <v>1986</v>
      </c>
      <c r="AN143" s="4" t="s">
        <v>47</v>
      </c>
      <c r="AO143" s="4" t="s">
        <v>1987</v>
      </c>
      <c r="AP143" s="4" t="s">
        <v>1988</v>
      </c>
      <c r="AQ143" s="4" t="s">
        <v>1989</v>
      </c>
      <c r="AR143" s="4" t="s">
        <v>1990</v>
      </c>
    </row>
    <row r="144" spans="1:44" x14ac:dyDescent="0.2">
      <c r="A144" s="4" t="s">
        <v>12</v>
      </c>
      <c r="B144" s="4" t="s">
        <v>113</v>
      </c>
      <c r="C144">
        <v>1</v>
      </c>
      <c r="E144">
        <v>3</v>
      </c>
      <c r="F144">
        <v>1</v>
      </c>
      <c r="H144">
        <v>2</v>
      </c>
      <c r="I144" s="4" t="s">
        <v>1857</v>
      </c>
      <c r="J144" s="4" t="s">
        <v>47</v>
      </c>
      <c r="K144" s="4" t="s">
        <v>1404</v>
      </c>
      <c r="L144" s="4" t="s">
        <v>47</v>
      </c>
      <c r="M144">
        <v>57714</v>
      </c>
      <c r="N144" s="4" t="s">
        <v>1878</v>
      </c>
      <c r="O144" s="4" t="s">
        <v>1991</v>
      </c>
      <c r="P144" s="4" t="s">
        <v>714</v>
      </c>
      <c r="Q144" s="9">
        <v>41818</v>
      </c>
      <c r="R144" s="4" t="s">
        <v>1391</v>
      </c>
      <c r="S144" s="4" t="s">
        <v>1992</v>
      </c>
      <c r="T144" s="4" t="s">
        <v>1993</v>
      </c>
      <c r="U144" s="4" t="s">
        <v>12</v>
      </c>
      <c r="V144">
        <v>2014</v>
      </c>
      <c r="W144" s="4" t="s">
        <v>1994</v>
      </c>
      <c r="X144" s="4" t="s">
        <v>1995</v>
      </c>
      <c r="Y144" s="4" t="s">
        <v>1996</v>
      </c>
      <c r="Z144" s="4" t="s">
        <v>1997</v>
      </c>
      <c r="AA144" s="4" t="s">
        <v>47</v>
      </c>
      <c r="AB144" s="4" t="s">
        <v>47</v>
      </c>
      <c r="AC144" s="4" t="s">
        <v>47</v>
      </c>
      <c r="AD144" s="4" t="s">
        <v>47</v>
      </c>
      <c r="AE144" s="4" t="s">
        <v>47</v>
      </c>
      <c r="AF144" s="4" t="s">
        <v>47</v>
      </c>
      <c r="AG144" s="4" t="s">
        <v>1998</v>
      </c>
      <c r="AH144" s="4" t="s">
        <v>1999</v>
      </c>
      <c r="AI144" s="4" t="s">
        <v>2000</v>
      </c>
      <c r="AJ144" s="4" t="s">
        <v>2001</v>
      </c>
      <c r="AK144" s="4" t="s">
        <v>47</v>
      </c>
      <c r="AL144" s="4" t="s">
        <v>47</v>
      </c>
      <c r="AM144" s="4" t="s">
        <v>47</v>
      </c>
      <c r="AN144" s="4" t="s">
        <v>47</v>
      </c>
      <c r="AO144" s="4" t="s">
        <v>2002</v>
      </c>
      <c r="AP144" s="4" t="s">
        <v>2003</v>
      </c>
      <c r="AQ144" s="4" t="s">
        <v>2004</v>
      </c>
      <c r="AR144" s="4" t="s">
        <v>2005</v>
      </c>
    </row>
    <row r="145" spans="1:44" x14ac:dyDescent="0.2">
      <c r="A145" s="4" t="s">
        <v>153</v>
      </c>
      <c r="B145" s="4" t="s">
        <v>121</v>
      </c>
      <c r="C145">
        <v>2</v>
      </c>
      <c r="F145">
        <v>0</v>
      </c>
      <c r="I145" s="4" t="s">
        <v>1336</v>
      </c>
      <c r="J145" s="4" t="s">
        <v>47</v>
      </c>
      <c r="K145" s="4" t="s">
        <v>1303</v>
      </c>
      <c r="L145" s="4" t="s">
        <v>47</v>
      </c>
      <c r="M145">
        <v>73804</v>
      </c>
      <c r="N145" s="4" t="s">
        <v>1848</v>
      </c>
      <c r="O145" s="4" t="s">
        <v>2006</v>
      </c>
      <c r="P145" s="4" t="s">
        <v>714</v>
      </c>
      <c r="Q145" s="9">
        <v>41818</v>
      </c>
      <c r="R145" s="4" t="s">
        <v>630</v>
      </c>
      <c r="S145" s="4" t="s">
        <v>1279</v>
      </c>
      <c r="T145" s="4" t="s">
        <v>47</v>
      </c>
      <c r="U145" s="4" t="s">
        <v>12</v>
      </c>
      <c r="V145">
        <v>2014</v>
      </c>
      <c r="W145" s="4" t="s">
        <v>2007</v>
      </c>
      <c r="X145" s="4" t="s">
        <v>47</v>
      </c>
      <c r="Y145" s="4" t="s">
        <v>2008</v>
      </c>
      <c r="Z145" s="4" t="s">
        <v>47</v>
      </c>
      <c r="AA145" s="4" t="s">
        <v>47</v>
      </c>
      <c r="AB145" s="4" t="s">
        <v>47</v>
      </c>
      <c r="AC145" s="4" t="s">
        <v>47</v>
      </c>
      <c r="AD145" s="4" t="s">
        <v>47</v>
      </c>
      <c r="AE145" s="4" t="s">
        <v>47</v>
      </c>
      <c r="AF145" s="4" t="s">
        <v>47</v>
      </c>
      <c r="AG145" s="4" t="s">
        <v>47</v>
      </c>
      <c r="AH145" s="4" t="s">
        <v>47</v>
      </c>
      <c r="AI145" s="4" t="s">
        <v>47</v>
      </c>
      <c r="AJ145" s="4" t="s">
        <v>47</v>
      </c>
      <c r="AK145" s="4" t="s">
        <v>47</v>
      </c>
      <c r="AL145" s="4" t="s">
        <v>47</v>
      </c>
      <c r="AM145" s="4" t="s">
        <v>47</v>
      </c>
      <c r="AN145" s="4" t="s">
        <v>47</v>
      </c>
      <c r="AO145" s="4" t="s">
        <v>2009</v>
      </c>
      <c r="AP145" s="4" t="s">
        <v>2010</v>
      </c>
      <c r="AQ145" s="4" t="s">
        <v>2011</v>
      </c>
      <c r="AR145" s="4" t="s">
        <v>2012</v>
      </c>
    </row>
    <row r="146" spans="1:44" x14ac:dyDescent="0.2">
      <c r="A146" s="4" t="s">
        <v>102</v>
      </c>
      <c r="B146" s="4" t="s">
        <v>92</v>
      </c>
      <c r="C146">
        <v>0</v>
      </c>
      <c r="F146">
        <v>1</v>
      </c>
      <c r="I146" s="4" t="s">
        <v>1934</v>
      </c>
      <c r="J146" s="4" t="s">
        <v>47</v>
      </c>
      <c r="K146" s="4" t="s">
        <v>1465</v>
      </c>
      <c r="L146" s="4" t="s">
        <v>47</v>
      </c>
      <c r="M146">
        <v>41876</v>
      </c>
      <c r="N146" s="4" t="s">
        <v>1974</v>
      </c>
      <c r="O146" s="4" t="s">
        <v>2013</v>
      </c>
      <c r="P146" s="4" t="s">
        <v>811</v>
      </c>
      <c r="Q146" s="9">
        <v>41816</v>
      </c>
      <c r="R146" s="4" t="s">
        <v>963</v>
      </c>
      <c r="S146" s="4" t="s">
        <v>1568</v>
      </c>
      <c r="T146" s="4" t="s">
        <v>47</v>
      </c>
      <c r="U146" s="4" t="s">
        <v>12</v>
      </c>
      <c r="V146">
        <v>2014</v>
      </c>
      <c r="W146" s="4" t="s">
        <v>47</v>
      </c>
      <c r="X146" s="4" t="s">
        <v>2014</v>
      </c>
      <c r="Y146" s="4" t="s">
        <v>47</v>
      </c>
      <c r="Z146" s="4" t="s">
        <v>2015</v>
      </c>
      <c r="AA146" s="4" t="s">
        <v>47</v>
      </c>
      <c r="AB146" s="4" t="s">
        <v>47</v>
      </c>
      <c r="AC146" s="4" t="s">
        <v>47</v>
      </c>
      <c r="AD146" s="4" t="s">
        <v>47</v>
      </c>
      <c r="AE146" s="4" t="s">
        <v>47</v>
      </c>
      <c r="AF146" s="4" t="s">
        <v>47</v>
      </c>
      <c r="AG146" s="4" t="s">
        <v>47</v>
      </c>
      <c r="AH146" s="4" t="s">
        <v>47</v>
      </c>
      <c r="AI146" s="4" t="s">
        <v>47</v>
      </c>
      <c r="AJ146" s="4" t="s">
        <v>47</v>
      </c>
      <c r="AK146" s="4" t="s">
        <v>47</v>
      </c>
      <c r="AL146" s="4" t="s">
        <v>47</v>
      </c>
      <c r="AM146" s="4" t="s">
        <v>47</v>
      </c>
      <c r="AN146" s="4" t="s">
        <v>47</v>
      </c>
      <c r="AO146" s="4" t="s">
        <v>2016</v>
      </c>
      <c r="AP146" s="4" t="s">
        <v>2017</v>
      </c>
      <c r="AQ146" s="4" t="s">
        <v>2018</v>
      </c>
      <c r="AR146" s="4" t="s">
        <v>2019</v>
      </c>
    </row>
    <row r="147" spans="1:44" x14ac:dyDescent="0.2">
      <c r="A147" s="4" t="s">
        <v>141</v>
      </c>
      <c r="B147" s="4" t="s">
        <v>264</v>
      </c>
      <c r="C147">
        <v>2</v>
      </c>
      <c r="F147">
        <v>1</v>
      </c>
      <c r="I147" s="4" t="s">
        <v>753</v>
      </c>
      <c r="J147" s="4" t="s">
        <v>47</v>
      </c>
      <c r="K147" s="4" t="s">
        <v>2020</v>
      </c>
      <c r="L147" s="4" t="s">
        <v>47</v>
      </c>
      <c r="M147">
        <v>67540</v>
      </c>
      <c r="N147" s="4" t="s">
        <v>1858</v>
      </c>
      <c r="O147" s="4" t="s">
        <v>2021</v>
      </c>
      <c r="P147" s="4" t="s">
        <v>811</v>
      </c>
      <c r="Q147" s="9">
        <v>41816</v>
      </c>
      <c r="R147" s="4" t="s">
        <v>617</v>
      </c>
      <c r="S147" s="4" t="s">
        <v>1456</v>
      </c>
      <c r="T147" s="4" t="s">
        <v>47</v>
      </c>
      <c r="U147" s="4" t="s">
        <v>12</v>
      </c>
      <c r="V147">
        <v>2014</v>
      </c>
      <c r="W147" s="4" t="s">
        <v>2022</v>
      </c>
      <c r="X147" s="4" t="s">
        <v>2023</v>
      </c>
      <c r="Y147" s="4" t="s">
        <v>2024</v>
      </c>
      <c r="Z147" s="4" t="s">
        <v>2025</v>
      </c>
      <c r="AA147" s="4" t="s">
        <v>2026</v>
      </c>
      <c r="AB147" s="4" t="s">
        <v>47</v>
      </c>
      <c r="AC147" s="4" t="s">
        <v>47</v>
      </c>
      <c r="AD147" s="4" t="s">
        <v>47</v>
      </c>
      <c r="AE147" s="4" t="s">
        <v>47</v>
      </c>
      <c r="AF147" s="4" t="s">
        <v>47</v>
      </c>
      <c r="AG147" s="4" t="s">
        <v>47</v>
      </c>
      <c r="AH147" s="4" t="s">
        <v>47</v>
      </c>
      <c r="AI147" s="4" t="s">
        <v>47</v>
      </c>
      <c r="AJ147" s="4" t="s">
        <v>47</v>
      </c>
      <c r="AK147" s="4" t="s">
        <v>47</v>
      </c>
      <c r="AL147" s="4" t="s">
        <v>47</v>
      </c>
      <c r="AM147" s="4" t="s">
        <v>47</v>
      </c>
      <c r="AN147" s="4" t="s">
        <v>47</v>
      </c>
      <c r="AO147" s="4" t="s">
        <v>2027</v>
      </c>
      <c r="AP147" s="4" t="s">
        <v>2028</v>
      </c>
      <c r="AQ147" s="4" t="s">
        <v>2029</v>
      </c>
      <c r="AR147" s="4" t="s">
        <v>2030</v>
      </c>
    </row>
    <row r="148" spans="1:44" x14ac:dyDescent="0.2">
      <c r="A148" s="4" t="s">
        <v>175</v>
      </c>
      <c r="B148" s="4" t="s">
        <v>148</v>
      </c>
      <c r="C148">
        <v>0</v>
      </c>
      <c r="F148">
        <v>1</v>
      </c>
      <c r="I148" s="4" t="s">
        <v>2031</v>
      </c>
      <c r="J148" s="4" t="s">
        <v>47</v>
      </c>
      <c r="K148" s="4" t="s">
        <v>1889</v>
      </c>
      <c r="L148" s="4" t="s">
        <v>47</v>
      </c>
      <c r="M148">
        <v>61397</v>
      </c>
      <c r="N148" s="4" t="s">
        <v>1868</v>
      </c>
      <c r="O148" s="4" t="s">
        <v>2032</v>
      </c>
      <c r="P148" s="4" t="s">
        <v>811</v>
      </c>
      <c r="Q148" s="9">
        <v>41816</v>
      </c>
      <c r="R148" s="4" t="s">
        <v>963</v>
      </c>
      <c r="S148" s="4" t="s">
        <v>1977</v>
      </c>
      <c r="T148" s="4" t="s">
        <v>47</v>
      </c>
      <c r="U148" s="4" t="s">
        <v>12</v>
      </c>
      <c r="V148">
        <v>2014</v>
      </c>
      <c r="W148" s="4" t="s">
        <v>47</v>
      </c>
      <c r="X148" s="4" t="s">
        <v>2033</v>
      </c>
      <c r="Y148" s="4" t="s">
        <v>47</v>
      </c>
      <c r="Z148" s="4" t="s">
        <v>2034</v>
      </c>
      <c r="AA148" s="4" t="s">
        <v>47</v>
      </c>
      <c r="AB148" s="4" t="s">
        <v>47</v>
      </c>
      <c r="AC148" s="4" t="s">
        <v>47</v>
      </c>
      <c r="AD148" s="4" t="s">
        <v>47</v>
      </c>
      <c r="AE148" s="4" t="s">
        <v>47</v>
      </c>
      <c r="AF148" s="4" t="s">
        <v>47</v>
      </c>
      <c r="AG148" s="4" t="s">
        <v>47</v>
      </c>
      <c r="AH148" s="4" t="s">
        <v>47</v>
      </c>
      <c r="AI148" s="4" t="s">
        <v>47</v>
      </c>
      <c r="AJ148" s="4" t="s">
        <v>47</v>
      </c>
      <c r="AK148" s="4" t="s">
        <v>47</v>
      </c>
      <c r="AL148" s="4" t="s">
        <v>2035</v>
      </c>
      <c r="AM148" s="4" t="s">
        <v>47</v>
      </c>
      <c r="AN148" s="4" t="s">
        <v>47</v>
      </c>
      <c r="AO148" s="4" t="s">
        <v>2036</v>
      </c>
      <c r="AP148" s="4" t="s">
        <v>2037</v>
      </c>
      <c r="AQ148" s="4" t="s">
        <v>2038</v>
      </c>
      <c r="AR148" s="4" t="s">
        <v>2039</v>
      </c>
    </row>
    <row r="149" spans="1:44" x14ac:dyDescent="0.2">
      <c r="A149" s="4" t="s">
        <v>181</v>
      </c>
      <c r="B149" s="4" t="s">
        <v>89</v>
      </c>
      <c r="C149">
        <v>1</v>
      </c>
      <c r="F149">
        <v>1</v>
      </c>
      <c r="I149" s="4" t="s">
        <v>1952</v>
      </c>
      <c r="J149" s="4" t="s">
        <v>47</v>
      </c>
      <c r="K149" s="4" t="s">
        <v>2040</v>
      </c>
      <c r="L149" s="4" t="s">
        <v>47</v>
      </c>
      <c r="M149">
        <v>39311</v>
      </c>
      <c r="N149" s="4" t="s">
        <v>2041</v>
      </c>
      <c r="O149" s="4" t="s">
        <v>2042</v>
      </c>
      <c r="P149" s="4" t="s">
        <v>811</v>
      </c>
      <c r="Q149" s="9">
        <v>41816</v>
      </c>
      <c r="R149" s="4" t="s">
        <v>1046</v>
      </c>
      <c r="S149" s="4" t="s">
        <v>1257</v>
      </c>
      <c r="T149" s="4" t="s">
        <v>47</v>
      </c>
      <c r="U149" s="4" t="s">
        <v>12</v>
      </c>
      <c r="V149">
        <v>2014</v>
      </c>
      <c r="W149" s="4" t="s">
        <v>2043</v>
      </c>
      <c r="X149" s="4" t="s">
        <v>2044</v>
      </c>
      <c r="Y149" s="4" t="s">
        <v>2045</v>
      </c>
      <c r="Z149" s="4" t="s">
        <v>2046</v>
      </c>
      <c r="AA149" s="4" t="s">
        <v>47</v>
      </c>
      <c r="AB149" s="4" t="s">
        <v>47</v>
      </c>
      <c r="AC149" s="4" t="s">
        <v>47</v>
      </c>
      <c r="AD149" s="4" t="s">
        <v>47</v>
      </c>
      <c r="AE149" s="4" t="s">
        <v>47</v>
      </c>
      <c r="AF149" s="4" t="s">
        <v>47</v>
      </c>
      <c r="AG149" s="4" t="s">
        <v>47</v>
      </c>
      <c r="AH149" s="4" t="s">
        <v>47</v>
      </c>
      <c r="AI149" s="4" t="s">
        <v>47</v>
      </c>
      <c r="AJ149" s="4" t="s">
        <v>47</v>
      </c>
      <c r="AK149" s="4" t="s">
        <v>47</v>
      </c>
      <c r="AL149" s="4" t="s">
        <v>47</v>
      </c>
      <c r="AM149" s="4" t="s">
        <v>47</v>
      </c>
      <c r="AN149" s="4" t="s">
        <v>47</v>
      </c>
      <c r="AO149" s="4" t="s">
        <v>2047</v>
      </c>
      <c r="AP149" s="4" t="s">
        <v>2048</v>
      </c>
      <c r="AQ149" s="4" t="s">
        <v>2049</v>
      </c>
      <c r="AR149" s="4" t="s">
        <v>2050</v>
      </c>
    </row>
    <row r="150" spans="1:44" x14ac:dyDescent="0.2">
      <c r="A150" s="4" t="s">
        <v>246</v>
      </c>
      <c r="B150" s="4" t="s">
        <v>165</v>
      </c>
      <c r="C150">
        <v>3</v>
      </c>
      <c r="F150">
        <v>1</v>
      </c>
      <c r="I150" s="4" t="s">
        <v>2051</v>
      </c>
      <c r="J150" s="4" t="s">
        <v>47</v>
      </c>
      <c r="K150" s="4" t="s">
        <v>960</v>
      </c>
      <c r="L150" s="4" t="s">
        <v>47</v>
      </c>
      <c r="M150">
        <v>48011</v>
      </c>
      <c r="N150" s="4" t="s">
        <v>1898</v>
      </c>
      <c r="O150" s="4" t="s">
        <v>2052</v>
      </c>
      <c r="P150" s="4" t="s">
        <v>811</v>
      </c>
      <c r="Q150" s="9">
        <v>41815</v>
      </c>
      <c r="R150" s="4" t="s">
        <v>770</v>
      </c>
      <c r="S150" s="4" t="s">
        <v>1917</v>
      </c>
      <c r="T150" s="4" t="s">
        <v>47</v>
      </c>
      <c r="U150" s="4" t="s">
        <v>12</v>
      </c>
      <c r="V150">
        <v>2014</v>
      </c>
      <c r="W150" s="4" t="s">
        <v>2053</v>
      </c>
      <c r="X150" s="4" t="s">
        <v>2054</v>
      </c>
      <c r="Y150" s="4" t="s">
        <v>2055</v>
      </c>
      <c r="Z150" s="4" t="s">
        <v>2056</v>
      </c>
      <c r="AA150" s="4" t="s">
        <v>47</v>
      </c>
      <c r="AB150" s="4" t="s">
        <v>47</v>
      </c>
      <c r="AC150" s="4" t="s">
        <v>47</v>
      </c>
      <c r="AD150" s="4" t="s">
        <v>47</v>
      </c>
      <c r="AE150" s="4" t="s">
        <v>47</v>
      </c>
      <c r="AF150" s="4" t="s">
        <v>47</v>
      </c>
      <c r="AG150" s="4" t="s">
        <v>47</v>
      </c>
      <c r="AH150" s="4" t="s">
        <v>47</v>
      </c>
      <c r="AI150" s="4" t="s">
        <v>47</v>
      </c>
      <c r="AJ150" s="4" t="s">
        <v>47</v>
      </c>
      <c r="AK150" s="4" t="s">
        <v>47</v>
      </c>
      <c r="AL150" s="4" t="s">
        <v>47</v>
      </c>
      <c r="AM150" s="4" t="s">
        <v>47</v>
      </c>
      <c r="AN150" s="4" t="s">
        <v>47</v>
      </c>
      <c r="AO150" s="4" t="s">
        <v>2057</v>
      </c>
      <c r="AP150" s="4" t="s">
        <v>2058</v>
      </c>
      <c r="AQ150" s="4" t="s">
        <v>2059</v>
      </c>
      <c r="AR150" s="4" t="s">
        <v>2060</v>
      </c>
    </row>
    <row r="151" spans="1:44" x14ac:dyDescent="0.2">
      <c r="A151" s="4" t="s">
        <v>177</v>
      </c>
      <c r="B151" s="4" t="s">
        <v>26</v>
      </c>
      <c r="C151">
        <v>2</v>
      </c>
      <c r="F151">
        <v>3</v>
      </c>
      <c r="I151" s="4" t="s">
        <v>1944</v>
      </c>
      <c r="J151" s="4" t="s">
        <v>47</v>
      </c>
      <c r="K151" s="4" t="s">
        <v>1847</v>
      </c>
      <c r="L151" s="4" t="s">
        <v>47</v>
      </c>
      <c r="M151">
        <v>43285</v>
      </c>
      <c r="N151" s="4" t="s">
        <v>1953</v>
      </c>
      <c r="O151" s="4" t="s">
        <v>2061</v>
      </c>
      <c r="P151" s="4" t="s">
        <v>811</v>
      </c>
      <c r="Q151" s="9">
        <v>41815</v>
      </c>
      <c r="R151" s="4" t="s">
        <v>847</v>
      </c>
      <c r="S151" s="4" t="s">
        <v>1850</v>
      </c>
      <c r="T151" s="4" t="s">
        <v>47</v>
      </c>
      <c r="U151" s="4" t="s">
        <v>12</v>
      </c>
      <c r="V151">
        <v>2014</v>
      </c>
      <c r="W151" s="4" t="s">
        <v>2062</v>
      </c>
      <c r="X151" s="4" t="s">
        <v>2063</v>
      </c>
      <c r="Y151" s="4" t="s">
        <v>2064</v>
      </c>
      <c r="Z151" s="4" t="s">
        <v>2065</v>
      </c>
      <c r="AA151" s="4" t="s">
        <v>47</v>
      </c>
      <c r="AB151" s="4" t="s">
        <v>47</v>
      </c>
      <c r="AC151" s="4" t="s">
        <v>47</v>
      </c>
      <c r="AD151" s="4" t="s">
        <v>47</v>
      </c>
      <c r="AE151" s="4" t="s">
        <v>47</v>
      </c>
      <c r="AF151" s="4" t="s">
        <v>47</v>
      </c>
      <c r="AG151" s="4" t="s">
        <v>47</v>
      </c>
      <c r="AH151" s="4" t="s">
        <v>47</v>
      </c>
      <c r="AI151" s="4" t="s">
        <v>47</v>
      </c>
      <c r="AJ151" s="4" t="s">
        <v>47</v>
      </c>
      <c r="AK151" s="4" t="s">
        <v>47</v>
      </c>
      <c r="AL151" s="4" t="s">
        <v>47</v>
      </c>
      <c r="AM151" s="4" t="s">
        <v>47</v>
      </c>
      <c r="AN151" s="4" t="s">
        <v>47</v>
      </c>
      <c r="AO151" s="4" t="s">
        <v>2066</v>
      </c>
      <c r="AP151" s="4" t="s">
        <v>47</v>
      </c>
      <c r="AQ151" s="4" t="s">
        <v>2067</v>
      </c>
      <c r="AR151" s="4" t="s">
        <v>2068</v>
      </c>
    </row>
    <row r="152" spans="1:44" x14ac:dyDescent="0.2">
      <c r="A152" s="4" t="s">
        <v>248</v>
      </c>
      <c r="B152" s="4" t="s">
        <v>118</v>
      </c>
      <c r="C152">
        <v>0</v>
      </c>
      <c r="F152">
        <v>3</v>
      </c>
      <c r="I152" s="4" t="s">
        <v>822</v>
      </c>
      <c r="J152" s="4" t="s">
        <v>47</v>
      </c>
      <c r="K152" s="4" t="s">
        <v>1925</v>
      </c>
      <c r="L152" s="4" t="s">
        <v>47</v>
      </c>
      <c r="M152">
        <v>40322</v>
      </c>
      <c r="N152" s="4" t="s">
        <v>2069</v>
      </c>
      <c r="O152" s="4" t="s">
        <v>2070</v>
      </c>
      <c r="P152" s="4" t="s">
        <v>811</v>
      </c>
      <c r="Q152" s="9">
        <v>41815</v>
      </c>
      <c r="R152" s="4" t="s">
        <v>973</v>
      </c>
      <c r="S152" s="4" t="s">
        <v>1237</v>
      </c>
      <c r="T152" s="4" t="s">
        <v>47</v>
      </c>
      <c r="U152" s="4" t="s">
        <v>12</v>
      </c>
      <c r="V152">
        <v>2014</v>
      </c>
      <c r="W152" s="4" t="s">
        <v>47</v>
      </c>
      <c r="X152" s="4" t="s">
        <v>2071</v>
      </c>
      <c r="Y152" s="4" t="s">
        <v>47</v>
      </c>
      <c r="Z152" s="4" t="s">
        <v>2072</v>
      </c>
      <c r="AA152" s="4" t="s">
        <v>47</v>
      </c>
      <c r="AB152" s="4" t="s">
        <v>47</v>
      </c>
      <c r="AC152" s="4" t="s">
        <v>47</v>
      </c>
      <c r="AD152" s="4" t="s">
        <v>47</v>
      </c>
      <c r="AE152" s="4" t="s">
        <v>47</v>
      </c>
      <c r="AF152" s="4" t="s">
        <v>47</v>
      </c>
      <c r="AG152" s="4" t="s">
        <v>47</v>
      </c>
      <c r="AH152" s="4" t="s">
        <v>47</v>
      </c>
      <c r="AI152" s="4" t="s">
        <v>47</v>
      </c>
      <c r="AJ152" s="4" t="s">
        <v>47</v>
      </c>
      <c r="AK152" s="4" t="s">
        <v>47</v>
      </c>
      <c r="AL152" s="4" t="s">
        <v>47</v>
      </c>
      <c r="AM152" s="4" t="s">
        <v>47</v>
      </c>
      <c r="AN152" s="4" t="s">
        <v>47</v>
      </c>
      <c r="AO152" s="4" t="s">
        <v>2073</v>
      </c>
      <c r="AP152" s="4" t="s">
        <v>47</v>
      </c>
      <c r="AQ152" s="4" t="s">
        <v>2074</v>
      </c>
      <c r="AR152" s="4" t="s">
        <v>2075</v>
      </c>
    </row>
    <row r="153" spans="1:44" x14ac:dyDescent="0.2">
      <c r="A153" s="4" t="s">
        <v>171</v>
      </c>
      <c r="B153" s="4" t="s">
        <v>87</v>
      </c>
      <c r="C153">
        <v>0</v>
      </c>
      <c r="F153">
        <v>0</v>
      </c>
      <c r="I153" s="4" t="s">
        <v>2076</v>
      </c>
      <c r="J153" s="4" t="s">
        <v>47</v>
      </c>
      <c r="K153" s="4" t="s">
        <v>589</v>
      </c>
      <c r="L153" s="4" t="s">
        <v>47</v>
      </c>
      <c r="M153">
        <v>73749</v>
      </c>
      <c r="N153" s="4" t="s">
        <v>1848</v>
      </c>
      <c r="O153" s="4" t="s">
        <v>2077</v>
      </c>
      <c r="P153" s="4" t="s">
        <v>811</v>
      </c>
      <c r="Q153" s="9">
        <v>41815</v>
      </c>
      <c r="R153" s="4" t="s">
        <v>869</v>
      </c>
      <c r="S153" s="4" t="s">
        <v>2078</v>
      </c>
      <c r="T153" s="4" t="s">
        <v>47</v>
      </c>
      <c r="U153" s="4" t="s">
        <v>12</v>
      </c>
      <c r="V153">
        <v>2014</v>
      </c>
      <c r="W153" s="4" t="s">
        <v>47</v>
      </c>
      <c r="X153" s="4" t="s">
        <v>47</v>
      </c>
      <c r="Y153" s="4" t="s">
        <v>47</v>
      </c>
      <c r="Z153" s="4" t="s">
        <v>47</v>
      </c>
      <c r="AA153" s="4" t="s">
        <v>47</v>
      </c>
      <c r="AB153" s="4" t="s">
        <v>47</v>
      </c>
      <c r="AC153" s="4" t="s">
        <v>47</v>
      </c>
      <c r="AD153" s="4" t="s">
        <v>47</v>
      </c>
      <c r="AE153" s="4" t="s">
        <v>47</v>
      </c>
      <c r="AF153" s="4" t="s">
        <v>47</v>
      </c>
      <c r="AG153" s="4" t="s">
        <v>47</v>
      </c>
      <c r="AH153" s="4" t="s">
        <v>47</v>
      </c>
      <c r="AI153" s="4" t="s">
        <v>47</v>
      </c>
      <c r="AJ153" s="4" t="s">
        <v>47</v>
      </c>
      <c r="AK153" s="4" t="s">
        <v>2079</v>
      </c>
      <c r="AL153" s="4" t="s">
        <v>47</v>
      </c>
      <c r="AM153" s="4" t="s">
        <v>47</v>
      </c>
      <c r="AN153" s="4" t="s">
        <v>47</v>
      </c>
      <c r="AO153" s="4" t="s">
        <v>2080</v>
      </c>
      <c r="AP153" s="4" t="s">
        <v>47</v>
      </c>
      <c r="AQ153" s="4" t="s">
        <v>2081</v>
      </c>
      <c r="AR153" s="4" t="s">
        <v>2082</v>
      </c>
    </row>
    <row r="154" spans="1:44" x14ac:dyDescent="0.2">
      <c r="A154" s="4" t="s">
        <v>225</v>
      </c>
      <c r="B154" s="4" t="s">
        <v>52</v>
      </c>
      <c r="C154">
        <v>0</v>
      </c>
      <c r="F154">
        <v>0</v>
      </c>
      <c r="I154" s="4" t="s">
        <v>1897</v>
      </c>
      <c r="J154" s="4" t="s">
        <v>47</v>
      </c>
      <c r="K154" s="4" t="s">
        <v>2083</v>
      </c>
      <c r="L154" s="4" t="s">
        <v>47</v>
      </c>
      <c r="M154">
        <v>57823</v>
      </c>
      <c r="N154" s="4" t="s">
        <v>1878</v>
      </c>
      <c r="O154" s="4" t="s">
        <v>2084</v>
      </c>
      <c r="P154" s="4" t="s">
        <v>811</v>
      </c>
      <c r="Q154" s="9">
        <v>41814</v>
      </c>
      <c r="R154" s="4" t="s">
        <v>869</v>
      </c>
      <c r="S154" s="4" t="s">
        <v>1860</v>
      </c>
      <c r="T154" s="4" t="s">
        <v>47</v>
      </c>
      <c r="U154" s="4" t="s">
        <v>12</v>
      </c>
      <c r="V154">
        <v>2014</v>
      </c>
      <c r="W154" s="4" t="s">
        <v>47</v>
      </c>
      <c r="X154" s="4" t="s">
        <v>47</v>
      </c>
      <c r="Y154" s="4" t="s">
        <v>47</v>
      </c>
      <c r="Z154" s="4" t="s">
        <v>47</v>
      </c>
      <c r="AA154" s="4" t="s">
        <v>47</v>
      </c>
      <c r="AB154" s="4" t="s">
        <v>47</v>
      </c>
      <c r="AC154" s="4" t="s">
        <v>47</v>
      </c>
      <c r="AD154" s="4" t="s">
        <v>47</v>
      </c>
      <c r="AE154" s="4" t="s">
        <v>47</v>
      </c>
      <c r="AF154" s="4" t="s">
        <v>47</v>
      </c>
      <c r="AG154" s="4" t="s">
        <v>47</v>
      </c>
      <c r="AH154" s="4" t="s">
        <v>47</v>
      </c>
      <c r="AI154" s="4" t="s">
        <v>47</v>
      </c>
      <c r="AJ154" s="4" t="s">
        <v>47</v>
      </c>
      <c r="AK154" s="4" t="s">
        <v>47</v>
      </c>
      <c r="AL154" s="4" t="s">
        <v>47</v>
      </c>
      <c r="AM154" s="4" t="s">
        <v>47</v>
      </c>
      <c r="AN154" s="4" t="s">
        <v>47</v>
      </c>
      <c r="AO154" s="4" t="s">
        <v>2085</v>
      </c>
      <c r="AP154" s="4" t="s">
        <v>2086</v>
      </c>
      <c r="AQ154" s="4" t="s">
        <v>2087</v>
      </c>
      <c r="AR154" s="4" t="s">
        <v>2088</v>
      </c>
    </row>
    <row r="155" spans="1:44" x14ac:dyDescent="0.2">
      <c r="A155" s="4" t="s">
        <v>97</v>
      </c>
      <c r="B155" s="4" t="s">
        <v>121</v>
      </c>
      <c r="C155">
        <v>0</v>
      </c>
      <c r="F155">
        <v>1</v>
      </c>
      <c r="I155" s="4" t="s">
        <v>2089</v>
      </c>
      <c r="J155" s="4" t="s">
        <v>47</v>
      </c>
      <c r="K155" s="4" t="s">
        <v>1303</v>
      </c>
      <c r="L155" s="4" t="s">
        <v>47</v>
      </c>
      <c r="M155">
        <v>39706</v>
      </c>
      <c r="N155" s="4" t="s">
        <v>2090</v>
      </c>
      <c r="O155" s="4" t="s">
        <v>1879</v>
      </c>
      <c r="P155" s="4" t="s">
        <v>811</v>
      </c>
      <c r="Q155" s="9">
        <v>41814</v>
      </c>
      <c r="R155" s="4" t="s">
        <v>963</v>
      </c>
      <c r="S155" s="4" t="s">
        <v>1881</v>
      </c>
      <c r="T155" s="4" t="s">
        <v>47</v>
      </c>
      <c r="U155" s="4" t="s">
        <v>12</v>
      </c>
      <c r="V155">
        <v>2014</v>
      </c>
      <c r="W155" s="4" t="s">
        <v>47</v>
      </c>
      <c r="X155" s="4" t="s">
        <v>2091</v>
      </c>
      <c r="Y155" s="4" t="s">
        <v>47</v>
      </c>
      <c r="Z155" s="4" t="s">
        <v>2092</v>
      </c>
      <c r="AA155" s="4" t="s">
        <v>47</v>
      </c>
      <c r="AB155" s="4" t="s">
        <v>47</v>
      </c>
      <c r="AC155" s="4" t="s">
        <v>47</v>
      </c>
      <c r="AD155" s="4" t="s">
        <v>47</v>
      </c>
      <c r="AE155" s="4" t="s">
        <v>47</v>
      </c>
      <c r="AF155" s="4" t="s">
        <v>47</v>
      </c>
      <c r="AG155" s="4" t="s">
        <v>47</v>
      </c>
      <c r="AH155" s="4" t="s">
        <v>47</v>
      </c>
      <c r="AI155" s="4" t="s">
        <v>47</v>
      </c>
      <c r="AJ155" s="4" t="s">
        <v>47</v>
      </c>
      <c r="AK155" s="4" t="s">
        <v>2093</v>
      </c>
      <c r="AL155" s="4" t="s">
        <v>47</v>
      </c>
      <c r="AM155" s="4" t="s">
        <v>47</v>
      </c>
      <c r="AN155" s="4" t="s">
        <v>47</v>
      </c>
      <c r="AO155" s="4" t="s">
        <v>2094</v>
      </c>
      <c r="AP155" s="4" t="s">
        <v>2095</v>
      </c>
      <c r="AQ155" s="4" t="s">
        <v>2096</v>
      </c>
      <c r="AR155" s="4" t="s">
        <v>2097</v>
      </c>
    </row>
    <row r="156" spans="1:44" x14ac:dyDescent="0.2">
      <c r="A156" s="4" t="s">
        <v>161</v>
      </c>
      <c r="B156" s="4" t="s">
        <v>153</v>
      </c>
      <c r="C156">
        <v>1</v>
      </c>
      <c r="F156">
        <v>4</v>
      </c>
      <c r="I156" s="4" t="s">
        <v>2098</v>
      </c>
      <c r="J156" s="4" t="s">
        <v>47</v>
      </c>
      <c r="K156" s="4" t="s">
        <v>1336</v>
      </c>
      <c r="L156" s="4" t="s">
        <v>47</v>
      </c>
      <c r="M156">
        <v>40340</v>
      </c>
      <c r="N156" s="4" t="s">
        <v>2099</v>
      </c>
      <c r="O156" s="4" t="s">
        <v>2100</v>
      </c>
      <c r="P156" s="4" t="s">
        <v>811</v>
      </c>
      <c r="Q156" s="9">
        <v>41814</v>
      </c>
      <c r="R156" s="4" t="s">
        <v>2101</v>
      </c>
      <c r="S156" s="4" t="s">
        <v>1965</v>
      </c>
      <c r="T156" s="4" t="s">
        <v>47</v>
      </c>
      <c r="U156" s="4" t="s">
        <v>12</v>
      </c>
      <c r="V156">
        <v>2014</v>
      </c>
      <c r="W156" s="4" t="s">
        <v>2102</v>
      </c>
      <c r="X156" s="4" t="s">
        <v>2103</v>
      </c>
      <c r="Y156" s="4" t="s">
        <v>2104</v>
      </c>
      <c r="Z156" s="4" t="s">
        <v>2105</v>
      </c>
      <c r="AA156" s="4" t="s">
        <v>47</v>
      </c>
      <c r="AB156" s="4" t="s">
        <v>47</v>
      </c>
      <c r="AC156" s="4" t="s">
        <v>47</v>
      </c>
      <c r="AD156" s="4" t="s">
        <v>2106</v>
      </c>
      <c r="AE156" s="4" t="s">
        <v>47</v>
      </c>
      <c r="AF156" s="4" t="s">
        <v>47</v>
      </c>
      <c r="AG156" s="4" t="s">
        <v>47</v>
      </c>
      <c r="AH156" s="4" t="s">
        <v>47</v>
      </c>
      <c r="AI156" s="4" t="s">
        <v>47</v>
      </c>
      <c r="AJ156" s="4" t="s">
        <v>47</v>
      </c>
      <c r="AK156" s="4" t="s">
        <v>47</v>
      </c>
      <c r="AL156" s="4" t="s">
        <v>47</v>
      </c>
      <c r="AM156" s="4" t="s">
        <v>47</v>
      </c>
      <c r="AN156" s="4" t="s">
        <v>47</v>
      </c>
      <c r="AO156" s="4" t="s">
        <v>2107</v>
      </c>
      <c r="AP156" s="4" t="s">
        <v>2108</v>
      </c>
      <c r="AQ156" s="4" t="s">
        <v>2109</v>
      </c>
      <c r="AR156" s="4" t="s">
        <v>2110</v>
      </c>
    </row>
    <row r="157" spans="1:44" x14ac:dyDescent="0.2">
      <c r="A157" s="4" t="s">
        <v>217</v>
      </c>
      <c r="B157" s="4" t="s">
        <v>190</v>
      </c>
      <c r="C157">
        <v>2</v>
      </c>
      <c r="F157">
        <v>1</v>
      </c>
      <c r="I157" s="4" t="s">
        <v>647</v>
      </c>
      <c r="J157" s="4" t="s">
        <v>47</v>
      </c>
      <c r="K157" s="4" t="s">
        <v>2111</v>
      </c>
      <c r="L157" s="4" t="s">
        <v>47</v>
      </c>
      <c r="M157">
        <v>59095</v>
      </c>
      <c r="N157" s="4" t="s">
        <v>1915</v>
      </c>
      <c r="O157" s="4" t="s">
        <v>2112</v>
      </c>
      <c r="P157" s="4" t="s">
        <v>811</v>
      </c>
      <c r="Q157" s="9">
        <v>41814</v>
      </c>
      <c r="R157" s="4" t="s">
        <v>617</v>
      </c>
      <c r="S157" s="4" t="s">
        <v>2113</v>
      </c>
      <c r="T157" s="4" t="s">
        <v>47</v>
      </c>
      <c r="U157" s="4" t="s">
        <v>12</v>
      </c>
      <c r="V157">
        <v>2014</v>
      </c>
      <c r="W157" s="4" t="s">
        <v>2114</v>
      </c>
      <c r="X157" s="4" t="s">
        <v>2115</v>
      </c>
      <c r="Y157" s="4" t="s">
        <v>2116</v>
      </c>
      <c r="Z157" s="4" t="s">
        <v>2117</v>
      </c>
      <c r="AA157" s="4" t="s">
        <v>47</v>
      </c>
      <c r="AB157" s="4" t="s">
        <v>47</v>
      </c>
      <c r="AC157" s="4" t="s">
        <v>2118</v>
      </c>
      <c r="AD157" s="4" t="s">
        <v>47</v>
      </c>
      <c r="AE157" s="4" t="s">
        <v>47</v>
      </c>
      <c r="AF157" s="4" t="s">
        <v>47</v>
      </c>
      <c r="AG157" s="4" t="s">
        <v>47</v>
      </c>
      <c r="AH157" s="4" t="s">
        <v>47</v>
      </c>
      <c r="AI157" s="4" t="s">
        <v>47</v>
      </c>
      <c r="AJ157" s="4" t="s">
        <v>47</v>
      </c>
      <c r="AK157" s="4" t="s">
        <v>47</v>
      </c>
      <c r="AL157" s="4" t="s">
        <v>47</v>
      </c>
      <c r="AM157" s="4" t="s">
        <v>47</v>
      </c>
      <c r="AN157" s="4" t="s">
        <v>47</v>
      </c>
      <c r="AO157" s="4" t="s">
        <v>47</v>
      </c>
      <c r="AP157" s="4" t="s">
        <v>2119</v>
      </c>
      <c r="AQ157" s="4" t="s">
        <v>2120</v>
      </c>
      <c r="AR157" s="4" t="s">
        <v>2121</v>
      </c>
    </row>
    <row r="158" spans="1:44" x14ac:dyDescent="0.2">
      <c r="A158" s="4" t="s">
        <v>179</v>
      </c>
      <c r="B158" s="4" t="s">
        <v>20</v>
      </c>
      <c r="C158">
        <v>0</v>
      </c>
      <c r="F158">
        <v>3</v>
      </c>
      <c r="I158" s="4" t="s">
        <v>2122</v>
      </c>
      <c r="J158" s="4" t="s">
        <v>47</v>
      </c>
      <c r="K158" s="4" t="s">
        <v>2123</v>
      </c>
      <c r="L158" s="4" t="s">
        <v>47</v>
      </c>
      <c r="M158">
        <v>39375</v>
      </c>
      <c r="N158" s="4" t="s">
        <v>2041</v>
      </c>
      <c r="O158" s="4" t="s">
        <v>2124</v>
      </c>
      <c r="P158" s="4" t="s">
        <v>811</v>
      </c>
      <c r="Q158" s="9">
        <v>41813</v>
      </c>
      <c r="R158" s="4" t="s">
        <v>973</v>
      </c>
      <c r="S158" s="4" t="s">
        <v>1456</v>
      </c>
      <c r="T158" s="4" t="s">
        <v>47</v>
      </c>
      <c r="U158" s="4" t="s">
        <v>12</v>
      </c>
      <c r="V158">
        <v>2014</v>
      </c>
      <c r="W158" s="4" t="s">
        <v>47</v>
      </c>
      <c r="X158" s="4" t="s">
        <v>2125</v>
      </c>
      <c r="Y158" s="4" t="s">
        <v>47</v>
      </c>
      <c r="Z158" s="4" t="s">
        <v>2126</v>
      </c>
      <c r="AA158" s="4" t="s">
        <v>47</v>
      </c>
      <c r="AB158" s="4" t="s">
        <v>47</v>
      </c>
      <c r="AC158" s="4" t="s">
        <v>47</v>
      </c>
      <c r="AD158" s="4" t="s">
        <v>47</v>
      </c>
      <c r="AE158" s="4" t="s">
        <v>47</v>
      </c>
      <c r="AF158" s="4" t="s">
        <v>47</v>
      </c>
      <c r="AG158" s="4" t="s">
        <v>47</v>
      </c>
      <c r="AH158" s="4" t="s">
        <v>47</v>
      </c>
      <c r="AI158" s="4" t="s">
        <v>47</v>
      </c>
      <c r="AJ158" s="4" t="s">
        <v>47</v>
      </c>
      <c r="AK158" s="4" t="s">
        <v>47</v>
      </c>
      <c r="AL158" s="4" t="s">
        <v>47</v>
      </c>
      <c r="AM158" s="4" t="s">
        <v>47</v>
      </c>
      <c r="AN158" s="4" t="s">
        <v>47</v>
      </c>
      <c r="AO158" s="4" t="s">
        <v>2127</v>
      </c>
      <c r="AP158" s="4" t="s">
        <v>2128</v>
      </c>
      <c r="AQ158" s="4" t="s">
        <v>2129</v>
      </c>
      <c r="AR158" s="4" t="s">
        <v>2130</v>
      </c>
    </row>
    <row r="159" spans="1:44" x14ac:dyDescent="0.2">
      <c r="A159" s="4" t="s">
        <v>95</v>
      </c>
      <c r="B159" s="4" t="s">
        <v>113</v>
      </c>
      <c r="C159">
        <v>2</v>
      </c>
      <c r="F159">
        <v>0</v>
      </c>
      <c r="I159" s="4" t="s">
        <v>692</v>
      </c>
      <c r="J159" s="4" t="s">
        <v>47</v>
      </c>
      <c r="K159" s="4" t="s">
        <v>1404</v>
      </c>
      <c r="L159" s="4" t="s">
        <v>47</v>
      </c>
      <c r="M159">
        <v>62996</v>
      </c>
      <c r="N159" s="4" t="s">
        <v>1868</v>
      </c>
      <c r="O159" s="4" t="s">
        <v>2131</v>
      </c>
      <c r="P159" s="4" t="s">
        <v>811</v>
      </c>
      <c r="Q159" s="9">
        <v>41813</v>
      </c>
      <c r="R159" s="4" t="s">
        <v>630</v>
      </c>
      <c r="S159" s="4" t="s">
        <v>954</v>
      </c>
      <c r="T159" s="4" t="s">
        <v>47</v>
      </c>
      <c r="U159" s="4" t="s">
        <v>12</v>
      </c>
      <c r="V159">
        <v>2014</v>
      </c>
      <c r="W159" s="4" t="s">
        <v>2132</v>
      </c>
      <c r="X159" s="4" t="s">
        <v>47</v>
      </c>
      <c r="Y159" s="4" t="s">
        <v>2133</v>
      </c>
      <c r="Z159" s="4" t="s">
        <v>47</v>
      </c>
      <c r="AA159" s="4" t="s">
        <v>47</v>
      </c>
      <c r="AB159" s="4" t="s">
        <v>47</v>
      </c>
      <c r="AC159" s="4" t="s">
        <v>47</v>
      </c>
      <c r="AD159" s="4" t="s">
        <v>47</v>
      </c>
      <c r="AE159" s="4" t="s">
        <v>47</v>
      </c>
      <c r="AF159" s="4" t="s">
        <v>47</v>
      </c>
      <c r="AG159" s="4" t="s">
        <v>47</v>
      </c>
      <c r="AH159" s="4" t="s">
        <v>47</v>
      </c>
      <c r="AI159" s="4" t="s">
        <v>47</v>
      </c>
      <c r="AJ159" s="4" t="s">
        <v>47</v>
      </c>
      <c r="AK159" s="4" t="s">
        <v>47</v>
      </c>
      <c r="AL159" s="4" t="s">
        <v>47</v>
      </c>
      <c r="AM159" s="4" t="s">
        <v>47</v>
      </c>
      <c r="AN159" s="4" t="s">
        <v>47</v>
      </c>
      <c r="AO159" s="4" t="s">
        <v>2134</v>
      </c>
      <c r="AP159" s="4" t="s">
        <v>2135</v>
      </c>
      <c r="AQ159" s="4" t="s">
        <v>2136</v>
      </c>
      <c r="AR159" s="4" t="s">
        <v>2137</v>
      </c>
    </row>
    <row r="160" spans="1:44" x14ac:dyDescent="0.2">
      <c r="A160" s="4" t="s">
        <v>90</v>
      </c>
      <c r="B160" s="4" t="s">
        <v>106</v>
      </c>
      <c r="C160">
        <v>1</v>
      </c>
      <c r="F160">
        <v>3</v>
      </c>
      <c r="I160" s="4" t="s">
        <v>2138</v>
      </c>
      <c r="J160" s="4" t="s">
        <v>47</v>
      </c>
      <c r="K160" s="4" t="s">
        <v>1963</v>
      </c>
      <c r="L160" s="4" t="s">
        <v>47</v>
      </c>
      <c r="M160">
        <v>41212</v>
      </c>
      <c r="N160" s="4" t="s">
        <v>1974</v>
      </c>
      <c r="O160" s="4" t="s">
        <v>2013</v>
      </c>
      <c r="P160" s="4" t="s">
        <v>811</v>
      </c>
      <c r="Q160" s="9">
        <v>41813</v>
      </c>
      <c r="R160" s="4" t="s">
        <v>1098</v>
      </c>
      <c r="S160" s="4" t="s">
        <v>1568</v>
      </c>
      <c r="T160" s="4" t="s">
        <v>47</v>
      </c>
      <c r="U160" s="4" t="s">
        <v>12</v>
      </c>
      <c r="V160">
        <v>2014</v>
      </c>
      <c r="W160" s="4" t="s">
        <v>2139</v>
      </c>
      <c r="X160" s="4" t="s">
        <v>2140</v>
      </c>
      <c r="Y160" s="4" t="s">
        <v>2141</v>
      </c>
      <c r="Z160" s="4" t="s">
        <v>2142</v>
      </c>
      <c r="AA160" s="4" t="s">
        <v>47</v>
      </c>
      <c r="AB160" s="4" t="s">
        <v>47</v>
      </c>
      <c r="AC160" s="4" t="s">
        <v>47</v>
      </c>
      <c r="AD160" s="4" t="s">
        <v>47</v>
      </c>
      <c r="AE160" s="4" t="s">
        <v>47</v>
      </c>
      <c r="AF160" s="4" t="s">
        <v>47</v>
      </c>
      <c r="AG160" s="4" t="s">
        <v>47</v>
      </c>
      <c r="AH160" s="4" t="s">
        <v>47</v>
      </c>
      <c r="AI160" s="4" t="s">
        <v>47</v>
      </c>
      <c r="AJ160" s="4" t="s">
        <v>47</v>
      </c>
      <c r="AK160" s="4" t="s">
        <v>2143</v>
      </c>
      <c r="AL160" s="4" t="s">
        <v>47</v>
      </c>
      <c r="AM160" s="4" t="s">
        <v>47</v>
      </c>
      <c r="AN160" s="4" t="s">
        <v>47</v>
      </c>
      <c r="AO160" s="4" t="s">
        <v>2144</v>
      </c>
      <c r="AP160" s="4" t="s">
        <v>2145</v>
      </c>
      <c r="AQ160" s="4" t="s">
        <v>2146</v>
      </c>
      <c r="AR160" s="4" t="s">
        <v>2147</v>
      </c>
    </row>
    <row r="161" spans="1:44" x14ac:dyDescent="0.2">
      <c r="A161" s="4" t="s">
        <v>209</v>
      </c>
      <c r="B161" s="4" t="s">
        <v>12</v>
      </c>
      <c r="C161">
        <v>1</v>
      </c>
      <c r="F161">
        <v>4</v>
      </c>
      <c r="I161" s="4" t="s">
        <v>2148</v>
      </c>
      <c r="J161" s="4" t="s">
        <v>47</v>
      </c>
      <c r="K161" s="4" t="s">
        <v>1857</v>
      </c>
      <c r="L161" s="4" t="s">
        <v>47</v>
      </c>
      <c r="M161">
        <v>69112</v>
      </c>
      <c r="N161" s="4" t="s">
        <v>1858</v>
      </c>
      <c r="O161" s="4" t="s">
        <v>1926</v>
      </c>
      <c r="P161" s="4" t="s">
        <v>811</v>
      </c>
      <c r="Q161" s="9">
        <v>41813</v>
      </c>
      <c r="R161" s="4" t="s">
        <v>2101</v>
      </c>
      <c r="S161" s="4" t="s">
        <v>1927</v>
      </c>
      <c r="T161" s="4" t="s">
        <v>47</v>
      </c>
      <c r="U161" s="4" t="s">
        <v>12</v>
      </c>
      <c r="V161">
        <v>2014</v>
      </c>
      <c r="W161" s="4" t="s">
        <v>2149</v>
      </c>
      <c r="X161" s="4" t="s">
        <v>2150</v>
      </c>
      <c r="Y161" s="4" t="s">
        <v>2151</v>
      </c>
      <c r="Z161" s="4" t="s">
        <v>2152</v>
      </c>
      <c r="AA161" s="4" t="s">
        <v>47</v>
      </c>
      <c r="AB161" s="4" t="s">
        <v>47</v>
      </c>
      <c r="AC161" s="4" t="s">
        <v>47</v>
      </c>
      <c r="AD161" s="4" t="s">
        <v>47</v>
      </c>
      <c r="AE161" s="4" t="s">
        <v>47</v>
      </c>
      <c r="AF161" s="4" t="s">
        <v>47</v>
      </c>
      <c r="AG161" s="4" t="s">
        <v>47</v>
      </c>
      <c r="AH161" s="4" t="s">
        <v>47</v>
      </c>
      <c r="AI161" s="4" t="s">
        <v>47</v>
      </c>
      <c r="AJ161" s="4" t="s">
        <v>47</v>
      </c>
      <c r="AK161" s="4" t="s">
        <v>47</v>
      </c>
      <c r="AL161" s="4" t="s">
        <v>47</v>
      </c>
      <c r="AM161" s="4" t="s">
        <v>47</v>
      </c>
      <c r="AN161" s="4" t="s">
        <v>47</v>
      </c>
      <c r="AO161" s="4" t="s">
        <v>2153</v>
      </c>
      <c r="AP161" s="4" t="s">
        <v>47</v>
      </c>
      <c r="AQ161" s="4" t="s">
        <v>2154</v>
      </c>
      <c r="AR161" s="4" t="s">
        <v>2155</v>
      </c>
    </row>
    <row r="162" spans="1:44" x14ac:dyDescent="0.2">
      <c r="A162" s="4" t="s">
        <v>148</v>
      </c>
      <c r="B162" s="4" t="s">
        <v>89</v>
      </c>
      <c r="C162">
        <v>1</v>
      </c>
      <c r="F162">
        <v>0</v>
      </c>
      <c r="I162" s="4" t="s">
        <v>1889</v>
      </c>
      <c r="J162" s="4" t="s">
        <v>47</v>
      </c>
      <c r="K162" s="4" t="s">
        <v>2040</v>
      </c>
      <c r="L162" s="4" t="s">
        <v>47</v>
      </c>
      <c r="M162">
        <v>73819</v>
      </c>
      <c r="N162" s="4" t="s">
        <v>1848</v>
      </c>
      <c r="O162" s="4" t="s">
        <v>2156</v>
      </c>
      <c r="P162" s="4" t="s">
        <v>811</v>
      </c>
      <c r="Q162" s="9">
        <v>41812</v>
      </c>
      <c r="R162" s="4" t="s">
        <v>652</v>
      </c>
      <c r="S162" s="4" t="s">
        <v>1659</v>
      </c>
      <c r="T162" s="4" t="s">
        <v>47</v>
      </c>
      <c r="U162" s="4" t="s">
        <v>12</v>
      </c>
      <c r="V162">
        <v>2014</v>
      </c>
      <c r="W162" s="4" t="s">
        <v>2157</v>
      </c>
      <c r="X162" s="4" t="s">
        <v>47</v>
      </c>
      <c r="Y162" s="4" t="s">
        <v>2158</v>
      </c>
      <c r="Z162" s="4" t="s">
        <v>47</v>
      </c>
      <c r="AA162" s="4" t="s">
        <v>47</v>
      </c>
      <c r="AB162" s="4" t="s">
        <v>47</v>
      </c>
      <c r="AC162" s="4" t="s">
        <v>47</v>
      </c>
      <c r="AD162" s="4" t="s">
        <v>47</v>
      </c>
      <c r="AE162" s="4" t="s">
        <v>47</v>
      </c>
      <c r="AF162" s="4" t="s">
        <v>47</v>
      </c>
      <c r="AG162" s="4" t="s">
        <v>47</v>
      </c>
      <c r="AH162" s="4" t="s">
        <v>47</v>
      </c>
      <c r="AI162" s="4" t="s">
        <v>47</v>
      </c>
      <c r="AJ162" s="4" t="s">
        <v>47</v>
      </c>
      <c r="AK162" s="4" t="s">
        <v>47</v>
      </c>
      <c r="AL162" s="4" t="s">
        <v>47</v>
      </c>
      <c r="AM162" s="4" t="s">
        <v>47</v>
      </c>
      <c r="AN162" s="4" t="s">
        <v>47</v>
      </c>
      <c r="AO162" s="4" t="s">
        <v>2159</v>
      </c>
      <c r="AP162" s="4" t="s">
        <v>2160</v>
      </c>
      <c r="AQ162" s="4" t="s">
        <v>2161</v>
      </c>
      <c r="AR162" s="4" t="s">
        <v>2162</v>
      </c>
    </row>
    <row r="163" spans="1:44" x14ac:dyDescent="0.2">
      <c r="A163" s="4" t="s">
        <v>175</v>
      </c>
      <c r="B163" s="4" t="s">
        <v>181</v>
      </c>
      <c r="C163">
        <v>2</v>
      </c>
      <c r="F163">
        <v>4</v>
      </c>
      <c r="I163" s="4" t="s">
        <v>2031</v>
      </c>
      <c r="J163" s="4" t="s">
        <v>47</v>
      </c>
      <c r="K163" s="4" t="s">
        <v>1952</v>
      </c>
      <c r="L163" s="4" t="s">
        <v>47</v>
      </c>
      <c r="M163">
        <v>42732</v>
      </c>
      <c r="N163" s="4" t="s">
        <v>1953</v>
      </c>
      <c r="O163" s="4" t="s">
        <v>2163</v>
      </c>
      <c r="P163" s="4" t="s">
        <v>811</v>
      </c>
      <c r="Q163" s="9">
        <v>41812</v>
      </c>
      <c r="R163" s="4" t="s">
        <v>879</v>
      </c>
      <c r="S163" s="4" t="s">
        <v>1548</v>
      </c>
      <c r="T163" s="4" t="s">
        <v>47</v>
      </c>
      <c r="U163" s="4" t="s">
        <v>12</v>
      </c>
      <c r="V163">
        <v>2014</v>
      </c>
      <c r="W163" s="4" t="s">
        <v>2164</v>
      </c>
      <c r="X163" s="4" t="s">
        <v>2165</v>
      </c>
      <c r="Y163" s="4" t="s">
        <v>2166</v>
      </c>
      <c r="Z163" s="4" t="s">
        <v>2167</v>
      </c>
      <c r="AA163" s="4" t="s">
        <v>47</v>
      </c>
      <c r="AB163" s="4" t="s">
        <v>47</v>
      </c>
      <c r="AC163" s="4" t="s">
        <v>47</v>
      </c>
      <c r="AD163" s="4" t="s">
        <v>47</v>
      </c>
      <c r="AE163" s="4" t="s">
        <v>47</v>
      </c>
      <c r="AF163" s="4" t="s">
        <v>47</v>
      </c>
      <c r="AG163" s="4" t="s">
        <v>47</v>
      </c>
      <c r="AH163" s="4" t="s">
        <v>47</v>
      </c>
      <c r="AI163" s="4" t="s">
        <v>47</v>
      </c>
      <c r="AJ163" s="4" t="s">
        <v>47</v>
      </c>
      <c r="AK163" s="4" t="s">
        <v>47</v>
      </c>
      <c r="AL163" s="4" t="s">
        <v>47</v>
      </c>
      <c r="AM163" s="4" t="s">
        <v>47</v>
      </c>
      <c r="AN163" s="4" t="s">
        <v>47</v>
      </c>
      <c r="AO163" s="4" t="s">
        <v>2168</v>
      </c>
      <c r="AP163" s="4" t="s">
        <v>2169</v>
      </c>
      <c r="AQ163" s="4" t="s">
        <v>2170</v>
      </c>
      <c r="AR163" s="4" t="s">
        <v>2171</v>
      </c>
    </row>
    <row r="164" spans="1:44" x14ac:dyDescent="0.2">
      <c r="A164" s="4" t="s">
        <v>102</v>
      </c>
      <c r="B164" s="4" t="s">
        <v>141</v>
      </c>
      <c r="C164">
        <v>2</v>
      </c>
      <c r="F164">
        <v>2</v>
      </c>
      <c r="I164" s="4" t="s">
        <v>1934</v>
      </c>
      <c r="J164" s="4" t="s">
        <v>47</v>
      </c>
      <c r="K164" s="4" t="s">
        <v>753</v>
      </c>
      <c r="L164" s="4" t="s">
        <v>47</v>
      </c>
      <c r="M164">
        <v>40123</v>
      </c>
      <c r="N164" s="4" t="s">
        <v>2069</v>
      </c>
      <c r="O164" s="4" t="s">
        <v>2172</v>
      </c>
      <c r="P164" s="4" t="s">
        <v>811</v>
      </c>
      <c r="Q164" s="9">
        <v>41812</v>
      </c>
      <c r="R164" s="4" t="s">
        <v>1487</v>
      </c>
      <c r="S164" s="4" t="s">
        <v>1237</v>
      </c>
      <c r="T164" s="4" t="s">
        <v>47</v>
      </c>
      <c r="U164" s="4" t="s">
        <v>12</v>
      </c>
      <c r="V164">
        <v>2014</v>
      </c>
      <c r="W164" s="4" t="s">
        <v>2173</v>
      </c>
      <c r="X164" s="4" t="s">
        <v>2174</v>
      </c>
      <c r="Y164" s="4" t="s">
        <v>2175</v>
      </c>
      <c r="Z164" s="4" t="s">
        <v>2176</v>
      </c>
      <c r="AA164" s="4" t="s">
        <v>47</v>
      </c>
      <c r="AB164" s="4" t="s">
        <v>47</v>
      </c>
      <c r="AC164" s="4" t="s">
        <v>47</v>
      </c>
      <c r="AD164" s="4" t="s">
        <v>47</v>
      </c>
      <c r="AE164" s="4" t="s">
        <v>47</v>
      </c>
      <c r="AF164" s="4" t="s">
        <v>47</v>
      </c>
      <c r="AG164" s="4" t="s">
        <v>47</v>
      </c>
      <c r="AH164" s="4" t="s">
        <v>47</v>
      </c>
      <c r="AI164" s="4" t="s">
        <v>47</v>
      </c>
      <c r="AJ164" s="4" t="s">
        <v>47</v>
      </c>
      <c r="AK164" s="4" t="s">
        <v>47</v>
      </c>
      <c r="AL164" s="4" t="s">
        <v>47</v>
      </c>
      <c r="AM164" s="4" t="s">
        <v>47</v>
      </c>
      <c r="AN164" s="4" t="s">
        <v>47</v>
      </c>
      <c r="AO164" s="4" t="s">
        <v>2177</v>
      </c>
      <c r="AP164" s="4" t="s">
        <v>47</v>
      </c>
      <c r="AQ164" s="4" t="s">
        <v>2178</v>
      </c>
      <c r="AR164" s="4" t="s">
        <v>2179</v>
      </c>
    </row>
    <row r="165" spans="1:44" x14ac:dyDescent="0.2">
      <c r="A165" s="4" t="s">
        <v>26</v>
      </c>
      <c r="B165" s="4" t="s">
        <v>165</v>
      </c>
      <c r="C165">
        <v>1</v>
      </c>
      <c r="F165">
        <v>0</v>
      </c>
      <c r="I165" s="4" t="s">
        <v>1847</v>
      </c>
      <c r="J165" s="4" t="s">
        <v>47</v>
      </c>
      <c r="K165" s="4" t="s">
        <v>960</v>
      </c>
      <c r="L165" s="4" t="s">
        <v>47</v>
      </c>
      <c r="M165">
        <v>57698</v>
      </c>
      <c r="N165" s="4" t="s">
        <v>1878</v>
      </c>
      <c r="O165" s="4" t="s">
        <v>2180</v>
      </c>
      <c r="P165" s="4" t="s">
        <v>811</v>
      </c>
      <c r="Q165" s="9">
        <v>41811</v>
      </c>
      <c r="R165" s="4" t="s">
        <v>652</v>
      </c>
      <c r="S165" s="4" t="s">
        <v>1315</v>
      </c>
      <c r="T165" s="4" t="s">
        <v>47</v>
      </c>
      <c r="U165" s="4" t="s">
        <v>12</v>
      </c>
      <c r="V165">
        <v>2014</v>
      </c>
      <c r="W165" s="4" t="s">
        <v>2181</v>
      </c>
      <c r="X165" s="4" t="s">
        <v>47</v>
      </c>
      <c r="Y165" s="4" t="s">
        <v>2182</v>
      </c>
      <c r="Z165" s="4" t="s">
        <v>47</v>
      </c>
      <c r="AA165" s="4" t="s">
        <v>47</v>
      </c>
      <c r="AB165" s="4" t="s">
        <v>47</v>
      </c>
      <c r="AC165" s="4" t="s">
        <v>47</v>
      </c>
      <c r="AD165" s="4" t="s">
        <v>47</v>
      </c>
      <c r="AE165" s="4" t="s">
        <v>47</v>
      </c>
      <c r="AF165" s="4" t="s">
        <v>47</v>
      </c>
      <c r="AG165" s="4" t="s">
        <v>47</v>
      </c>
      <c r="AH165" s="4" t="s">
        <v>47</v>
      </c>
      <c r="AI165" s="4" t="s">
        <v>47</v>
      </c>
      <c r="AJ165" s="4" t="s">
        <v>47</v>
      </c>
      <c r="AK165" s="4" t="s">
        <v>47</v>
      </c>
      <c r="AL165" s="4" t="s">
        <v>47</v>
      </c>
      <c r="AM165" s="4" t="s">
        <v>47</v>
      </c>
      <c r="AN165" s="4" t="s">
        <v>47</v>
      </c>
      <c r="AO165" s="4" t="s">
        <v>47</v>
      </c>
      <c r="AP165" s="4" t="s">
        <v>2183</v>
      </c>
      <c r="AQ165" s="4" t="s">
        <v>2184</v>
      </c>
      <c r="AR165" s="4" t="s">
        <v>2185</v>
      </c>
    </row>
    <row r="166" spans="1:44" x14ac:dyDescent="0.2">
      <c r="A166" s="4" t="s">
        <v>92</v>
      </c>
      <c r="B166" s="4" t="s">
        <v>264</v>
      </c>
      <c r="C166">
        <v>2</v>
      </c>
      <c r="F166">
        <v>2</v>
      </c>
      <c r="I166" s="4" t="s">
        <v>1465</v>
      </c>
      <c r="J166" s="4" t="s">
        <v>47</v>
      </c>
      <c r="K166" s="4" t="s">
        <v>2020</v>
      </c>
      <c r="L166" s="4" t="s">
        <v>47</v>
      </c>
      <c r="M166">
        <v>59621</v>
      </c>
      <c r="N166" s="4" t="s">
        <v>1915</v>
      </c>
      <c r="O166" s="4" t="s">
        <v>2186</v>
      </c>
      <c r="P166" s="4" t="s">
        <v>811</v>
      </c>
      <c r="Q166" s="9">
        <v>41811</v>
      </c>
      <c r="R166" s="4" t="s">
        <v>1487</v>
      </c>
      <c r="S166" s="4" t="s">
        <v>1290</v>
      </c>
      <c r="T166" s="4" t="s">
        <v>47</v>
      </c>
      <c r="U166" s="4" t="s">
        <v>12</v>
      </c>
      <c r="V166">
        <v>2014</v>
      </c>
      <c r="W166" s="4" t="s">
        <v>2187</v>
      </c>
      <c r="X166" s="4" t="s">
        <v>2188</v>
      </c>
      <c r="Y166" s="4" t="s">
        <v>2189</v>
      </c>
      <c r="Z166" s="4" t="s">
        <v>2190</v>
      </c>
      <c r="AA166" s="4" t="s">
        <v>47</v>
      </c>
      <c r="AB166" s="4" t="s">
        <v>47</v>
      </c>
      <c r="AC166" s="4" t="s">
        <v>47</v>
      </c>
      <c r="AD166" s="4" t="s">
        <v>47</v>
      </c>
      <c r="AE166" s="4" t="s">
        <v>47</v>
      </c>
      <c r="AF166" s="4" t="s">
        <v>47</v>
      </c>
      <c r="AG166" s="4" t="s">
        <v>47</v>
      </c>
      <c r="AH166" s="4" t="s">
        <v>47</v>
      </c>
      <c r="AI166" s="4" t="s">
        <v>47</v>
      </c>
      <c r="AJ166" s="4" t="s">
        <v>47</v>
      </c>
      <c r="AK166" s="4" t="s">
        <v>47</v>
      </c>
      <c r="AL166" s="4" t="s">
        <v>47</v>
      </c>
      <c r="AM166" s="4" t="s">
        <v>47</v>
      </c>
      <c r="AN166" s="4" t="s">
        <v>47</v>
      </c>
      <c r="AO166" s="4" t="s">
        <v>47</v>
      </c>
      <c r="AP166" s="4" t="s">
        <v>2191</v>
      </c>
      <c r="AQ166" s="4" t="s">
        <v>2192</v>
      </c>
      <c r="AR166" s="4" t="s">
        <v>2193</v>
      </c>
    </row>
    <row r="167" spans="1:44" x14ac:dyDescent="0.2">
      <c r="A167" s="4" t="s">
        <v>177</v>
      </c>
      <c r="B167" s="4" t="s">
        <v>246</v>
      </c>
      <c r="C167">
        <v>1</v>
      </c>
      <c r="F167">
        <v>0</v>
      </c>
      <c r="I167" s="4" t="s">
        <v>1944</v>
      </c>
      <c r="J167" s="4" t="s">
        <v>47</v>
      </c>
      <c r="K167" s="4" t="s">
        <v>2051</v>
      </c>
      <c r="L167" s="4" t="s">
        <v>47</v>
      </c>
      <c r="M167">
        <v>40499</v>
      </c>
      <c r="N167" s="4" t="s">
        <v>2099</v>
      </c>
      <c r="O167" s="4" t="s">
        <v>2194</v>
      </c>
      <c r="P167" s="4" t="s">
        <v>811</v>
      </c>
      <c r="Q167" s="9">
        <v>41811</v>
      </c>
      <c r="R167" s="4" t="s">
        <v>652</v>
      </c>
      <c r="S167" s="4" t="s">
        <v>2195</v>
      </c>
      <c r="T167" s="4" t="s">
        <v>47</v>
      </c>
      <c r="U167" s="4" t="s">
        <v>12</v>
      </c>
      <c r="V167">
        <v>2014</v>
      </c>
      <c r="W167" s="4" t="s">
        <v>2196</v>
      </c>
      <c r="X167" s="4" t="s">
        <v>47</v>
      </c>
      <c r="Y167" s="4" t="s">
        <v>2197</v>
      </c>
      <c r="Z167" s="4" t="s">
        <v>47</v>
      </c>
      <c r="AA167" s="4" t="s">
        <v>47</v>
      </c>
      <c r="AB167" s="4" t="s">
        <v>47</v>
      </c>
      <c r="AC167" s="4" t="s">
        <v>47</v>
      </c>
      <c r="AD167" s="4" t="s">
        <v>47</v>
      </c>
      <c r="AE167" s="4" t="s">
        <v>47</v>
      </c>
      <c r="AF167" s="4" t="s">
        <v>47</v>
      </c>
      <c r="AG167" s="4" t="s">
        <v>47</v>
      </c>
      <c r="AH167" s="4" t="s">
        <v>47</v>
      </c>
      <c r="AI167" s="4" t="s">
        <v>47</v>
      </c>
      <c r="AJ167" s="4" t="s">
        <v>47</v>
      </c>
      <c r="AK167" s="4" t="s">
        <v>47</v>
      </c>
      <c r="AL167" s="4" t="s">
        <v>47</v>
      </c>
      <c r="AM167" s="4" t="s">
        <v>47</v>
      </c>
      <c r="AN167" s="4" t="s">
        <v>47</v>
      </c>
      <c r="AO167" s="4" t="s">
        <v>2198</v>
      </c>
      <c r="AP167" s="4" t="s">
        <v>2199</v>
      </c>
      <c r="AQ167" s="4" t="s">
        <v>2200</v>
      </c>
      <c r="AR167" s="4" t="s">
        <v>2201</v>
      </c>
    </row>
    <row r="168" spans="1:44" x14ac:dyDescent="0.2">
      <c r="A168" s="4" t="s">
        <v>97</v>
      </c>
      <c r="B168" s="4" t="s">
        <v>225</v>
      </c>
      <c r="C168">
        <v>0</v>
      </c>
      <c r="F168">
        <v>1</v>
      </c>
      <c r="I168" s="4" t="s">
        <v>2089</v>
      </c>
      <c r="J168" s="4" t="s">
        <v>47</v>
      </c>
      <c r="K168" s="4" t="s">
        <v>1897</v>
      </c>
      <c r="L168" s="4" t="s">
        <v>47</v>
      </c>
      <c r="M168">
        <v>40285</v>
      </c>
      <c r="N168" s="4" t="s">
        <v>1974</v>
      </c>
      <c r="O168" s="4" t="s">
        <v>2202</v>
      </c>
      <c r="P168" s="4" t="s">
        <v>811</v>
      </c>
      <c r="Q168" s="9">
        <v>41810</v>
      </c>
      <c r="R168" s="4" t="s">
        <v>963</v>
      </c>
      <c r="S168" s="4" t="s">
        <v>2203</v>
      </c>
      <c r="T168" s="4" t="s">
        <v>47</v>
      </c>
      <c r="U168" s="4" t="s">
        <v>12</v>
      </c>
      <c r="V168">
        <v>2014</v>
      </c>
      <c r="W168" s="4" t="s">
        <v>47</v>
      </c>
      <c r="X168" s="4" t="s">
        <v>2204</v>
      </c>
      <c r="Y168" s="4" t="s">
        <v>47</v>
      </c>
      <c r="Z168" s="4" t="s">
        <v>2205</v>
      </c>
      <c r="AA168" s="4" t="s">
        <v>47</v>
      </c>
      <c r="AB168" s="4" t="s">
        <v>47</v>
      </c>
      <c r="AC168" s="4" t="s">
        <v>47</v>
      </c>
      <c r="AD168" s="4" t="s">
        <v>47</v>
      </c>
      <c r="AE168" s="4" t="s">
        <v>47</v>
      </c>
      <c r="AF168" s="4" t="s">
        <v>47</v>
      </c>
      <c r="AG168" s="4" t="s">
        <v>47</v>
      </c>
      <c r="AH168" s="4" t="s">
        <v>47</v>
      </c>
      <c r="AI168" s="4" t="s">
        <v>47</v>
      </c>
      <c r="AJ168" s="4" t="s">
        <v>47</v>
      </c>
      <c r="AK168" s="4" t="s">
        <v>47</v>
      </c>
      <c r="AL168" s="4" t="s">
        <v>47</v>
      </c>
      <c r="AM168" s="4" t="s">
        <v>47</v>
      </c>
      <c r="AN168" s="4" t="s">
        <v>47</v>
      </c>
      <c r="AO168" s="4" t="s">
        <v>2206</v>
      </c>
      <c r="AP168" s="4" t="s">
        <v>2207</v>
      </c>
      <c r="AQ168" s="4" t="s">
        <v>2208</v>
      </c>
      <c r="AR168" s="4" t="s">
        <v>2209</v>
      </c>
    </row>
    <row r="169" spans="1:44" x14ac:dyDescent="0.2">
      <c r="A169" s="4" t="s">
        <v>118</v>
      </c>
      <c r="B169" s="4" t="s">
        <v>87</v>
      </c>
      <c r="C169">
        <v>2</v>
      </c>
      <c r="F169">
        <v>5</v>
      </c>
      <c r="I169" s="4" t="s">
        <v>1925</v>
      </c>
      <c r="J169" s="4" t="s">
        <v>47</v>
      </c>
      <c r="K169" s="4" t="s">
        <v>589</v>
      </c>
      <c r="L169" s="4" t="s">
        <v>47</v>
      </c>
      <c r="M169">
        <v>51003</v>
      </c>
      <c r="N169" s="4" t="s">
        <v>1898</v>
      </c>
      <c r="O169" s="4" t="s">
        <v>2006</v>
      </c>
      <c r="P169" s="4" t="s">
        <v>811</v>
      </c>
      <c r="Q169" s="9">
        <v>41810</v>
      </c>
      <c r="R169" s="4" t="s">
        <v>2210</v>
      </c>
      <c r="S169" s="4" t="s">
        <v>1279</v>
      </c>
      <c r="T169" s="4" t="s">
        <v>47</v>
      </c>
      <c r="U169" s="4" t="s">
        <v>12</v>
      </c>
      <c r="V169">
        <v>2014</v>
      </c>
      <c r="W169" s="4" t="s">
        <v>2211</v>
      </c>
      <c r="X169" s="4" t="s">
        <v>2212</v>
      </c>
      <c r="Y169" s="4" t="s">
        <v>2213</v>
      </c>
      <c r="Z169" s="4" t="s">
        <v>2214</v>
      </c>
      <c r="AA169" s="4" t="s">
        <v>47</v>
      </c>
      <c r="AB169" s="4" t="s">
        <v>47</v>
      </c>
      <c r="AC169" s="4" t="s">
        <v>47</v>
      </c>
      <c r="AD169" s="4" t="s">
        <v>47</v>
      </c>
      <c r="AE169" s="4" t="s">
        <v>47</v>
      </c>
      <c r="AF169" s="4" t="s">
        <v>2215</v>
      </c>
      <c r="AG169" s="4" t="s">
        <v>47</v>
      </c>
      <c r="AH169" s="4" t="s">
        <v>47</v>
      </c>
      <c r="AI169" s="4" t="s">
        <v>47</v>
      </c>
      <c r="AJ169" s="4" t="s">
        <v>47</v>
      </c>
      <c r="AK169" s="4" t="s">
        <v>47</v>
      </c>
      <c r="AL169" s="4" t="s">
        <v>47</v>
      </c>
      <c r="AM169" s="4" t="s">
        <v>47</v>
      </c>
      <c r="AN169" s="4" t="s">
        <v>47</v>
      </c>
      <c r="AO169" s="4" t="s">
        <v>47</v>
      </c>
      <c r="AP169" s="4" t="s">
        <v>2216</v>
      </c>
      <c r="AQ169" s="4" t="s">
        <v>2217</v>
      </c>
      <c r="AR169" s="4" t="s">
        <v>2218</v>
      </c>
    </row>
    <row r="170" spans="1:44" x14ac:dyDescent="0.2">
      <c r="A170" s="4" t="s">
        <v>248</v>
      </c>
      <c r="B170" s="4" t="s">
        <v>171</v>
      </c>
      <c r="C170">
        <v>1</v>
      </c>
      <c r="F170">
        <v>2</v>
      </c>
      <c r="I170" s="4" t="s">
        <v>822</v>
      </c>
      <c r="J170" s="4" t="s">
        <v>47</v>
      </c>
      <c r="K170" s="4" t="s">
        <v>2076</v>
      </c>
      <c r="L170" s="4" t="s">
        <v>47</v>
      </c>
      <c r="M170">
        <v>39224</v>
      </c>
      <c r="N170" s="4" t="s">
        <v>2041</v>
      </c>
      <c r="O170" s="4" t="s">
        <v>2219</v>
      </c>
      <c r="P170" s="4" t="s">
        <v>811</v>
      </c>
      <c r="Q170" s="9">
        <v>41810</v>
      </c>
      <c r="R170" s="4" t="s">
        <v>664</v>
      </c>
      <c r="S170" s="4" t="s">
        <v>1977</v>
      </c>
      <c r="T170" s="4" t="s">
        <v>47</v>
      </c>
      <c r="U170" s="4" t="s">
        <v>12</v>
      </c>
      <c r="V170">
        <v>2014</v>
      </c>
      <c r="W170" s="4" t="s">
        <v>2220</v>
      </c>
      <c r="X170" s="4" t="s">
        <v>2221</v>
      </c>
      <c r="Y170" s="4" t="s">
        <v>2222</v>
      </c>
      <c r="Z170" s="4" t="s">
        <v>2223</v>
      </c>
      <c r="AA170" s="4" t="s">
        <v>47</v>
      </c>
      <c r="AB170" s="4" t="s">
        <v>47</v>
      </c>
      <c r="AC170" s="4" t="s">
        <v>47</v>
      </c>
      <c r="AD170" s="4" t="s">
        <v>47</v>
      </c>
      <c r="AE170" s="4" t="s">
        <v>47</v>
      </c>
      <c r="AF170" s="4" t="s">
        <v>47</v>
      </c>
      <c r="AG170" s="4" t="s">
        <v>47</v>
      </c>
      <c r="AH170" s="4" t="s">
        <v>47</v>
      </c>
      <c r="AI170" s="4" t="s">
        <v>47</v>
      </c>
      <c r="AJ170" s="4" t="s">
        <v>47</v>
      </c>
      <c r="AK170" s="4" t="s">
        <v>47</v>
      </c>
      <c r="AL170" s="4" t="s">
        <v>47</v>
      </c>
      <c r="AM170" s="4" t="s">
        <v>47</v>
      </c>
      <c r="AN170" s="4" t="s">
        <v>47</v>
      </c>
      <c r="AO170" s="4" t="s">
        <v>2224</v>
      </c>
      <c r="AP170" s="4" t="s">
        <v>2225</v>
      </c>
      <c r="AQ170" s="4" t="s">
        <v>2226</v>
      </c>
      <c r="AR170" s="4" t="s">
        <v>2227</v>
      </c>
    </row>
    <row r="171" spans="1:44" x14ac:dyDescent="0.2">
      <c r="A171" s="4" t="s">
        <v>153</v>
      </c>
      <c r="B171" s="4" t="s">
        <v>190</v>
      </c>
      <c r="C171">
        <v>2</v>
      </c>
      <c r="F171">
        <v>1</v>
      </c>
      <c r="I171" s="4" t="s">
        <v>1336</v>
      </c>
      <c r="J171" s="4" t="s">
        <v>47</v>
      </c>
      <c r="K171" s="4" t="s">
        <v>2111</v>
      </c>
      <c r="L171" s="4" t="s">
        <v>47</v>
      </c>
      <c r="M171">
        <v>68748</v>
      </c>
      <c r="N171" s="4" t="s">
        <v>1858</v>
      </c>
      <c r="O171" s="4" t="s">
        <v>2228</v>
      </c>
      <c r="P171" s="4" t="s">
        <v>811</v>
      </c>
      <c r="Q171" s="9">
        <v>41809</v>
      </c>
      <c r="R171" s="4" t="s">
        <v>617</v>
      </c>
      <c r="S171" s="4" t="s">
        <v>1992</v>
      </c>
      <c r="T171" s="4" t="s">
        <v>47</v>
      </c>
      <c r="U171" s="4" t="s">
        <v>12</v>
      </c>
      <c r="V171">
        <v>2014</v>
      </c>
      <c r="W171" s="4" t="s">
        <v>2229</v>
      </c>
      <c r="X171" s="4" t="s">
        <v>2230</v>
      </c>
      <c r="Y171" s="4" t="s">
        <v>2231</v>
      </c>
      <c r="Z171" s="4" t="s">
        <v>2232</v>
      </c>
      <c r="AA171" s="4" t="s">
        <v>47</v>
      </c>
      <c r="AB171" s="4" t="s">
        <v>47</v>
      </c>
      <c r="AC171" s="4" t="s">
        <v>47</v>
      </c>
      <c r="AD171" s="4" t="s">
        <v>47</v>
      </c>
      <c r="AE171" s="4" t="s">
        <v>47</v>
      </c>
      <c r="AF171" s="4" t="s">
        <v>47</v>
      </c>
      <c r="AG171" s="4" t="s">
        <v>47</v>
      </c>
      <c r="AH171" s="4" t="s">
        <v>47</v>
      </c>
      <c r="AI171" s="4" t="s">
        <v>47</v>
      </c>
      <c r="AJ171" s="4" t="s">
        <v>47</v>
      </c>
      <c r="AK171" s="4" t="s">
        <v>47</v>
      </c>
      <c r="AL171" s="4" t="s">
        <v>47</v>
      </c>
      <c r="AM171" s="4" t="s">
        <v>47</v>
      </c>
      <c r="AN171" s="4" t="s">
        <v>47</v>
      </c>
      <c r="AO171" s="4" t="s">
        <v>47</v>
      </c>
      <c r="AP171" s="4" t="s">
        <v>2233</v>
      </c>
      <c r="AQ171" s="4" t="s">
        <v>2234</v>
      </c>
      <c r="AR171" s="4" t="s">
        <v>2235</v>
      </c>
    </row>
    <row r="172" spans="1:44" x14ac:dyDescent="0.2">
      <c r="A172" s="4" t="s">
        <v>121</v>
      </c>
      <c r="B172" s="4" t="s">
        <v>52</v>
      </c>
      <c r="C172">
        <v>2</v>
      </c>
      <c r="F172">
        <v>1</v>
      </c>
      <c r="I172" s="4" t="s">
        <v>1303</v>
      </c>
      <c r="J172" s="4" t="s">
        <v>47</v>
      </c>
      <c r="K172" s="4" t="s">
        <v>2083</v>
      </c>
      <c r="L172" s="4" t="s">
        <v>47</v>
      </c>
      <c r="M172">
        <v>62575</v>
      </c>
      <c r="N172" s="4" t="s">
        <v>1868</v>
      </c>
      <c r="O172" s="4" t="s">
        <v>2236</v>
      </c>
      <c r="P172" s="4" t="s">
        <v>811</v>
      </c>
      <c r="Q172" s="9">
        <v>41809</v>
      </c>
      <c r="R172" s="4" t="s">
        <v>617</v>
      </c>
      <c r="S172" s="4" t="s">
        <v>1917</v>
      </c>
      <c r="T172" s="4" t="s">
        <v>47</v>
      </c>
      <c r="U172" s="4" t="s">
        <v>12</v>
      </c>
      <c r="V172">
        <v>2014</v>
      </c>
      <c r="W172" s="4" t="s">
        <v>2237</v>
      </c>
      <c r="X172" s="4" t="s">
        <v>2238</v>
      </c>
      <c r="Y172" s="4" t="s">
        <v>2239</v>
      </c>
      <c r="Z172" s="4" t="s">
        <v>2240</v>
      </c>
      <c r="AA172" s="4" t="s">
        <v>47</v>
      </c>
      <c r="AB172" s="4" t="s">
        <v>47</v>
      </c>
      <c r="AC172" s="4" t="s">
        <v>47</v>
      </c>
      <c r="AD172" s="4" t="s">
        <v>47</v>
      </c>
      <c r="AE172" s="4" t="s">
        <v>47</v>
      </c>
      <c r="AF172" s="4" t="s">
        <v>47</v>
      </c>
      <c r="AG172" s="4" t="s">
        <v>47</v>
      </c>
      <c r="AH172" s="4" t="s">
        <v>47</v>
      </c>
      <c r="AI172" s="4" t="s">
        <v>47</v>
      </c>
      <c r="AJ172" s="4" t="s">
        <v>47</v>
      </c>
      <c r="AK172" s="4" t="s">
        <v>47</v>
      </c>
      <c r="AL172" s="4" t="s">
        <v>47</v>
      </c>
      <c r="AM172" s="4" t="s">
        <v>47</v>
      </c>
      <c r="AN172" s="4" t="s">
        <v>47</v>
      </c>
      <c r="AO172" s="4" t="s">
        <v>2241</v>
      </c>
      <c r="AP172" s="4" t="s">
        <v>2242</v>
      </c>
      <c r="AQ172" s="4" t="s">
        <v>2243</v>
      </c>
      <c r="AR172" s="4" t="s">
        <v>2244</v>
      </c>
    </row>
    <row r="173" spans="1:44" x14ac:dyDescent="0.2">
      <c r="A173" s="4" t="s">
        <v>161</v>
      </c>
      <c r="B173" s="4" t="s">
        <v>217</v>
      </c>
      <c r="C173">
        <v>0</v>
      </c>
      <c r="F173">
        <v>0</v>
      </c>
      <c r="I173" s="4" t="s">
        <v>2098</v>
      </c>
      <c r="J173" s="4" t="s">
        <v>47</v>
      </c>
      <c r="K173" s="4" t="s">
        <v>647</v>
      </c>
      <c r="L173" s="4" t="s">
        <v>47</v>
      </c>
      <c r="M173">
        <v>39485</v>
      </c>
      <c r="N173" s="4" t="s">
        <v>2090</v>
      </c>
      <c r="O173" s="4" t="s">
        <v>2245</v>
      </c>
      <c r="P173" s="4" t="s">
        <v>811</v>
      </c>
      <c r="Q173" s="9">
        <v>41809</v>
      </c>
      <c r="R173" s="4" t="s">
        <v>869</v>
      </c>
      <c r="S173" s="4" t="s">
        <v>1741</v>
      </c>
      <c r="T173" s="4" t="s">
        <v>47</v>
      </c>
      <c r="U173" s="4" t="s">
        <v>12</v>
      </c>
      <c r="V173">
        <v>2014</v>
      </c>
      <c r="W173" s="4" t="s">
        <v>47</v>
      </c>
      <c r="X173" s="4" t="s">
        <v>47</v>
      </c>
      <c r="Y173" s="4" t="s">
        <v>47</v>
      </c>
      <c r="Z173" s="4" t="s">
        <v>47</v>
      </c>
      <c r="AA173" s="4" t="s">
        <v>47</v>
      </c>
      <c r="AB173" s="4" t="s">
        <v>47</v>
      </c>
      <c r="AC173" s="4" t="s">
        <v>47</v>
      </c>
      <c r="AD173" s="4" t="s">
        <v>47</v>
      </c>
      <c r="AE173" s="4" t="s">
        <v>47</v>
      </c>
      <c r="AF173" s="4" t="s">
        <v>47</v>
      </c>
      <c r="AG173" s="4" t="s">
        <v>47</v>
      </c>
      <c r="AH173" s="4" t="s">
        <v>47</v>
      </c>
      <c r="AI173" s="4" t="s">
        <v>47</v>
      </c>
      <c r="AJ173" s="4" t="s">
        <v>47</v>
      </c>
      <c r="AK173" s="4" t="s">
        <v>47</v>
      </c>
      <c r="AL173" s="4" t="s">
        <v>47</v>
      </c>
      <c r="AM173" s="4" t="s">
        <v>47</v>
      </c>
      <c r="AN173" s="4" t="s">
        <v>2246</v>
      </c>
      <c r="AO173" s="4" t="s">
        <v>2247</v>
      </c>
      <c r="AP173" s="4" t="s">
        <v>2248</v>
      </c>
      <c r="AQ173" s="4" t="s">
        <v>2249</v>
      </c>
      <c r="AR173" s="4" t="s">
        <v>2250</v>
      </c>
    </row>
    <row r="174" spans="1:44" x14ac:dyDescent="0.2">
      <c r="A174" s="4" t="s">
        <v>179</v>
      </c>
      <c r="B174" s="4" t="s">
        <v>95</v>
      </c>
      <c r="C174">
        <v>2</v>
      </c>
      <c r="F174">
        <v>3</v>
      </c>
      <c r="I174" s="4" t="s">
        <v>2122</v>
      </c>
      <c r="J174" s="4" t="s">
        <v>47</v>
      </c>
      <c r="K174" s="4" t="s">
        <v>692</v>
      </c>
      <c r="L174" s="4" t="s">
        <v>47</v>
      </c>
      <c r="M174">
        <v>42877</v>
      </c>
      <c r="N174" s="4" t="s">
        <v>1953</v>
      </c>
      <c r="O174" s="4" t="s">
        <v>2251</v>
      </c>
      <c r="P174" s="4" t="s">
        <v>811</v>
      </c>
      <c r="Q174" s="9">
        <v>41808</v>
      </c>
      <c r="R174" s="4" t="s">
        <v>847</v>
      </c>
      <c r="S174" s="4" t="s">
        <v>1860</v>
      </c>
      <c r="T174" s="4" t="s">
        <v>47</v>
      </c>
      <c r="U174" s="4" t="s">
        <v>12</v>
      </c>
      <c r="V174">
        <v>2014</v>
      </c>
      <c r="W174" s="4" t="s">
        <v>2252</v>
      </c>
      <c r="X174" s="4" t="s">
        <v>2253</v>
      </c>
      <c r="Y174" s="4" t="s">
        <v>2254</v>
      </c>
      <c r="Z174" s="4" t="s">
        <v>2255</v>
      </c>
      <c r="AA174" s="4" t="s">
        <v>47</v>
      </c>
      <c r="AB174" s="4" t="s">
        <v>47</v>
      </c>
      <c r="AC174" s="4" t="s">
        <v>2256</v>
      </c>
      <c r="AD174" s="4" t="s">
        <v>47</v>
      </c>
      <c r="AE174" s="4" t="s">
        <v>47</v>
      </c>
      <c r="AF174" s="4" t="s">
        <v>47</v>
      </c>
      <c r="AG174" s="4" t="s">
        <v>47</v>
      </c>
      <c r="AH174" s="4" t="s">
        <v>47</v>
      </c>
      <c r="AI174" s="4" t="s">
        <v>47</v>
      </c>
      <c r="AJ174" s="4" t="s">
        <v>47</v>
      </c>
      <c r="AK174" s="4" t="s">
        <v>47</v>
      </c>
      <c r="AL174" s="4" t="s">
        <v>47</v>
      </c>
      <c r="AM174" s="4" t="s">
        <v>47</v>
      </c>
      <c r="AN174" s="4" t="s">
        <v>47</v>
      </c>
      <c r="AO174" s="4" t="s">
        <v>2257</v>
      </c>
      <c r="AP174" s="4" t="s">
        <v>2258</v>
      </c>
      <c r="AQ174" s="4" t="s">
        <v>2259</v>
      </c>
      <c r="AR174" s="4" t="s">
        <v>2260</v>
      </c>
    </row>
    <row r="175" spans="1:44" x14ac:dyDescent="0.2">
      <c r="A175" s="4" t="s">
        <v>20</v>
      </c>
      <c r="B175" s="4" t="s">
        <v>113</v>
      </c>
      <c r="C175">
        <v>0</v>
      </c>
      <c r="F175">
        <v>2</v>
      </c>
      <c r="I175" s="4" t="s">
        <v>2123</v>
      </c>
      <c r="J175" s="4" t="s">
        <v>47</v>
      </c>
      <c r="K175" s="4" t="s">
        <v>1404</v>
      </c>
      <c r="L175" s="4" t="s">
        <v>47</v>
      </c>
      <c r="M175">
        <v>74101</v>
      </c>
      <c r="N175" s="4" t="s">
        <v>1848</v>
      </c>
      <c r="O175" s="4" t="s">
        <v>2261</v>
      </c>
      <c r="P175" s="4" t="s">
        <v>811</v>
      </c>
      <c r="Q175" s="9">
        <v>41808</v>
      </c>
      <c r="R175" s="4" t="s">
        <v>824</v>
      </c>
      <c r="S175" s="4" t="s">
        <v>1341</v>
      </c>
      <c r="T175" s="4" t="s">
        <v>47</v>
      </c>
      <c r="U175" s="4" t="s">
        <v>12</v>
      </c>
      <c r="V175">
        <v>2014</v>
      </c>
      <c r="W175" s="4" t="s">
        <v>47</v>
      </c>
      <c r="X175" s="4" t="s">
        <v>2262</v>
      </c>
      <c r="Y175" s="4" t="s">
        <v>47</v>
      </c>
      <c r="Z175" s="4" t="s">
        <v>2263</v>
      </c>
      <c r="AA175" s="4" t="s">
        <v>47</v>
      </c>
      <c r="AB175" s="4" t="s">
        <v>47</v>
      </c>
      <c r="AC175" s="4" t="s">
        <v>47</v>
      </c>
      <c r="AD175" s="4" t="s">
        <v>47</v>
      </c>
      <c r="AE175" s="4" t="s">
        <v>47</v>
      </c>
      <c r="AF175" s="4" t="s">
        <v>47</v>
      </c>
      <c r="AG175" s="4" t="s">
        <v>47</v>
      </c>
      <c r="AH175" s="4" t="s">
        <v>47</v>
      </c>
      <c r="AI175" s="4" t="s">
        <v>47</v>
      </c>
      <c r="AJ175" s="4" t="s">
        <v>47</v>
      </c>
      <c r="AK175" s="4" t="s">
        <v>47</v>
      </c>
      <c r="AL175" s="4" t="s">
        <v>47</v>
      </c>
      <c r="AM175" s="4" t="s">
        <v>47</v>
      </c>
      <c r="AN175" s="4" t="s">
        <v>47</v>
      </c>
      <c r="AO175" s="4" t="s">
        <v>2264</v>
      </c>
      <c r="AP175" s="4" t="s">
        <v>2265</v>
      </c>
      <c r="AQ175" s="4" t="s">
        <v>2266</v>
      </c>
      <c r="AR175" s="4" t="s">
        <v>2267</v>
      </c>
    </row>
    <row r="176" spans="1:44" x14ac:dyDescent="0.2">
      <c r="A176" s="4" t="s">
        <v>209</v>
      </c>
      <c r="B176" s="4" t="s">
        <v>90</v>
      </c>
      <c r="C176">
        <v>0</v>
      </c>
      <c r="F176">
        <v>4</v>
      </c>
      <c r="I176" s="4" t="s">
        <v>2148</v>
      </c>
      <c r="J176" s="4" t="s">
        <v>47</v>
      </c>
      <c r="K176" s="4" t="s">
        <v>2138</v>
      </c>
      <c r="L176" s="4" t="s">
        <v>47</v>
      </c>
      <c r="M176">
        <v>39982</v>
      </c>
      <c r="N176" s="4" t="s">
        <v>2069</v>
      </c>
      <c r="O176" s="4" t="s">
        <v>2268</v>
      </c>
      <c r="P176" s="4" t="s">
        <v>811</v>
      </c>
      <c r="Q176" s="9">
        <v>41808</v>
      </c>
      <c r="R176" s="4" t="s">
        <v>2269</v>
      </c>
      <c r="S176" s="4" t="s">
        <v>1965</v>
      </c>
      <c r="T176" s="4" t="s">
        <v>47</v>
      </c>
      <c r="U176" s="4" t="s">
        <v>12</v>
      </c>
      <c r="V176">
        <v>2014</v>
      </c>
      <c r="W176" s="4" t="s">
        <v>47</v>
      </c>
      <c r="X176" s="4" t="s">
        <v>2270</v>
      </c>
      <c r="Y176" s="4" t="s">
        <v>47</v>
      </c>
      <c r="Z176" s="4" t="s">
        <v>2271</v>
      </c>
      <c r="AA176" s="4" t="s">
        <v>47</v>
      </c>
      <c r="AB176" s="4" t="s">
        <v>47</v>
      </c>
      <c r="AC176" s="4" t="s">
        <v>47</v>
      </c>
      <c r="AD176" s="4" t="s">
        <v>47</v>
      </c>
      <c r="AE176" s="4" t="s">
        <v>47</v>
      </c>
      <c r="AF176" s="4" t="s">
        <v>47</v>
      </c>
      <c r="AG176" s="4" t="s">
        <v>47</v>
      </c>
      <c r="AH176" s="4" t="s">
        <v>47</v>
      </c>
      <c r="AI176" s="4" t="s">
        <v>47</v>
      </c>
      <c r="AJ176" s="4" t="s">
        <v>47</v>
      </c>
      <c r="AK176" s="4" t="s">
        <v>2272</v>
      </c>
      <c r="AL176" s="4" t="s">
        <v>47</v>
      </c>
      <c r="AM176" s="4" t="s">
        <v>47</v>
      </c>
      <c r="AN176" s="4" t="s">
        <v>47</v>
      </c>
      <c r="AO176" s="4" t="s">
        <v>47</v>
      </c>
      <c r="AP176" s="4" t="s">
        <v>2273</v>
      </c>
      <c r="AQ176" s="4" t="s">
        <v>2274</v>
      </c>
      <c r="AR176" s="4" t="s">
        <v>2275</v>
      </c>
    </row>
    <row r="177" spans="1:44" x14ac:dyDescent="0.2">
      <c r="A177" s="4" t="s">
        <v>148</v>
      </c>
      <c r="B177" s="4" t="s">
        <v>181</v>
      </c>
      <c r="C177">
        <v>2</v>
      </c>
      <c r="F177">
        <v>1</v>
      </c>
      <c r="I177" s="4" t="s">
        <v>1889</v>
      </c>
      <c r="J177" s="4" t="s">
        <v>47</v>
      </c>
      <c r="K177" s="4" t="s">
        <v>1952</v>
      </c>
      <c r="L177" s="4" t="s">
        <v>47</v>
      </c>
      <c r="M177">
        <v>56800</v>
      </c>
      <c r="N177" s="4" t="s">
        <v>1878</v>
      </c>
      <c r="O177" s="4" t="s">
        <v>2276</v>
      </c>
      <c r="P177" s="4" t="s">
        <v>811</v>
      </c>
      <c r="Q177" s="9">
        <v>41807</v>
      </c>
      <c r="R177" s="4" t="s">
        <v>617</v>
      </c>
      <c r="S177" s="4" t="s">
        <v>2277</v>
      </c>
      <c r="T177" s="4" t="s">
        <v>47</v>
      </c>
      <c r="U177" s="4" t="s">
        <v>12</v>
      </c>
      <c r="V177">
        <v>2014</v>
      </c>
      <c r="W177" s="4" t="s">
        <v>2278</v>
      </c>
      <c r="X177" s="4" t="s">
        <v>47</v>
      </c>
      <c r="Y177" s="4" t="s">
        <v>2279</v>
      </c>
      <c r="Z177" s="4" t="s">
        <v>47</v>
      </c>
      <c r="AA177" s="4" t="s">
        <v>47</v>
      </c>
      <c r="AB177" s="4" t="s">
        <v>47</v>
      </c>
      <c r="AC177" s="4" t="s">
        <v>47</v>
      </c>
      <c r="AD177" s="4" t="s">
        <v>2280</v>
      </c>
      <c r="AE177" s="4" t="s">
        <v>47</v>
      </c>
      <c r="AF177" s="4" t="s">
        <v>47</v>
      </c>
      <c r="AG177" s="4" t="s">
        <v>47</v>
      </c>
      <c r="AH177" s="4" t="s">
        <v>47</v>
      </c>
      <c r="AI177" s="4" t="s">
        <v>47</v>
      </c>
      <c r="AJ177" s="4" t="s">
        <v>47</v>
      </c>
      <c r="AK177" s="4" t="s">
        <v>47</v>
      </c>
      <c r="AL177" s="4" t="s">
        <v>47</v>
      </c>
      <c r="AM177" s="4" t="s">
        <v>47</v>
      </c>
      <c r="AN177" s="4" t="s">
        <v>47</v>
      </c>
      <c r="AO177" s="4" t="s">
        <v>2281</v>
      </c>
      <c r="AP177" s="4" t="s">
        <v>2282</v>
      </c>
      <c r="AQ177" s="4" t="s">
        <v>2283</v>
      </c>
      <c r="AR177" s="4" t="s">
        <v>2284</v>
      </c>
    </row>
    <row r="178" spans="1:44" x14ac:dyDescent="0.2">
      <c r="A178" s="4" t="s">
        <v>12</v>
      </c>
      <c r="B178" s="4" t="s">
        <v>106</v>
      </c>
      <c r="C178">
        <v>0</v>
      </c>
      <c r="F178">
        <v>0</v>
      </c>
      <c r="I178" s="4" t="s">
        <v>1857</v>
      </c>
      <c r="J178" s="4" t="s">
        <v>47</v>
      </c>
      <c r="K178" s="4" t="s">
        <v>1963</v>
      </c>
      <c r="L178" s="4" t="s">
        <v>47</v>
      </c>
      <c r="M178">
        <v>60342</v>
      </c>
      <c r="N178" s="4" t="s">
        <v>1915</v>
      </c>
      <c r="O178" s="4" t="s">
        <v>2285</v>
      </c>
      <c r="P178" s="4" t="s">
        <v>811</v>
      </c>
      <c r="Q178" s="9">
        <v>41807</v>
      </c>
      <c r="R178" s="4" t="s">
        <v>869</v>
      </c>
      <c r="S178" s="4" t="s">
        <v>1257</v>
      </c>
      <c r="T178" s="4" t="s">
        <v>47</v>
      </c>
      <c r="U178" s="4" t="s">
        <v>12</v>
      </c>
      <c r="V178">
        <v>2014</v>
      </c>
      <c r="W178" s="4" t="s">
        <v>47</v>
      </c>
      <c r="X178" s="4" t="s">
        <v>47</v>
      </c>
      <c r="Y178" s="4" t="s">
        <v>47</v>
      </c>
      <c r="Z178" s="4" t="s">
        <v>47</v>
      </c>
      <c r="AA178" s="4" t="s">
        <v>47</v>
      </c>
      <c r="AB178" s="4" t="s">
        <v>47</v>
      </c>
      <c r="AC178" s="4" t="s">
        <v>47</v>
      </c>
      <c r="AD178" s="4" t="s">
        <v>47</v>
      </c>
      <c r="AE178" s="4" t="s">
        <v>47</v>
      </c>
      <c r="AF178" s="4" t="s">
        <v>47</v>
      </c>
      <c r="AG178" s="4" t="s">
        <v>47</v>
      </c>
      <c r="AH178" s="4" t="s">
        <v>47</v>
      </c>
      <c r="AI178" s="4" t="s">
        <v>47</v>
      </c>
      <c r="AJ178" s="4" t="s">
        <v>47</v>
      </c>
      <c r="AK178" s="4" t="s">
        <v>47</v>
      </c>
      <c r="AL178" s="4" t="s">
        <v>47</v>
      </c>
      <c r="AM178" s="4" t="s">
        <v>47</v>
      </c>
      <c r="AN178" s="4" t="s">
        <v>47</v>
      </c>
      <c r="AO178" s="4" t="s">
        <v>2286</v>
      </c>
      <c r="AP178" s="4" t="s">
        <v>2287</v>
      </c>
      <c r="AQ178" s="4" t="s">
        <v>2288</v>
      </c>
      <c r="AR178" s="4" t="s">
        <v>2289</v>
      </c>
    </row>
    <row r="179" spans="1:44" x14ac:dyDescent="0.2">
      <c r="A179" s="4" t="s">
        <v>89</v>
      </c>
      <c r="B179" s="4" t="s">
        <v>175</v>
      </c>
      <c r="C179">
        <v>1</v>
      </c>
      <c r="F179">
        <v>1</v>
      </c>
      <c r="I179" s="4" t="s">
        <v>2040</v>
      </c>
      <c r="J179" s="4" t="s">
        <v>47</v>
      </c>
      <c r="K179" s="4" t="s">
        <v>2031</v>
      </c>
      <c r="L179" s="4" t="s">
        <v>47</v>
      </c>
      <c r="M179">
        <v>37603</v>
      </c>
      <c r="N179" s="4" t="s">
        <v>2099</v>
      </c>
      <c r="O179" s="4" t="s">
        <v>2290</v>
      </c>
      <c r="P179" s="4" t="s">
        <v>811</v>
      </c>
      <c r="Q179" s="9">
        <v>41807</v>
      </c>
      <c r="R179" s="4" t="s">
        <v>1046</v>
      </c>
      <c r="S179" s="4" t="s">
        <v>1237</v>
      </c>
      <c r="T179" s="4" t="s">
        <v>47</v>
      </c>
      <c r="U179" s="4" t="s">
        <v>12</v>
      </c>
      <c r="V179">
        <v>2014</v>
      </c>
      <c r="W179" s="4" t="s">
        <v>2291</v>
      </c>
      <c r="X179" s="4" t="s">
        <v>2292</v>
      </c>
      <c r="Y179" s="4" t="s">
        <v>2293</v>
      </c>
      <c r="Z179" s="4" t="s">
        <v>2294</v>
      </c>
      <c r="AA179" s="4" t="s">
        <v>47</v>
      </c>
      <c r="AB179" s="4" t="s">
        <v>47</v>
      </c>
      <c r="AC179" s="4" t="s">
        <v>47</v>
      </c>
      <c r="AD179" s="4" t="s">
        <v>47</v>
      </c>
      <c r="AE179" s="4" t="s">
        <v>47</v>
      </c>
      <c r="AF179" s="4" t="s">
        <v>47</v>
      </c>
      <c r="AG179" s="4" t="s">
        <v>47</v>
      </c>
      <c r="AH179" s="4" t="s">
        <v>47</v>
      </c>
      <c r="AI179" s="4" t="s">
        <v>47</v>
      </c>
      <c r="AJ179" s="4" t="s">
        <v>47</v>
      </c>
      <c r="AK179" s="4" t="s">
        <v>47</v>
      </c>
      <c r="AL179" s="4" t="s">
        <v>47</v>
      </c>
      <c r="AM179" s="4" t="s">
        <v>47</v>
      </c>
      <c r="AN179" s="4" t="s">
        <v>47</v>
      </c>
      <c r="AO179" s="4" t="s">
        <v>2295</v>
      </c>
      <c r="AP179" s="4" t="s">
        <v>2296</v>
      </c>
      <c r="AQ179" s="4" t="s">
        <v>2297</v>
      </c>
      <c r="AR179" s="4" t="s">
        <v>2298</v>
      </c>
    </row>
    <row r="180" spans="1:44" x14ac:dyDescent="0.2">
      <c r="A180" s="4" t="s">
        <v>92</v>
      </c>
      <c r="B180" s="4" t="s">
        <v>141</v>
      </c>
      <c r="C180">
        <v>4</v>
      </c>
      <c r="F180">
        <v>0</v>
      </c>
      <c r="I180" s="4" t="s">
        <v>1465</v>
      </c>
      <c r="J180" s="4" t="s">
        <v>47</v>
      </c>
      <c r="K180" s="4" t="s">
        <v>753</v>
      </c>
      <c r="L180" s="4" t="s">
        <v>47</v>
      </c>
      <c r="M180">
        <v>51081</v>
      </c>
      <c r="N180" s="4" t="s">
        <v>1898</v>
      </c>
      <c r="O180" s="4" t="s">
        <v>2299</v>
      </c>
      <c r="P180" s="4" t="s">
        <v>811</v>
      </c>
      <c r="Q180" s="9">
        <v>41806</v>
      </c>
      <c r="R180" s="4" t="s">
        <v>2300</v>
      </c>
      <c r="S180" s="4" t="s">
        <v>1315</v>
      </c>
      <c r="T180" s="4" t="s">
        <v>47</v>
      </c>
      <c r="U180" s="4" t="s">
        <v>12</v>
      </c>
      <c r="V180">
        <v>2014</v>
      </c>
      <c r="W180" s="4" t="s">
        <v>2301</v>
      </c>
      <c r="X180" s="4" t="s">
        <v>47</v>
      </c>
      <c r="Y180" s="4" t="s">
        <v>2302</v>
      </c>
      <c r="Z180" s="4" t="s">
        <v>47</v>
      </c>
      <c r="AA180" s="4" t="s">
        <v>47</v>
      </c>
      <c r="AB180" s="4" t="s">
        <v>47</v>
      </c>
      <c r="AC180" s="4" t="s">
        <v>2303</v>
      </c>
      <c r="AD180" s="4" t="s">
        <v>47</v>
      </c>
      <c r="AE180" s="4" t="s">
        <v>47</v>
      </c>
      <c r="AF180" s="4" t="s">
        <v>47</v>
      </c>
      <c r="AG180" s="4" t="s">
        <v>47</v>
      </c>
      <c r="AH180" s="4" t="s">
        <v>47</v>
      </c>
      <c r="AI180" s="4" t="s">
        <v>47</v>
      </c>
      <c r="AJ180" s="4" t="s">
        <v>47</v>
      </c>
      <c r="AK180" s="4" t="s">
        <v>47</v>
      </c>
      <c r="AL180" s="4" t="s">
        <v>2304</v>
      </c>
      <c r="AM180" s="4" t="s">
        <v>47</v>
      </c>
      <c r="AN180" s="4" t="s">
        <v>47</v>
      </c>
      <c r="AO180" s="4" t="s">
        <v>47</v>
      </c>
      <c r="AP180" s="4" t="s">
        <v>2305</v>
      </c>
      <c r="AQ180" s="4" t="s">
        <v>2306</v>
      </c>
      <c r="AR180" s="4" t="s">
        <v>2307</v>
      </c>
    </row>
    <row r="181" spans="1:44" x14ac:dyDescent="0.2">
      <c r="A181" s="4" t="s">
        <v>165</v>
      </c>
      <c r="B181" s="4" t="s">
        <v>177</v>
      </c>
      <c r="C181">
        <v>0</v>
      </c>
      <c r="F181">
        <v>0</v>
      </c>
      <c r="I181" s="4" t="s">
        <v>960</v>
      </c>
      <c r="J181" s="4" t="s">
        <v>47</v>
      </c>
      <c r="K181" s="4" t="s">
        <v>1944</v>
      </c>
      <c r="L181" s="4" t="s">
        <v>47</v>
      </c>
      <c r="M181">
        <v>39081</v>
      </c>
      <c r="N181" s="4" t="s">
        <v>2041</v>
      </c>
      <c r="O181" s="4" t="s">
        <v>2308</v>
      </c>
      <c r="P181" s="4" t="s">
        <v>811</v>
      </c>
      <c r="Q181" s="9">
        <v>41806</v>
      </c>
      <c r="R181" s="4" t="s">
        <v>869</v>
      </c>
      <c r="S181" s="4" t="s">
        <v>2113</v>
      </c>
      <c r="T181" s="4" t="s">
        <v>47</v>
      </c>
      <c r="U181" s="4" t="s">
        <v>12</v>
      </c>
      <c r="V181">
        <v>2014</v>
      </c>
      <c r="W181" s="4" t="s">
        <v>47</v>
      </c>
      <c r="X181" s="4" t="s">
        <v>47</v>
      </c>
      <c r="Y181" s="4" t="s">
        <v>47</v>
      </c>
      <c r="Z181" s="4" t="s">
        <v>47</v>
      </c>
      <c r="AA181" s="4" t="s">
        <v>47</v>
      </c>
      <c r="AB181" s="4" t="s">
        <v>47</v>
      </c>
      <c r="AC181" s="4" t="s">
        <v>47</v>
      </c>
      <c r="AD181" s="4" t="s">
        <v>47</v>
      </c>
      <c r="AE181" s="4" t="s">
        <v>47</v>
      </c>
      <c r="AF181" s="4" t="s">
        <v>47</v>
      </c>
      <c r="AG181" s="4" t="s">
        <v>47</v>
      </c>
      <c r="AH181" s="4" t="s">
        <v>47</v>
      </c>
      <c r="AI181" s="4" t="s">
        <v>47</v>
      </c>
      <c r="AJ181" s="4" t="s">
        <v>47</v>
      </c>
      <c r="AK181" s="4" t="s">
        <v>47</v>
      </c>
      <c r="AL181" s="4" t="s">
        <v>47</v>
      </c>
      <c r="AM181" s="4" t="s">
        <v>47</v>
      </c>
      <c r="AN181" s="4" t="s">
        <v>47</v>
      </c>
      <c r="AO181" s="4" t="s">
        <v>2309</v>
      </c>
      <c r="AP181" s="4" t="s">
        <v>47</v>
      </c>
      <c r="AQ181" s="4" t="s">
        <v>2310</v>
      </c>
      <c r="AR181" s="4" t="s">
        <v>2311</v>
      </c>
    </row>
    <row r="182" spans="1:44" x14ac:dyDescent="0.2">
      <c r="A182" s="4" t="s">
        <v>264</v>
      </c>
      <c r="B182" s="4" t="s">
        <v>102</v>
      </c>
      <c r="C182">
        <v>1</v>
      </c>
      <c r="F182">
        <v>2</v>
      </c>
      <c r="I182" s="4" t="s">
        <v>2020</v>
      </c>
      <c r="J182" s="4" t="s">
        <v>47</v>
      </c>
      <c r="K182" s="4" t="s">
        <v>1934</v>
      </c>
      <c r="L182" s="4" t="s">
        <v>47</v>
      </c>
      <c r="M182">
        <v>39760</v>
      </c>
      <c r="N182" s="4" t="s">
        <v>2090</v>
      </c>
      <c r="O182" s="4" t="s">
        <v>2312</v>
      </c>
      <c r="P182" s="4" t="s">
        <v>811</v>
      </c>
      <c r="Q182" s="9">
        <v>41806</v>
      </c>
      <c r="R182" s="4" t="s">
        <v>664</v>
      </c>
      <c r="S182" s="4" t="s">
        <v>1927</v>
      </c>
      <c r="T182" s="4" t="s">
        <v>47</v>
      </c>
      <c r="U182" s="4" t="s">
        <v>12</v>
      </c>
      <c r="V182">
        <v>2014</v>
      </c>
      <c r="W182" s="4" t="s">
        <v>2313</v>
      </c>
      <c r="X182" s="4" t="s">
        <v>2314</v>
      </c>
      <c r="Y182" s="4" t="s">
        <v>2315</v>
      </c>
      <c r="Z182" s="4" t="s">
        <v>2316</v>
      </c>
      <c r="AA182" s="4" t="s">
        <v>47</v>
      </c>
      <c r="AB182" s="4" t="s">
        <v>47</v>
      </c>
      <c r="AC182" s="4" t="s">
        <v>47</v>
      </c>
      <c r="AD182" s="4" t="s">
        <v>47</v>
      </c>
      <c r="AE182" s="4" t="s">
        <v>47</v>
      </c>
      <c r="AF182" s="4" t="s">
        <v>47</v>
      </c>
      <c r="AG182" s="4" t="s">
        <v>47</v>
      </c>
      <c r="AH182" s="4" t="s">
        <v>47</v>
      </c>
      <c r="AI182" s="4" t="s">
        <v>47</v>
      </c>
      <c r="AJ182" s="4" t="s">
        <v>47</v>
      </c>
      <c r="AK182" s="4" t="s">
        <v>47</v>
      </c>
      <c r="AL182" s="4" t="s">
        <v>47</v>
      </c>
      <c r="AM182" s="4" t="s">
        <v>47</v>
      </c>
      <c r="AN182" s="4" t="s">
        <v>47</v>
      </c>
      <c r="AO182" s="4" t="s">
        <v>2317</v>
      </c>
      <c r="AP182" s="4" t="s">
        <v>47</v>
      </c>
      <c r="AQ182" s="4" t="s">
        <v>2318</v>
      </c>
      <c r="AR182" s="4" t="s">
        <v>2319</v>
      </c>
    </row>
    <row r="183" spans="1:44" x14ac:dyDescent="0.2">
      <c r="A183" s="4" t="s">
        <v>118</v>
      </c>
      <c r="B183" s="4" t="s">
        <v>171</v>
      </c>
      <c r="C183">
        <v>2</v>
      </c>
      <c r="F183">
        <v>1</v>
      </c>
      <c r="I183" s="4" t="s">
        <v>1925</v>
      </c>
      <c r="J183" s="4" t="s">
        <v>47</v>
      </c>
      <c r="K183" s="4" t="s">
        <v>2076</v>
      </c>
      <c r="L183" s="4" t="s">
        <v>47</v>
      </c>
      <c r="M183">
        <v>68351</v>
      </c>
      <c r="N183" s="4" t="s">
        <v>1858</v>
      </c>
      <c r="O183" s="4" t="s">
        <v>2320</v>
      </c>
      <c r="P183" s="4" t="s">
        <v>811</v>
      </c>
      <c r="Q183" s="9">
        <v>41805</v>
      </c>
      <c r="R183" s="4" t="s">
        <v>617</v>
      </c>
      <c r="S183" s="4" t="s">
        <v>1568</v>
      </c>
      <c r="T183" s="4" t="s">
        <v>47</v>
      </c>
      <c r="U183" s="4" t="s">
        <v>12</v>
      </c>
      <c r="V183">
        <v>2014</v>
      </c>
      <c r="W183" s="4" t="s">
        <v>2321</v>
      </c>
      <c r="X183" s="4" t="s">
        <v>2322</v>
      </c>
      <c r="Y183" s="4" t="s">
        <v>2323</v>
      </c>
      <c r="Z183" s="4" t="s">
        <v>2324</v>
      </c>
      <c r="AA183" s="4" t="s">
        <v>47</v>
      </c>
      <c r="AB183" s="4" t="s">
        <v>47</v>
      </c>
      <c r="AC183" s="4" t="s">
        <v>47</v>
      </c>
      <c r="AD183" s="4" t="s">
        <v>47</v>
      </c>
      <c r="AE183" s="4" t="s">
        <v>47</v>
      </c>
      <c r="AF183" s="4" t="s">
        <v>47</v>
      </c>
      <c r="AG183" s="4" t="s">
        <v>47</v>
      </c>
      <c r="AH183" s="4" t="s">
        <v>47</v>
      </c>
      <c r="AI183" s="4" t="s">
        <v>47</v>
      </c>
      <c r="AJ183" s="4" t="s">
        <v>47</v>
      </c>
      <c r="AK183" s="4" t="s">
        <v>47</v>
      </c>
      <c r="AL183" s="4" t="s">
        <v>47</v>
      </c>
      <c r="AM183" s="4" t="s">
        <v>47</v>
      </c>
      <c r="AN183" s="4" t="s">
        <v>47</v>
      </c>
      <c r="AO183" s="4" t="s">
        <v>2325</v>
      </c>
      <c r="AP183" s="4" t="s">
        <v>2326</v>
      </c>
      <c r="AQ183" s="4" t="s">
        <v>2327</v>
      </c>
      <c r="AR183" s="4" t="s">
        <v>2328</v>
      </c>
    </row>
    <row r="184" spans="1:44" x14ac:dyDescent="0.2">
      <c r="A184" s="4" t="s">
        <v>87</v>
      </c>
      <c r="B184" s="4" t="s">
        <v>248</v>
      </c>
      <c r="C184">
        <v>3</v>
      </c>
      <c r="F184">
        <v>0</v>
      </c>
      <c r="I184" s="4" t="s">
        <v>589</v>
      </c>
      <c r="J184" s="4" t="s">
        <v>47</v>
      </c>
      <c r="K184" s="4" t="s">
        <v>822</v>
      </c>
      <c r="L184" s="4" t="s">
        <v>47</v>
      </c>
      <c r="M184">
        <v>43012</v>
      </c>
      <c r="N184" s="4" t="s">
        <v>1953</v>
      </c>
      <c r="O184" s="4" t="s">
        <v>2329</v>
      </c>
      <c r="P184" s="4" t="s">
        <v>811</v>
      </c>
      <c r="Q184" s="9">
        <v>41805</v>
      </c>
      <c r="R184" s="4" t="s">
        <v>638</v>
      </c>
      <c r="S184" s="4" t="s">
        <v>1290</v>
      </c>
      <c r="T184" s="4" t="s">
        <v>47</v>
      </c>
      <c r="U184" s="4" t="s">
        <v>12</v>
      </c>
      <c r="V184">
        <v>2014</v>
      </c>
      <c r="W184" s="4" t="s">
        <v>2330</v>
      </c>
      <c r="X184" s="4" t="s">
        <v>47</v>
      </c>
      <c r="Y184" s="4" t="s">
        <v>2331</v>
      </c>
      <c r="Z184" s="4" t="s">
        <v>47</v>
      </c>
      <c r="AA184" s="4" t="s">
        <v>2332</v>
      </c>
      <c r="AB184" s="4" t="s">
        <v>47</v>
      </c>
      <c r="AC184" s="4" t="s">
        <v>2333</v>
      </c>
      <c r="AD184" s="4" t="s">
        <v>47</v>
      </c>
      <c r="AE184" s="4" t="s">
        <v>47</v>
      </c>
      <c r="AF184" s="4" t="s">
        <v>47</v>
      </c>
      <c r="AG184" s="4" t="s">
        <v>47</v>
      </c>
      <c r="AH184" s="4" t="s">
        <v>47</v>
      </c>
      <c r="AI184" s="4" t="s">
        <v>47</v>
      </c>
      <c r="AJ184" s="4" t="s">
        <v>47</v>
      </c>
      <c r="AK184" s="4" t="s">
        <v>47</v>
      </c>
      <c r="AL184" s="4" t="s">
        <v>47</v>
      </c>
      <c r="AM184" s="4" t="s">
        <v>47</v>
      </c>
      <c r="AN184" s="4" t="s">
        <v>2334</v>
      </c>
      <c r="AO184" s="4" t="s">
        <v>2335</v>
      </c>
      <c r="AP184" s="4" t="s">
        <v>2336</v>
      </c>
      <c r="AQ184" s="4" t="s">
        <v>2337</v>
      </c>
      <c r="AR184" s="4" t="s">
        <v>2338</v>
      </c>
    </row>
    <row r="185" spans="1:44" x14ac:dyDescent="0.2">
      <c r="A185" s="4" t="s">
        <v>26</v>
      </c>
      <c r="B185" s="4" t="s">
        <v>246</v>
      </c>
      <c r="C185">
        <v>2</v>
      </c>
      <c r="F185">
        <v>1</v>
      </c>
      <c r="I185" s="4" t="s">
        <v>1847</v>
      </c>
      <c r="J185" s="4" t="s">
        <v>47</v>
      </c>
      <c r="K185" s="4" t="s">
        <v>2051</v>
      </c>
      <c r="L185" s="4" t="s">
        <v>47</v>
      </c>
      <c r="M185">
        <v>74738</v>
      </c>
      <c r="N185" s="4" t="s">
        <v>1848</v>
      </c>
      <c r="O185" s="4" t="s">
        <v>2339</v>
      </c>
      <c r="P185" s="4" t="s">
        <v>811</v>
      </c>
      <c r="Q185" s="9">
        <v>41805</v>
      </c>
      <c r="R185" s="4" t="s">
        <v>617</v>
      </c>
      <c r="S185" s="4" t="s">
        <v>1741</v>
      </c>
      <c r="T185" s="4" t="s">
        <v>47</v>
      </c>
      <c r="U185" s="4" t="s">
        <v>12</v>
      </c>
      <c r="V185">
        <v>2014</v>
      </c>
      <c r="W185" s="4" t="s">
        <v>2340</v>
      </c>
      <c r="X185" s="4" t="s">
        <v>2341</v>
      </c>
      <c r="Y185" s="4" t="s">
        <v>2342</v>
      </c>
      <c r="Z185" s="4" t="s">
        <v>2343</v>
      </c>
      <c r="AA185" s="4" t="s">
        <v>2344</v>
      </c>
      <c r="AB185" s="4" t="s">
        <v>47</v>
      </c>
      <c r="AC185" s="4" t="s">
        <v>47</v>
      </c>
      <c r="AD185" s="4" t="s">
        <v>47</v>
      </c>
      <c r="AE185" s="4" t="s">
        <v>47</v>
      </c>
      <c r="AF185" s="4" t="s">
        <v>47</v>
      </c>
      <c r="AG185" s="4" t="s">
        <v>47</v>
      </c>
      <c r="AH185" s="4" t="s">
        <v>47</v>
      </c>
      <c r="AI185" s="4" t="s">
        <v>47</v>
      </c>
      <c r="AJ185" s="4" t="s">
        <v>47</v>
      </c>
      <c r="AK185" s="4" t="s">
        <v>47</v>
      </c>
      <c r="AL185" s="4" t="s">
        <v>47</v>
      </c>
      <c r="AM185" s="4" t="s">
        <v>47</v>
      </c>
      <c r="AN185" s="4" t="s">
        <v>47</v>
      </c>
      <c r="AO185" s="4" t="s">
        <v>2345</v>
      </c>
      <c r="AP185" s="4" t="s">
        <v>2346</v>
      </c>
      <c r="AQ185" s="4" t="s">
        <v>2347</v>
      </c>
      <c r="AR185" s="4" t="s">
        <v>2348</v>
      </c>
    </row>
    <row r="186" spans="1:44" x14ac:dyDescent="0.2">
      <c r="A186" s="4" t="s">
        <v>153</v>
      </c>
      <c r="B186" s="4" t="s">
        <v>217</v>
      </c>
      <c r="C186">
        <v>3</v>
      </c>
      <c r="F186">
        <v>0</v>
      </c>
      <c r="I186" s="4" t="s">
        <v>1336</v>
      </c>
      <c r="J186" s="4" t="s">
        <v>47</v>
      </c>
      <c r="K186" s="4" t="s">
        <v>647</v>
      </c>
      <c r="L186" s="4" t="s">
        <v>47</v>
      </c>
      <c r="M186">
        <v>57174</v>
      </c>
      <c r="N186" s="4" t="s">
        <v>1878</v>
      </c>
      <c r="O186" s="4" t="s">
        <v>1945</v>
      </c>
      <c r="P186" s="4" t="s">
        <v>811</v>
      </c>
      <c r="Q186" s="9">
        <v>41804</v>
      </c>
      <c r="R186" s="4" t="s">
        <v>638</v>
      </c>
      <c r="S186" s="4" t="s">
        <v>1341</v>
      </c>
      <c r="T186" s="4" t="s">
        <v>47</v>
      </c>
      <c r="U186" s="4" t="s">
        <v>12</v>
      </c>
      <c r="V186">
        <v>2014</v>
      </c>
      <c r="W186" s="4" t="s">
        <v>2349</v>
      </c>
      <c r="X186" s="4" t="s">
        <v>47</v>
      </c>
      <c r="Y186" s="4" t="s">
        <v>2350</v>
      </c>
      <c r="Z186" s="4" t="s">
        <v>47</v>
      </c>
      <c r="AA186" s="4" t="s">
        <v>47</v>
      </c>
      <c r="AB186" s="4" t="s">
        <v>47</v>
      </c>
      <c r="AC186" s="4" t="s">
        <v>47</v>
      </c>
      <c r="AD186" s="4" t="s">
        <v>47</v>
      </c>
      <c r="AE186" s="4" t="s">
        <v>47</v>
      </c>
      <c r="AF186" s="4" t="s">
        <v>47</v>
      </c>
      <c r="AG186" s="4" t="s">
        <v>47</v>
      </c>
      <c r="AH186" s="4" t="s">
        <v>47</v>
      </c>
      <c r="AI186" s="4" t="s">
        <v>47</v>
      </c>
      <c r="AJ186" s="4" t="s">
        <v>47</v>
      </c>
      <c r="AK186" s="4" t="s">
        <v>47</v>
      </c>
      <c r="AL186" s="4" t="s">
        <v>47</v>
      </c>
      <c r="AM186" s="4" t="s">
        <v>47</v>
      </c>
      <c r="AN186" s="4" t="s">
        <v>47</v>
      </c>
      <c r="AO186" s="4" t="s">
        <v>2351</v>
      </c>
      <c r="AP186" s="4" t="s">
        <v>2352</v>
      </c>
      <c r="AQ186" s="4" t="s">
        <v>2353</v>
      </c>
      <c r="AR186" s="4" t="s">
        <v>2354</v>
      </c>
    </row>
    <row r="187" spans="1:44" x14ac:dyDescent="0.2">
      <c r="A187" s="4" t="s">
        <v>121</v>
      </c>
      <c r="B187" s="4" t="s">
        <v>225</v>
      </c>
      <c r="C187">
        <v>1</v>
      </c>
      <c r="F187">
        <v>3</v>
      </c>
      <c r="I187" s="4" t="s">
        <v>1303</v>
      </c>
      <c r="J187" s="4" t="s">
        <v>47</v>
      </c>
      <c r="K187" s="4" t="s">
        <v>1897</v>
      </c>
      <c r="L187" s="4" t="s">
        <v>47</v>
      </c>
      <c r="M187">
        <v>58679</v>
      </c>
      <c r="N187" s="4" t="s">
        <v>1915</v>
      </c>
      <c r="O187" s="4" t="s">
        <v>2355</v>
      </c>
      <c r="P187" s="4" t="s">
        <v>811</v>
      </c>
      <c r="Q187" s="9">
        <v>41804</v>
      </c>
      <c r="R187" s="4" t="s">
        <v>1098</v>
      </c>
      <c r="S187" s="4" t="s">
        <v>1659</v>
      </c>
      <c r="T187" s="4" t="s">
        <v>47</v>
      </c>
      <c r="U187" s="4" t="s">
        <v>12</v>
      </c>
      <c r="V187">
        <v>2014</v>
      </c>
      <c r="W187" s="4" t="s">
        <v>47</v>
      </c>
      <c r="X187" s="4" t="s">
        <v>2356</v>
      </c>
      <c r="Y187" s="4" t="s">
        <v>47</v>
      </c>
      <c r="Z187" s="4" t="s">
        <v>2357</v>
      </c>
      <c r="AA187" s="4" t="s">
        <v>47</v>
      </c>
      <c r="AB187" s="4" t="s">
        <v>47</v>
      </c>
      <c r="AC187" s="4" t="s">
        <v>2358</v>
      </c>
      <c r="AD187" s="4" t="s">
        <v>47</v>
      </c>
      <c r="AE187" s="4" t="s">
        <v>47</v>
      </c>
      <c r="AF187" s="4" t="s">
        <v>47</v>
      </c>
      <c r="AG187" s="4" t="s">
        <v>47</v>
      </c>
      <c r="AH187" s="4" t="s">
        <v>47</v>
      </c>
      <c r="AI187" s="4" t="s">
        <v>47</v>
      </c>
      <c r="AJ187" s="4" t="s">
        <v>47</v>
      </c>
      <c r="AK187" s="4" t="s">
        <v>2359</v>
      </c>
      <c r="AL187" s="4" t="s">
        <v>47</v>
      </c>
      <c r="AM187" s="4" t="s">
        <v>47</v>
      </c>
      <c r="AN187" s="4" t="s">
        <v>47</v>
      </c>
      <c r="AO187" s="4" t="s">
        <v>2360</v>
      </c>
      <c r="AP187" s="4" t="s">
        <v>47</v>
      </c>
      <c r="AQ187" s="4" t="s">
        <v>2361</v>
      </c>
      <c r="AR187" s="4" t="s">
        <v>2362</v>
      </c>
    </row>
    <row r="188" spans="1:44" x14ac:dyDescent="0.2">
      <c r="A188" s="4" t="s">
        <v>52</v>
      </c>
      <c r="B188" s="4" t="s">
        <v>97</v>
      </c>
      <c r="C188">
        <v>1</v>
      </c>
      <c r="F188">
        <v>2</v>
      </c>
      <c r="I188" s="4" t="s">
        <v>2083</v>
      </c>
      <c r="J188" s="4" t="s">
        <v>47</v>
      </c>
      <c r="K188" s="4" t="s">
        <v>2089</v>
      </c>
      <c r="L188" s="4" t="s">
        <v>47</v>
      </c>
      <c r="M188">
        <v>39800</v>
      </c>
      <c r="N188" s="4" t="s">
        <v>2069</v>
      </c>
      <c r="O188" s="4" t="s">
        <v>2363</v>
      </c>
      <c r="P188" s="4" t="s">
        <v>811</v>
      </c>
      <c r="Q188" s="9">
        <v>41804</v>
      </c>
      <c r="R188" s="4" t="s">
        <v>664</v>
      </c>
      <c r="S188" s="4" t="s">
        <v>1279</v>
      </c>
      <c r="T188" s="4" t="s">
        <v>47</v>
      </c>
      <c r="U188" s="4" t="s">
        <v>12</v>
      </c>
      <c r="V188">
        <v>2014</v>
      </c>
      <c r="W188" s="4" t="s">
        <v>2364</v>
      </c>
      <c r="X188" s="4" t="s">
        <v>2365</v>
      </c>
      <c r="Y188" s="4" t="s">
        <v>2366</v>
      </c>
      <c r="Z188" s="4" t="s">
        <v>2367</v>
      </c>
      <c r="AA188" s="4" t="s">
        <v>47</v>
      </c>
      <c r="AB188" s="4" t="s">
        <v>47</v>
      </c>
      <c r="AC188" s="4" t="s">
        <v>47</v>
      </c>
      <c r="AD188" s="4" t="s">
        <v>47</v>
      </c>
      <c r="AE188" s="4" t="s">
        <v>47</v>
      </c>
      <c r="AF188" s="4" t="s">
        <v>47</v>
      </c>
      <c r="AG188" s="4" t="s">
        <v>47</v>
      </c>
      <c r="AH188" s="4" t="s">
        <v>47</v>
      </c>
      <c r="AI188" s="4" t="s">
        <v>47</v>
      </c>
      <c r="AJ188" s="4" t="s">
        <v>47</v>
      </c>
      <c r="AK188" s="4" t="s">
        <v>47</v>
      </c>
      <c r="AL188" s="4" t="s">
        <v>47</v>
      </c>
      <c r="AM188" s="4" t="s">
        <v>47</v>
      </c>
      <c r="AN188" s="4" t="s">
        <v>47</v>
      </c>
      <c r="AO188" s="4" t="s">
        <v>2368</v>
      </c>
      <c r="AP188" s="4" t="s">
        <v>47</v>
      </c>
      <c r="AQ188" s="4" t="s">
        <v>2369</v>
      </c>
      <c r="AR188" s="4" t="s">
        <v>2370</v>
      </c>
    </row>
    <row r="189" spans="1:44" x14ac:dyDescent="0.2">
      <c r="A189" s="4" t="s">
        <v>190</v>
      </c>
      <c r="B189" s="4" t="s">
        <v>161</v>
      </c>
      <c r="C189">
        <v>2</v>
      </c>
      <c r="F189">
        <v>1</v>
      </c>
      <c r="I189" s="4" t="s">
        <v>2111</v>
      </c>
      <c r="J189" s="4" t="s">
        <v>47</v>
      </c>
      <c r="K189" s="4" t="s">
        <v>2098</v>
      </c>
      <c r="L189" s="4" t="s">
        <v>47</v>
      </c>
      <c r="M189">
        <v>40267</v>
      </c>
      <c r="N189" s="4" t="s">
        <v>1974</v>
      </c>
      <c r="O189" s="4" t="s">
        <v>2202</v>
      </c>
      <c r="P189" s="4" t="s">
        <v>811</v>
      </c>
      <c r="Q189" s="9">
        <v>41804</v>
      </c>
      <c r="R189" s="4" t="s">
        <v>617</v>
      </c>
      <c r="S189" s="4" t="s">
        <v>2203</v>
      </c>
      <c r="T189" s="4" t="s">
        <v>47</v>
      </c>
      <c r="U189" s="4" t="s">
        <v>12</v>
      </c>
      <c r="V189">
        <v>2014</v>
      </c>
      <c r="W189" s="4" t="s">
        <v>2371</v>
      </c>
      <c r="X189" s="4" t="s">
        <v>2372</v>
      </c>
      <c r="Y189" s="4" t="s">
        <v>2373</v>
      </c>
      <c r="Z189" s="4" t="s">
        <v>2374</v>
      </c>
      <c r="AA189" s="4" t="s">
        <v>47</v>
      </c>
      <c r="AB189" s="4" t="s">
        <v>47</v>
      </c>
      <c r="AC189" s="4" t="s">
        <v>47</v>
      </c>
      <c r="AD189" s="4" t="s">
        <v>47</v>
      </c>
      <c r="AE189" s="4" t="s">
        <v>47</v>
      </c>
      <c r="AF189" s="4" t="s">
        <v>47</v>
      </c>
      <c r="AG189" s="4" t="s">
        <v>47</v>
      </c>
      <c r="AH189" s="4" t="s">
        <v>47</v>
      </c>
      <c r="AI189" s="4" t="s">
        <v>47</v>
      </c>
      <c r="AJ189" s="4" t="s">
        <v>47</v>
      </c>
      <c r="AK189" s="4" t="s">
        <v>47</v>
      </c>
      <c r="AL189" s="4" t="s">
        <v>47</v>
      </c>
      <c r="AM189" s="4" t="s">
        <v>47</v>
      </c>
      <c r="AN189" s="4" t="s">
        <v>47</v>
      </c>
      <c r="AO189" s="4" t="s">
        <v>2375</v>
      </c>
      <c r="AP189" s="4" t="s">
        <v>2376</v>
      </c>
      <c r="AQ189" s="4" t="s">
        <v>2377</v>
      </c>
      <c r="AR189" s="4" t="s">
        <v>2378</v>
      </c>
    </row>
    <row r="190" spans="1:44" x14ac:dyDescent="0.2">
      <c r="A190" s="4" t="s">
        <v>106</v>
      </c>
      <c r="B190" s="4" t="s">
        <v>209</v>
      </c>
      <c r="C190">
        <v>1</v>
      </c>
      <c r="F190">
        <v>0</v>
      </c>
      <c r="I190" s="4" t="s">
        <v>1963</v>
      </c>
      <c r="J190" s="4" t="s">
        <v>47</v>
      </c>
      <c r="K190" s="4" t="s">
        <v>2148</v>
      </c>
      <c r="L190" s="4" t="s">
        <v>47</v>
      </c>
      <c r="M190">
        <v>39216</v>
      </c>
      <c r="N190" s="4" t="s">
        <v>2090</v>
      </c>
      <c r="O190" s="4" t="s">
        <v>2379</v>
      </c>
      <c r="P190" s="4" t="s">
        <v>811</v>
      </c>
      <c r="Q190" s="9">
        <v>41803</v>
      </c>
      <c r="R190" s="4" t="s">
        <v>652</v>
      </c>
      <c r="S190" s="4" t="s">
        <v>1548</v>
      </c>
      <c r="T190" s="4" t="s">
        <v>47</v>
      </c>
      <c r="U190" s="4" t="s">
        <v>12</v>
      </c>
      <c r="V190">
        <v>2014</v>
      </c>
      <c r="W190" s="4" t="s">
        <v>2380</v>
      </c>
      <c r="X190" s="4" t="s">
        <v>47</v>
      </c>
      <c r="Y190" s="4" t="s">
        <v>2381</v>
      </c>
      <c r="Z190" s="4" t="s">
        <v>47</v>
      </c>
      <c r="AA190" s="4" t="s">
        <v>47</v>
      </c>
      <c r="AB190" s="4" t="s">
        <v>47</v>
      </c>
      <c r="AC190" s="4" t="s">
        <v>47</v>
      </c>
      <c r="AD190" s="4" t="s">
        <v>47</v>
      </c>
      <c r="AE190" s="4" t="s">
        <v>47</v>
      </c>
      <c r="AF190" s="4" t="s">
        <v>47</v>
      </c>
      <c r="AG190" s="4" t="s">
        <v>47</v>
      </c>
      <c r="AH190" s="4" t="s">
        <v>47</v>
      </c>
      <c r="AI190" s="4" t="s">
        <v>47</v>
      </c>
      <c r="AJ190" s="4" t="s">
        <v>47</v>
      </c>
      <c r="AK190" s="4" t="s">
        <v>47</v>
      </c>
      <c r="AL190" s="4" t="s">
        <v>47</v>
      </c>
      <c r="AM190" s="4" t="s">
        <v>47</v>
      </c>
      <c r="AN190" s="4" t="s">
        <v>47</v>
      </c>
      <c r="AO190" s="4" t="s">
        <v>2382</v>
      </c>
      <c r="AP190" s="4" t="s">
        <v>2383</v>
      </c>
      <c r="AQ190" s="4" t="s">
        <v>2384</v>
      </c>
      <c r="AR190" s="4" t="s">
        <v>2385</v>
      </c>
    </row>
    <row r="191" spans="1:44" x14ac:dyDescent="0.2">
      <c r="A191" s="4" t="s">
        <v>20</v>
      </c>
      <c r="B191" s="4" t="s">
        <v>95</v>
      </c>
      <c r="C191">
        <v>1</v>
      </c>
      <c r="F191">
        <v>5</v>
      </c>
      <c r="I191" s="4" t="s">
        <v>2123</v>
      </c>
      <c r="J191" s="4" t="s">
        <v>47</v>
      </c>
      <c r="K191" s="4" t="s">
        <v>692</v>
      </c>
      <c r="L191" s="4" t="s">
        <v>47</v>
      </c>
      <c r="M191">
        <v>48173</v>
      </c>
      <c r="N191" s="4" t="s">
        <v>1898</v>
      </c>
      <c r="O191" s="4" t="s">
        <v>2061</v>
      </c>
      <c r="P191" s="4" t="s">
        <v>811</v>
      </c>
      <c r="Q191" s="9">
        <v>41803</v>
      </c>
      <c r="R191" s="4" t="s">
        <v>2386</v>
      </c>
      <c r="S191" s="4" t="s">
        <v>1850</v>
      </c>
      <c r="T191" s="4" t="s">
        <v>47</v>
      </c>
      <c r="U191" s="4" t="s">
        <v>12</v>
      </c>
      <c r="V191">
        <v>2014</v>
      </c>
      <c r="W191" s="4" t="s">
        <v>47</v>
      </c>
      <c r="X191" s="4" t="s">
        <v>2387</v>
      </c>
      <c r="Y191" s="4" t="s">
        <v>47</v>
      </c>
      <c r="Z191" s="4" t="s">
        <v>2388</v>
      </c>
      <c r="AA191" s="4" t="s">
        <v>47</v>
      </c>
      <c r="AB191" s="4" t="s">
        <v>47</v>
      </c>
      <c r="AC191" s="4" t="s">
        <v>2389</v>
      </c>
      <c r="AD191" s="4" t="s">
        <v>47</v>
      </c>
      <c r="AE191" s="4" t="s">
        <v>47</v>
      </c>
      <c r="AF191" s="4" t="s">
        <v>47</v>
      </c>
      <c r="AG191" s="4" t="s">
        <v>47</v>
      </c>
      <c r="AH191" s="4" t="s">
        <v>47</v>
      </c>
      <c r="AI191" s="4" t="s">
        <v>47</v>
      </c>
      <c r="AJ191" s="4" t="s">
        <v>47</v>
      </c>
      <c r="AK191" s="4" t="s">
        <v>47</v>
      </c>
      <c r="AL191" s="4" t="s">
        <v>47</v>
      </c>
      <c r="AM191" s="4" t="s">
        <v>47</v>
      </c>
      <c r="AN191" s="4" t="s">
        <v>47</v>
      </c>
      <c r="AO191" s="4" t="s">
        <v>2390</v>
      </c>
      <c r="AP191" s="4" t="s">
        <v>2391</v>
      </c>
      <c r="AQ191" s="4" t="s">
        <v>2392</v>
      </c>
      <c r="AR191" s="4" t="s">
        <v>2393</v>
      </c>
    </row>
    <row r="192" spans="1:44" x14ac:dyDescent="0.2">
      <c r="A192" s="4" t="s">
        <v>113</v>
      </c>
      <c r="B192" s="4" t="s">
        <v>179</v>
      </c>
      <c r="C192">
        <v>3</v>
      </c>
      <c r="F192">
        <v>1</v>
      </c>
      <c r="I192" s="4" t="s">
        <v>1404</v>
      </c>
      <c r="J192" s="4" t="s">
        <v>47</v>
      </c>
      <c r="K192" s="4" t="s">
        <v>2122</v>
      </c>
      <c r="L192" s="4" t="s">
        <v>47</v>
      </c>
      <c r="M192">
        <v>40275</v>
      </c>
      <c r="N192" s="4" t="s">
        <v>2099</v>
      </c>
      <c r="O192" s="4" t="s">
        <v>2394</v>
      </c>
      <c r="P192" s="4" t="s">
        <v>811</v>
      </c>
      <c r="Q192" s="9">
        <v>41803</v>
      </c>
      <c r="R192" s="4" t="s">
        <v>770</v>
      </c>
      <c r="S192" s="4" t="s">
        <v>2078</v>
      </c>
      <c r="T192" s="4" t="s">
        <v>47</v>
      </c>
      <c r="U192" s="4" t="s">
        <v>12</v>
      </c>
      <c r="V192">
        <v>2014</v>
      </c>
      <c r="W192" s="4" t="s">
        <v>2395</v>
      </c>
      <c r="X192" s="4" t="s">
        <v>2396</v>
      </c>
      <c r="Y192" s="4" t="s">
        <v>2397</v>
      </c>
      <c r="Z192" s="4" t="s">
        <v>2398</v>
      </c>
      <c r="AA192" s="4" t="s">
        <v>47</v>
      </c>
      <c r="AB192" s="4" t="s">
        <v>47</v>
      </c>
      <c r="AC192" s="4" t="s">
        <v>47</v>
      </c>
      <c r="AD192" s="4" t="s">
        <v>47</v>
      </c>
      <c r="AE192" s="4" t="s">
        <v>47</v>
      </c>
      <c r="AF192" s="4" t="s">
        <v>47</v>
      </c>
      <c r="AG192" s="4" t="s">
        <v>47</v>
      </c>
      <c r="AH192" s="4" t="s">
        <v>47</v>
      </c>
      <c r="AI192" s="4" t="s">
        <v>47</v>
      </c>
      <c r="AJ192" s="4" t="s">
        <v>47</v>
      </c>
      <c r="AK192" s="4" t="s">
        <v>47</v>
      </c>
      <c r="AL192" s="4" t="s">
        <v>47</v>
      </c>
      <c r="AM192" s="4" t="s">
        <v>47</v>
      </c>
      <c r="AN192" s="4" t="s">
        <v>47</v>
      </c>
      <c r="AO192" s="4" t="s">
        <v>2399</v>
      </c>
      <c r="AP192" s="4" t="s">
        <v>2400</v>
      </c>
      <c r="AQ192" s="4" t="s">
        <v>2401</v>
      </c>
      <c r="AR192" s="4" t="s">
        <v>2402</v>
      </c>
    </row>
    <row r="193" spans="1:44" x14ac:dyDescent="0.2">
      <c r="A193" s="4" t="s">
        <v>12</v>
      </c>
      <c r="B193" s="4" t="s">
        <v>90</v>
      </c>
      <c r="C193">
        <v>3</v>
      </c>
      <c r="F193">
        <v>1</v>
      </c>
      <c r="I193" s="4" t="s">
        <v>1857</v>
      </c>
      <c r="J193" s="4" t="s">
        <v>47</v>
      </c>
      <c r="K193" s="4" t="s">
        <v>2138</v>
      </c>
      <c r="L193" s="4" t="s">
        <v>47</v>
      </c>
      <c r="M193">
        <v>62103</v>
      </c>
      <c r="N193" s="4" t="s">
        <v>1868</v>
      </c>
      <c r="O193" s="4" t="s">
        <v>2403</v>
      </c>
      <c r="P193" s="4" t="s">
        <v>811</v>
      </c>
      <c r="Q193" s="9">
        <v>41802</v>
      </c>
      <c r="R193" s="4" t="s">
        <v>770</v>
      </c>
      <c r="S193" s="4" t="s">
        <v>2404</v>
      </c>
      <c r="T193" s="4" t="s">
        <v>47</v>
      </c>
      <c r="U193" s="4" t="s">
        <v>12</v>
      </c>
      <c r="V193">
        <v>2014</v>
      </c>
      <c r="W193" s="4" t="s">
        <v>2405</v>
      </c>
      <c r="X193" s="4" t="s">
        <v>47</v>
      </c>
      <c r="Y193" s="4" t="s">
        <v>2406</v>
      </c>
      <c r="Z193" s="4" t="s">
        <v>47</v>
      </c>
      <c r="AA193" s="4" t="s">
        <v>47</v>
      </c>
      <c r="AB193" s="4" t="s">
        <v>2407</v>
      </c>
      <c r="AC193" s="4" t="s">
        <v>2408</v>
      </c>
      <c r="AD193" s="4" t="s">
        <v>47</v>
      </c>
      <c r="AE193" s="4" t="s">
        <v>47</v>
      </c>
      <c r="AF193" s="4" t="s">
        <v>47</v>
      </c>
      <c r="AG193" s="4" t="s">
        <v>47</v>
      </c>
      <c r="AH193" s="4" t="s">
        <v>47</v>
      </c>
      <c r="AI193" s="4" t="s">
        <v>47</v>
      </c>
      <c r="AJ193" s="4" t="s">
        <v>47</v>
      </c>
      <c r="AK193" s="4" t="s">
        <v>47</v>
      </c>
      <c r="AL193" s="4" t="s">
        <v>47</v>
      </c>
      <c r="AM193" s="4" t="s">
        <v>47</v>
      </c>
      <c r="AN193" s="4" t="s">
        <v>47</v>
      </c>
      <c r="AO193" s="4" t="s">
        <v>2409</v>
      </c>
      <c r="AP193" s="4" t="s">
        <v>2410</v>
      </c>
      <c r="AQ193" s="4" t="s">
        <v>2411</v>
      </c>
      <c r="AR193" s="4" t="s">
        <v>2412</v>
      </c>
    </row>
    <row r="194" spans="1:44" x14ac:dyDescent="0.2">
      <c r="A194" s="4" t="s">
        <v>95</v>
      </c>
      <c r="B194" s="4" t="s">
        <v>20</v>
      </c>
      <c r="C194">
        <v>0</v>
      </c>
      <c r="F194">
        <v>1</v>
      </c>
      <c r="I194" s="4" t="s">
        <v>1506</v>
      </c>
      <c r="J194" s="4" t="s">
        <v>47</v>
      </c>
      <c r="K194" s="4" t="s">
        <v>2413</v>
      </c>
      <c r="L194" s="4" t="s">
        <v>47</v>
      </c>
      <c r="M194">
        <v>84490</v>
      </c>
      <c r="N194" s="4" t="s">
        <v>2414</v>
      </c>
      <c r="O194" s="4" t="s">
        <v>2415</v>
      </c>
      <c r="P194" s="4" t="s">
        <v>593</v>
      </c>
      <c r="Q194" s="9">
        <v>40370</v>
      </c>
      <c r="R194" s="4" t="s">
        <v>963</v>
      </c>
      <c r="S194" s="4" t="s">
        <v>1992</v>
      </c>
      <c r="T194" s="4" t="s">
        <v>1258</v>
      </c>
      <c r="U194" s="4" t="s">
        <v>94</v>
      </c>
      <c r="V194">
        <v>2010</v>
      </c>
      <c r="W194" s="4" t="s">
        <v>47</v>
      </c>
      <c r="X194" s="4" t="s">
        <v>2416</v>
      </c>
      <c r="Y194" s="4" t="s">
        <v>47</v>
      </c>
      <c r="Z194" s="4" t="s">
        <v>2417</v>
      </c>
      <c r="AA194" s="4" t="s">
        <v>47</v>
      </c>
      <c r="AB194" s="4" t="s">
        <v>47</v>
      </c>
      <c r="AC194" s="4" t="s">
        <v>47</v>
      </c>
      <c r="AD194" s="4" t="s">
        <v>47</v>
      </c>
      <c r="AE194" s="4" t="s">
        <v>47</v>
      </c>
      <c r="AF194" s="4" t="s">
        <v>47</v>
      </c>
      <c r="AG194" s="4" t="s">
        <v>47</v>
      </c>
      <c r="AH194" s="4" t="s">
        <v>47</v>
      </c>
      <c r="AI194" s="4" t="s">
        <v>47</v>
      </c>
      <c r="AJ194" s="4" t="s">
        <v>47</v>
      </c>
      <c r="AK194" s="4" t="s">
        <v>47</v>
      </c>
      <c r="AL194" s="4" t="s">
        <v>47</v>
      </c>
      <c r="AM194" s="4" t="s">
        <v>2418</v>
      </c>
      <c r="AN194" s="4" t="s">
        <v>47</v>
      </c>
      <c r="AO194" s="4" t="s">
        <v>2419</v>
      </c>
      <c r="AP194" s="4" t="s">
        <v>2420</v>
      </c>
      <c r="AQ194" s="4" t="s">
        <v>2421</v>
      </c>
      <c r="AR194" s="4" t="s">
        <v>2422</v>
      </c>
    </row>
    <row r="195" spans="1:44" x14ac:dyDescent="0.2">
      <c r="A195" s="4" t="s">
        <v>121</v>
      </c>
      <c r="B195" s="4" t="s">
        <v>92</v>
      </c>
      <c r="C195">
        <v>2</v>
      </c>
      <c r="F195">
        <v>3</v>
      </c>
      <c r="I195" s="4" t="s">
        <v>1303</v>
      </c>
      <c r="J195" s="4" t="s">
        <v>47</v>
      </c>
      <c r="K195" s="4" t="s">
        <v>1465</v>
      </c>
      <c r="L195" s="4" t="s">
        <v>47</v>
      </c>
      <c r="M195">
        <v>36254</v>
      </c>
      <c r="N195" s="4" t="s">
        <v>2423</v>
      </c>
      <c r="O195" s="4" t="s">
        <v>47</v>
      </c>
      <c r="P195" s="4" t="s">
        <v>616</v>
      </c>
      <c r="Q195" s="9">
        <v>40369</v>
      </c>
      <c r="R195" s="4" t="s">
        <v>847</v>
      </c>
      <c r="S195" s="4" t="s">
        <v>47</v>
      </c>
      <c r="T195" s="4" t="s">
        <v>47</v>
      </c>
      <c r="U195" s="4" t="s">
        <v>94</v>
      </c>
      <c r="V195">
        <v>2010</v>
      </c>
      <c r="W195" s="4" t="s">
        <v>2424</v>
      </c>
      <c r="X195" s="4" t="s">
        <v>2425</v>
      </c>
      <c r="Y195" s="4" t="s">
        <v>2426</v>
      </c>
      <c r="Z195" s="4" t="s">
        <v>2427</v>
      </c>
      <c r="AA195" s="4" t="s">
        <v>47</v>
      </c>
      <c r="AB195" s="4" t="s">
        <v>47</v>
      </c>
      <c r="AC195" s="4" t="s">
        <v>47</v>
      </c>
      <c r="AD195" s="4" t="s">
        <v>47</v>
      </c>
      <c r="AE195" s="4" t="s">
        <v>47</v>
      </c>
      <c r="AF195" s="4" t="s">
        <v>47</v>
      </c>
      <c r="AG195" s="4" t="s">
        <v>47</v>
      </c>
      <c r="AH195" s="4" t="s">
        <v>47</v>
      </c>
      <c r="AI195" s="4" t="s">
        <v>47</v>
      </c>
      <c r="AJ195" s="4" t="s">
        <v>47</v>
      </c>
      <c r="AK195" s="4" t="s">
        <v>47</v>
      </c>
      <c r="AL195" s="4" t="s">
        <v>47</v>
      </c>
      <c r="AM195" s="4" t="s">
        <v>47</v>
      </c>
      <c r="AN195" s="4" t="s">
        <v>47</v>
      </c>
      <c r="AO195" s="4" t="s">
        <v>2428</v>
      </c>
      <c r="AP195" s="4" t="s">
        <v>2429</v>
      </c>
      <c r="AQ195" s="4" t="s">
        <v>2430</v>
      </c>
      <c r="AR195" s="4" t="s">
        <v>2431</v>
      </c>
    </row>
    <row r="196" spans="1:44" x14ac:dyDescent="0.2">
      <c r="A196" s="4" t="s">
        <v>92</v>
      </c>
      <c r="B196" s="4" t="s">
        <v>20</v>
      </c>
      <c r="C196">
        <v>0</v>
      </c>
      <c r="F196">
        <v>1</v>
      </c>
      <c r="I196" s="4" t="s">
        <v>1465</v>
      </c>
      <c r="J196" s="4" t="s">
        <v>47</v>
      </c>
      <c r="K196" s="4" t="s">
        <v>2413</v>
      </c>
      <c r="L196" s="4" t="s">
        <v>47</v>
      </c>
      <c r="M196">
        <v>60960</v>
      </c>
      <c r="N196" s="4" t="s">
        <v>2432</v>
      </c>
      <c r="O196" s="4" t="s">
        <v>47</v>
      </c>
      <c r="P196" s="4" t="s">
        <v>629</v>
      </c>
      <c r="Q196" s="9">
        <v>40366</v>
      </c>
      <c r="R196" s="4" t="s">
        <v>963</v>
      </c>
      <c r="S196" s="4" t="s">
        <v>47</v>
      </c>
      <c r="T196" s="4" t="s">
        <v>47</v>
      </c>
      <c r="U196" s="4" t="s">
        <v>94</v>
      </c>
      <c r="V196">
        <v>2010</v>
      </c>
      <c r="W196" s="4" t="s">
        <v>47</v>
      </c>
      <c r="X196" s="4" t="s">
        <v>2433</v>
      </c>
      <c r="Y196" s="4" t="s">
        <v>47</v>
      </c>
      <c r="Z196" s="4" t="s">
        <v>2434</v>
      </c>
      <c r="AA196" s="4" t="s">
        <v>47</v>
      </c>
      <c r="AB196" s="4" t="s">
        <v>47</v>
      </c>
      <c r="AC196" s="4" t="s">
        <v>47</v>
      </c>
      <c r="AD196" s="4" t="s">
        <v>47</v>
      </c>
      <c r="AE196" s="4" t="s">
        <v>47</v>
      </c>
      <c r="AF196" s="4" t="s">
        <v>47</v>
      </c>
      <c r="AG196" s="4" t="s">
        <v>47</v>
      </c>
      <c r="AH196" s="4" t="s">
        <v>47</v>
      </c>
      <c r="AI196" s="4" t="s">
        <v>47</v>
      </c>
      <c r="AJ196" s="4" t="s">
        <v>47</v>
      </c>
      <c r="AK196" s="4" t="s">
        <v>47</v>
      </c>
      <c r="AL196" s="4" t="s">
        <v>47</v>
      </c>
      <c r="AM196" s="4" t="s">
        <v>47</v>
      </c>
      <c r="AN196" s="4" t="s">
        <v>47</v>
      </c>
      <c r="AO196" s="4" t="s">
        <v>47</v>
      </c>
      <c r="AP196" s="4" t="s">
        <v>47</v>
      </c>
      <c r="AQ196" s="4" t="s">
        <v>2435</v>
      </c>
      <c r="AR196" s="4" t="s">
        <v>2436</v>
      </c>
    </row>
    <row r="197" spans="1:44" x14ac:dyDescent="0.2">
      <c r="A197" s="4" t="s">
        <v>121</v>
      </c>
      <c r="B197" s="4" t="s">
        <v>95</v>
      </c>
      <c r="C197">
        <v>2</v>
      </c>
      <c r="F197">
        <v>3</v>
      </c>
      <c r="I197" s="4" t="s">
        <v>1303</v>
      </c>
      <c r="J197" s="4" t="s">
        <v>47</v>
      </c>
      <c r="K197" s="4" t="s">
        <v>1506</v>
      </c>
      <c r="L197" s="4" t="s">
        <v>47</v>
      </c>
      <c r="M197">
        <v>62479</v>
      </c>
      <c r="N197" s="4" t="s">
        <v>2437</v>
      </c>
      <c r="O197" s="4" t="s">
        <v>47</v>
      </c>
      <c r="P197" s="4" t="s">
        <v>629</v>
      </c>
      <c r="Q197" s="9">
        <v>40365</v>
      </c>
      <c r="R197" s="4" t="s">
        <v>847</v>
      </c>
      <c r="S197" s="4" t="s">
        <v>47</v>
      </c>
      <c r="T197" s="4" t="s">
        <v>47</v>
      </c>
      <c r="U197" s="4" t="s">
        <v>94</v>
      </c>
      <c r="V197">
        <v>2010</v>
      </c>
      <c r="W197" s="4" t="s">
        <v>2438</v>
      </c>
      <c r="X197" s="4" t="s">
        <v>2439</v>
      </c>
      <c r="Y197" s="4" t="s">
        <v>2440</v>
      </c>
      <c r="Z197" s="4" t="s">
        <v>2441</v>
      </c>
      <c r="AA197" s="4" t="s">
        <v>47</v>
      </c>
      <c r="AB197" s="4" t="s">
        <v>47</v>
      </c>
      <c r="AC197" s="4" t="s">
        <v>47</v>
      </c>
      <c r="AD197" s="4" t="s">
        <v>47</v>
      </c>
      <c r="AE197" s="4" t="s">
        <v>47</v>
      </c>
      <c r="AF197" s="4" t="s">
        <v>47</v>
      </c>
      <c r="AG197" s="4" t="s">
        <v>47</v>
      </c>
      <c r="AH197" s="4" t="s">
        <v>47</v>
      </c>
      <c r="AI197" s="4" t="s">
        <v>47</v>
      </c>
      <c r="AJ197" s="4" t="s">
        <v>47</v>
      </c>
      <c r="AK197" s="4" t="s">
        <v>47</v>
      </c>
      <c r="AL197" s="4" t="s">
        <v>47</v>
      </c>
      <c r="AM197" s="4" t="s">
        <v>47</v>
      </c>
      <c r="AN197" s="4" t="s">
        <v>47</v>
      </c>
      <c r="AO197" s="4" t="s">
        <v>2442</v>
      </c>
      <c r="AP197" s="4" t="s">
        <v>2443</v>
      </c>
      <c r="AQ197" s="4" t="s">
        <v>2444</v>
      </c>
      <c r="AR197" s="4" t="s">
        <v>2445</v>
      </c>
    </row>
    <row r="198" spans="1:44" x14ac:dyDescent="0.2">
      <c r="A198" s="4" t="s">
        <v>26</v>
      </c>
      <c r="B198" s="4" t="s">
        <v>92</v>
      </c>
      <c r="C198">
        <v>0</v>
      </c>
      <c r="F198">
        <v>4</v>
      </c>
      <c r="I198" s="4" t="s">
        <v>2446</v>
      </c>
      <c r="J198" s="4" t="s">
        <v>47</v>
      </c>
      <c r="K198" s="4" t="s">
        <v>1465</v>
      </c>
      <c r="L198" s="4" t="s">
        <v>47</v>
      </c>
      <c r="M198">
        <v>64100</v>
      </c>
      <c r="N198" s="4" t="s">
        <v>2437</v>
      </c>
      <c r="O198" s="4" t="s">
        <v>47</v>
      </c>
      <c r="P198" s="4" t="s">
        <v>651</v>
      </c>
      <c r="Q198" s="9">
        <v>40362</v>
      </c>
      <c r="R198" s="4" t="s">
        <v>2269</v>
      </c>
      <c r="S198" s="4" t="s">
        <v>47</v>
      </c>
      <c r="T198" s="4" t="s">
        <v>47</v>
      </c>
      <c r="U198" s="4" t="s">
        <v>94</v>
      </c>
      <c r="V198">
        <v>2010</v>
      </c>
      <c r="W198" s="4" t="s">
        <v>47</v>
      </c>
      <c r="X198" s="4" t="s">
        <v>2447</v>
      </c>
      <c r="Y198" s="4" t="s">
        <v>47</v>
      </c>
      <c r="Z198" s="4" t="s">
        <v>2448</v>
      </c>
      <c r="AA198" s="4" t="s">
        <v>47</v>
      </c>
      <c r="AB198" s="4" t="s">
        <v>47</v>
      </c>
      <c r="AC198" s="4" t="s">
        <v>47</v>
      </c>
      <c r="AD198" s="4" t="s">
        <v>47</v>
      </c>
      <c r="AE198" s="4" t="s">
        <v>47</v>
      </c>
      <c r="AF198" s="4" t="s">
        <v>47</v>
      </c>
      <c r="AG198" s="4" t="s">
        <v>47</v>
      </c>
      <c r="AH198" s="4" t="s">
        <v>47</v>
      </c>
      <c r="AI198" s="4" t="s">
        <v>47</v>
      </c>
      <c r="AJ198" s="4" t="s">
        <v>47</v>
      </c>
      <c r="AK198" s="4" t="s">
        <v>47</v>
      </c>
      <c r="AL198" s="4" t="s">
        <v>47</v>
      </c>
      <c r="AM198" s="4" t="s">
        <v>47</v>
      </c>
      <c r="AN198" s="4" t="s">
        <v>47</v>
      </c>
      <c r="AO198" s="4" t="s">
        <v>2449</v>
      </c>
      <c r="AP198" s="4" t="s">
        <v>2450</v>
      </c>
      <c r="AQ198" s="4" t="s">
        <v>2451</v>
      </c>
      <c r="AR198" s="4" t="s">
        <v>2452</v>
      </c>
    </row>
    <row r="199" spans="1:44" x14ac:dyDescent="0.2">
      <c r="A199" s="4" t="s">
        <v>202</v>
      </c>
      <c r="B199" s="4" t="s">
        <v>20</v>
      </c>
      <c r="C199">
        <v>0</v>
      </c>
      <c r="F199">
        <v>1</v>
      </c>
      <c r="I199" s="4" t="s">
        <v>2453</v>
      </c>
      <c r="J199" s="4" t="s">
        <v>47</v>
      </c>
      <c r="K199" s="4" t="s">
        <v>2413</v>
      </c>
      <c r="L199" s="4" t="s">
        <v>47</v>
      </c>
      <c r="M199">
        <v>55359</v>
      </c>
      <c r="N199" s="4" t="s">
        <v>2454</v>
      </c>
      <c r="O199" s="4" t="s">
        <v>47</v>
      </c>
      <c r="P199" s="4" t="s">
        <v>651</v>
      </c>
      <c r="Q199" s="9">
        <v>40362</v>
      </c>
      <c r="R199" s="4" t="s">
        <v>963</v>
      </c>
      <c r="S199" s="4" t="s">
        <v>47</v>
      </c>
      <c r="T199" s="4" t="s">
        <v>47</v>
      </c>
      <c r="U199" s="4" t="s">
        <v>94</v>
      </c>
      <c r="V199">
        <v>2010</v>
      </c>
      <c r="W199" s="4" t="s">
        <v>47</v>
      </c>
      <c r="X199" s="4" t="s">
        <v>2455</v>
      </c>
      <c r="Y199" s="4" t="s">
        <v>47</v>
      </c>
      <c r="Z199" s="4" t="s">
        <v>2456</v>
      </c>
      <c r="AA199" s="4" t="s">
        <v>47</v>
      </c>
      <c r="AB199" s="4" t="s">
        <v>47</v>
      </c>
      <c r="AC199" s="4" t="s">
        <v>47</v>
      </c>
      <c r="AD199" s="4" t="s">
        <v>47</v>
      </c>
      <c r="AE199" s="4" t="s">
        <v>47</v>
      </c>
      <c r="AF199" s="4" t="s">
        <v>47</v>
      </c>
      <c r="AG199" s="4" t="s">
        <v>47</v>
      </c>
      <c r="AH199" s="4" t="s">
        <v>47</v>
      </c>
      <c r="AI199" s="4" t="s">
        <v>47</v>
      </c>
      <c r="AJ199" s="4" t="s">
        <v>47</v>
      </c>
      <c r="AK199" s="4" t="s">
        <v>47</v>
      </c>
      <c r="AL199" s="4" t="s">
        <v>47</v>
      </c>
      <c r="AM199" s="4" t="s">
        <v>47</v>
      </c>
      <c r="AN199" s="4" t="s">
        <v>47</v>
      </c>
      <c r="AO199" s="4" t="s">
        <v>2457</v>
      </c>
      <c r="AP199" s="4" t="s">
        <v>2458</v>
      </c>
      <c r="AQ199" s="4" t="s">
        <v>2459</v>
      </c>
      <c r="AR199" s="4" t="s">
        <v>2460</v>
      </c>
    </row>
    <row r="200" spans="1:44" x14ac:dyDescent="0.2">
      <c r="A200" s="4" t="s">
        <v>95</v>
      </c>
      <c r="B200" s="4" t="s">
        <v>12</v>
      </c>
      <c r="C200">
        <v>2</v>
      </c>
      <c r="F200">
        <v>1</v>
      </c>
      <c r="I200" s="4" t="s">
        <v>1506</v>
      </c>
      <c r="J200" s="4" t="s">
        <v>47</v>
      </c>
      <c r="K200" s="4" t="s">
        <v>2461</v>
      </c>
      <c r="L200" s="4" t="s">
        <v>47</v>
      </c>
      <c r="M200">
        <v>40186</v>
      </c>
      <c r="N200" s="4" t="s">
        <v>2423</v>
      </c>
      <c r="O200" s="4" t="s">
        <v>47</v>
      </c>
      <c r="P200" s="4" t="s">
        <v>651</v>
      </c>
      <c r="Q200" s="9">
        <v>40361</v>
      </c>
      <c r="R200" s="4" t="s">
        <v>617</v>
      </c>
      <c r="S200" s="4" t="s">
        <v>47</v>
      </c>
      <c r="T200" s="4" t="s">
        <v>47</v>
      </c>
      <c r="U200" s="4" t="s">
        <v>94</v>
      </c>
      <c r="V200">
        <v>2010</v>
      </c>
      <c r="W200" s="4" t="s">
        <v>2462</v>
      </c>
      <c r="X200" s="4" t="s">
        <v>2463</v>
      </c>
      <c r="Y200" s="4" t="s">
        <v>2464</v>
      </c>
      <c r="Z200" s="4" t="s">
        <v>2465</v>
      </c>
      <c r="AA200" s="4" t="s">
        <v>47</v>
      </c>
      <c r="AB200" s="4" t="s">
        <v>47</v>
      </c>
      <c r="AC200" s="4" t="s">
        <v>47</v>
      </c>
      <c r="AD200" s="4" t="s">
        <v>47</v>
      </c>
      <c r="AE200" s="4" t="s">
        <v>47</v>
      </c>
      <c r="AF200" s="4" t="s">
        <v>47</v>
      </c>
      <c r="AG200" s="4" t="s">
        <v>47</v>
      </c>
      <c r="AH200" s="4" t="s">
        <v>47</v>
      </c>
      <c r="AI200" s="4" t="s">
        <v>47</v>
      </c>
      <c r="AJ200" s="4" t="s">
        <v>47</v>
      </c>
      <c r="AK200" s="4" t="s">
        <v>47</v>
      </c>
      <c r="AL200" s="4" t="s">
        <v>47</v>
      </c>
      <c r="AM200" s="4" t="s">
        <v>47</v>
      </c>
      <c r="AN200" s="4" t="s">
        <v>47</v>
      </c>
      <c r="AO200" s="4" t="s">
        <v>2466</v>
      </c>
      <c r="AP200" s="4" t="s">
        <v>2467</v>
      </c>
      <c r="AQ200" s="4" t="s">
        <v>2468</v>
      </c>
      <c r="AR200" s="4" t="s">
        <v>2469</v>
      </c>
    </row>
    <row r="201" spans="1:44" x14ac:dyDescent="0.2">
      <c r="A201" s="4" t="s">
        <v>121</v>
      </c>
      <c r="B201" s="4" t="s">
        <v>264</v>
      </c>
      <c r="C201">
        <v>1</v>
      </c>
      <c r="E201">
        <v>4</v>
      </c>
      <c r="F201">
        <v>1</v>
      </c>
      <c r="H201">
        <v>2</v>
      </c>
      <c r="I201" s="4" t="s">
        <v>1303</v>
      </c>
      <c r="J201" s="4" t="s">
        <v>47</v>
      </c>
      <c r="K201" s="4" t="s">
        <v>2470</v>
      </c>
      <c r="L201" s="4" t="s">
        <v>47</v>
      </c>
      <c r="M201">
        <v>84017</v>
      </c>
      <c r="N201" s="4" t="s">
        <v>2414</v>
      </c>
      <c r="O201" s="4" t="s">
        <v>47</v>
      </c>
      <c r="P201" s="4" t="s">
        <v>651</v>
      </c>
      <c r="Q201" s="9">
        <v>40361</v>
      </c>
      <c r="R201" s="4" t="s">
        <v>678</v>
      </c>
      <c r="S201" s="4" t="s">
        <v>47</v>
      </c>
      <c r="T201" s="4" t="s">
        <v>2471</v>
      </c>
      <c r="U201" s="4" t="s">
        <v>94</v>
      </c>
      <c r="V201">
        <v>2010</v>
      </c>
      <c r="W201" s="4" t="s">
        <v>2472</v>
      </c>
      <c r="X201" s="4" t="s">
        <v>2473</v>
      </c>
      <c r="Y201" s="4" t="s">
        <v>2474</v>
      </c>
      <c r="Z201" s="4" t="s">
        <v>2475</v>
      </c>
      <c r="AA201" s="4" t="s">
        <v>47</v>
      </c>
      <c r="AB201" s="4" t="s">
        <v>47</v>
      </c>
      <c r="AC201" s="4" t="s">
        <v>47</v>
      </c>
      <c r="AD201" s="4" t="s">
        <v>47</v>
      </c>
      <c r="AE201" s="4" t="s">
        <v>47</v>
      </c>
      <c r="AF201" s="4" t="s">
        <v>2476</v>
      </c>
      <c r="AG201" s="4" t="s">
        <v>2477</v>
      </c>
      <c r="AH201" s="4" t="s">
        <v>2478</v>
      </c>
      <c r="AI201" s="4" t="s">
        <v>2479</v>
      </c>
      <c r="AJ201" s="4" t="s">
        <v>2480</v>
      </c>
      <c r="AK201" s="4" t="s">
        <v>2481</v>
      </c>
      <c r="AL201" s="4" t="s">
        <v>47</v>
      </c>
      <c r="AM201" s="4" t="s">
        <v>47</v>
      </c>
      <c r="AN201" s="4" t="s">
        <v>47</v>
      </c>
      <c r="AO201" s="4" t="s">
        <v>2482</v>
      </c>
      <c r="AP201" s="4" t="s">
        <v>2483</v>
      </c>
      <c r="AQ201" s="4" t="s">
        <v>2484</v>
      </c>
      <c r="AR201" s="4" t="s">
        <v>2485</v>
      </c>
    </row>
    <row r="202" spans="1:44" x14ac:dyDescent="0.2">
      <c r="A202" s="4" t="s">
        <v>202</v>
      </c>
      <c r="B202" s="4" t="s">
        <v>161</v>
      </c>
      <c r="C202">
        <v>0</v>
      </c>
      <c r="E202">
        <v>5</v>
      </c>
      <c r="F202">
        <v>0</v>
      </c>
      <c r="H202">
        <v>3</v>
      </c>
      <c r="I202" s="4" t="s">
        <v>2453</v>
      </c>
      <c r="J202" s="4" t="s">
        <v>47</v>
      </c>
      <c r="K202" s="4" t="s">
        <v>2486</v>
      </c>
      <c r="L202" s="4" t="s">
        <v>47</v>
      </c>
      <c r="M202">
        <v>36742</v>
      </c>
      <c r="N202" s="4" t="s">
        <v>2487</v>
      </c>
      <c r="O202" s="4" t="s">
        <v>47</v>
      </c>
      <c r="P202" s="4" t="s">
        <v>714</v>
      </c>
      <c r="Q202" s="9">
        <v>40358</v>
      </c>
      <c r="R202" s="4" t="s">
        <v>2488</v>
      </c>
      <c r="S202" s="4" t="s">
        <v>47</v>
      </c>
      <c r="T202" s="4" t="s">
        <v>2489</v>
      </c>
      <c r="U202" s="4" t="s">
        <v>94</v>
      </c>
      <c r="V202">
        <v>2010</v>
      </c>
      <c r="W202" s="4" t="s">
        <v>47</v>
      </c>
      <c r="X202" s="4" t="s">
        <v>47</v>
      </c>
      <c r="Y202" s="4" t="s">
        <v>47</v>
      </c>
      <c r="Z202" s="4" t="s">
        <v>47</v>
      </c>
      <c r="AA202" s="4" t="s">
        <v>47</v>
      </c>
      <c r="AB202" s="4" t="s">
        <v>47</v>
      </c>
      <c r="AC202" s="4" t="s">
        <v>47</v>
      </c>
      <c r="AD202" s="4" t="s">
        <v>47</v>
      </c>
      <c r="AE202" s="4" t="s">
        <v>47</v>
      </c>
      <c r="AF202" s="4" t="s">
        <v>47</v>
      </c>
      <c r="AG202" s="4" t="s">
        <v>2490</v>
      </c>
      <c r="AH202" s="4" t="s">
        <v>2491</v>
      </c>
      <c r="AI202" s="4" t="s">
        <v>47</v>
      </c>
      <c r="AJ202" s="4" t="s">
        <v>2492</v>
      </c>
      <c r="AK202" s="4" t="s">
        <v>47</v>
      </c>
      <c r="AL202" s="4" t="s">
        <v>47</v>
      </c>
      <c r="AM202" s="4" t="s">
        <v>47</v>
      </c>
      <c r="AN202" s="4" t="s">
        <v>47</v>
      </c>
      <c r="AO202" s="4" t="s">
        <v>2493</v>
      </c>
      <c r="AP202" s="4" t="s">
        <v>2494</v>
      </c>
      <c r="AQ202" s="4" t="s">
        <v>2495</v>
      </c>
      <c r="AR202" s="4" t="s">
        <v>2496</v>
      </c>
    </row>
    <row r="203" spans="1:44" x14ac:dyDescent="0.2">
      <c r="A203" s="4" t="s">
        <v>20</v>
      </c>
      <c r="B203" s="4" t="s">
        <v>141</v>
      </c>
      <c r="C203">
        <v>1</v>
      </c>
      <c r="F203">
        <v>0</v>
      </c>
      <c r="I203" s="4" t="s">
        <v>2413</v>
      </c>
      <c r="J203" s="4" t="s">
        <v>47</v>
      </c>
      <c r="K203" s="4" t="s">
        <v>960</v>
      </c>
      <c r="L203" s="4" t="s">
        <v>47</v>
      </c>
      <c r="M203">
        <v>62955</v>
      </c>
      <c r="N203" s="4" t="s">
        <v>2437</v>
      </c>
      <c r="O203" s="4" t="s">
        <v>47</v>
      </c>
      <c r="P203" s="4" t="s">
        <v>714</v>
      </c>
      <c r="Q203" s="9">
        <v>40358</v>
      </c>
      <c r="R203" s="4" t="s">
        <v>652</v>
      </c>
      <c r="S203" s="4" t="s">
        <v>47</v>
      </c>
      <c r="T203" s="4" t="s">
        <v>47</v>
      </c>
      <c r="U203" s="4" t="s">
        <v>94</v>
      </c>
      <c r="V203">
        <v>2010</v>
      </c>
      <c r="W203" s="4" t="s">
        <v>2497</v>
      </c>
      <c r="X203" s="4" t="s">
        <v>47</v>
      </c>
      <c r="Y203" s="4" t="s">
        <v>2498</v>
      </c>
      <c r="Z203" s="4" t="s">
        <v>47</v>
      </c>
      <c r="AA203" s="4" t="s">
        <v>47</v>
      </c>
      <c r="AB203" s="4" t="s">
        <v>47</v>
      </c>
      <c r="AC203" s="4" t="s">
        <v>47</v>
      </c>
      <c r="AD203" s="4" t="s">
        <v>47</v>
      </c>
      <c r="AE203" s="4" t="s">
        <v>47</v>
      </c>
      <c r="AF203" s="4" t="s">
        <v>47</v>
      </c>
      <c r="AG203" s="4" t="s">
        <v>47</v>
      </c>
      <c r="AH203" s="4" t="s">
        <v>47</v>
      </c>
      <c r="AI203" s="4" t="s">
        <v>47</v>
      </c>
      <c r="AJ203" s="4" t="s">
        <v>47</v>
      </c>
      <c r="AK203" s="4" t="s">
        <v>47</v>
      </c>
      <c r="AL203" s="4" t="s">
        <v>2499</v>
      </c>
      <c r="AM203" s="4" t="s">
        <v>47</v>
      </c>
      <c r="AN203" s="4" t="s">
        <v>47</v>
      </c>
      <c r="AO203" s="4" t="s">
        <v>2500</v>
      </c>
      <c r="AP203" s="4" t="s">
        <v>2501</v>
      </c>
      <c r="AQ203" s="4" t="s">
        <v>2502</v>
      </c>
      <c r="AR203" s="4" t="s">
        <v>2503</v>
      </c>
    </row>
    <row r="204" spans="1:44" x14ac:dyDescent="0.2">
      <c r="A204" s="4" t="s">
        <v>95</v>
      </c>
      <c r="B204" s="4" t="s">
        <v>215</v>
      </c>
      <c r="C204">
        <v>2</v>
      </c>
      <c r="F204">
        <v>1</v>
      </c>
      <c r="I204" s="4" t="s">
        <v>1506</v>
      </c>
      <c r="J204" s="4" t="s">
        <v>47</v>
      </c>
      <c r="K204" s="4" t="s">
        <v>2504</v>
      </c>
      <c r="L204" s="4" t="s">
        <v>47</v>
      </c>
      <c r="M204">
        <v>61962</v>
      </c>
      <c r="N204" s="4" t="s">
        <v>2432</v>
      </c>
      <c r="O204" s="4" t="s">
        <v>47</v>
      </c>
      <c r="P204" s="4" t="s">
        <v>714</v>
      </c>
      <c r="Q204" s="9">
        <v>40357</v>
      </c>
      <c r="R204" s="4" t="s">
        <v>617</v>
      </c>
      <c r="S204" s="4" t="s">
        <v>47</v>
      </c>
      <c r="T204" s="4" t="s">
        <v>47</v>
      </c>
      <c r="U204" s="4" t="s">
        <v>94</v>
      </c>
      <c r="V204">
        <v>2010</v>
      </c>
      <c r="W204" s="4" t="s">
        <v>2505</v>
      </c>
      <c r="X204" s="4" t="s">
        <v>47</v>
      </c>
      <c r="Y204" s="4" t="s">
        <v>2506</v>
      </c>
      <c r="Z204" s="4" t="s">
        <v>47</v>
      </c>
      <c r="AA204" s="4" t="s">
        <v>47</v>
      </c>
      <c r="AB204" s="4" t="s">
        <v>47</v>
      </c>
      <c r="AC204" s="4" t="s">
        <v>47</v>
      </c>
      <c r="AD204" s="4" t="s">
        <v>2507</v>
      </c>
      <c r="AE204" s="4" t="s">
        <v>47</v>
      </c>
      <c r="AF204" s="4" t="s">
        <v>47</v>
      </c>
      <c r="AG204" s="4" t="s">
        <v>47</v>
      </c>
      <c r="AH204" s="4" t="s">
        <v>47</v>
      </c>
      <c r="AI204" s="4" t="s">
        <v>47</v>
      </c>
      <c r="AJ204" s="4" t="s">
        <v>47</v>
      </c>
      <c r="AK204" s="4" t="s">
        <v>47</v>
      </c>
      <c r="AL204" s="4" t="s">
        <v>47</v>
      </c>
      <c r="AM204" s="4" t="s">
        <v>47</v>
      </c>
      <c r="AN204" s="4" t="s">
        <v>47</v>
      </c>
      <c r="AO204" s="4" t="s">
        <v>2508</v>
      </c>
      <c r="AP204" s="4" t="s">
        <v>2509</v>
      </c>
      <c r="AQ204" s="4" t="s">
        <v>2510</v>
      </c>
      <c r="AR204" s="4" t="s">
        <v>2511</v>
      </c>
    </row>
    <row r="205" spans="1:44" x14ac:dyDescent="0.2">
      <c r="A205" s="4" t="s">
        <v>12</v>
      </c>
      <c r="B205" s="4" t="s">
        <v>113</v>
      </c>
      <c r="C205">
        <v>3</v>
      </c>
      <c r="F205">
        <v>0</v>
      </c>
      <c r="I205" s="4" t="s">
        <v>2461</v>
      </c>
      <c r="J205" s="4" t="s">
        <v>47</v>
      </c>
      <c r="K205" s="4" t="s">
        <v>2512</v>
      </c>
      <c r="L205" s="4" t="s">
        <v>47</v>
      </c>
      <c r="M205">
        <v>54096</v>
      </c>
      <c r="N205" s="4" t="s">
        <v>2454</v>
      </c>
      <c r="O205" s="4" t="s">
        <v>47</v>
      </c>
      <c r="P205" s="4" t="s">
        <v>714</v>
      </c>
      <c r="Q205" s="9">
        <v>40357</v>
      </c>
      <c r="R205" s="4" t="s">
        <v>638</v>
      </c>
      <c r="S205" s="4" t="s">
        <v>47</v>
      </c>
      <c r="T205" s="4" t="s">
        <v>47</v>
      </c>
      <c r="U205" s="4" t="s">
        <v>94</v>
      </c>
      <c r="V205">
        <v>2010</v>
      </c>
      <c r="W205" s="4" t="s">
        <v>2513</v>
      </c>
      <c r="X205" s="4" t="s">
        <v>47</v>
      </c>
      <c r="Y205" s="4" t="s">
        <v>2514</v>
      </c>
      <c r="Z205" s="4" t="s">
        <v>47</v>
      </c>
      <c r="AA205" s="4" t="s">
        <v>47</v>
      </c>
      <c r="AB205" s="4" t="s">
        <v>47</v>
      </c>
      <c r="AC205" s="4" t="s">
        <v>47</v>
      </c>
      <c r="AD205" s="4" t="s">
        <v>47</v>
      </c>
      <c r="AE205" s="4" t="s">
        <v>47</v>
      </c>
      <c r="AF205" s="4" t="s">
        <v>47</v>
      </c>
      <c r="AG205" s="4" t="s">
        <v>47</v>
      </c>
      <c r="AH205" s="4" t="s">
        <v>47</v>
      </c>
      <c r="AI205" s="4" t="s">
        <v>47</v>
      </c>
      <c r="AJ205" s="4" t="s">
        <v>47</v>
      </c>
      <c r="AK205" s="4" t="s">
        <v>47</v>
      </c>
      <c r="AL205" s="4" t="s">
        <v>47</v>
      </c>
      <c r="AM205" s="4" t="s">
        <v>47</v>
      </c>
      <c r="AN205" s="4" t="s">
        <v>47</v>
      </c>
      <c r="AO205" s="4" t="s">
        <v>2515</v>
      </c>
      <c r="AP205" s="4" t="s">
        <v>2516</v>
      </c>
      <c r="AQ205" s="4" t="s">
        <v>2517</v>
      </c>
      <c r="AR205" s="4" t="s">
        <v>2518</v>
      </c>
    </row>
    <row r="206" spans="1:44" x14ac:dyDescent="0.2">
      <c r="A206" s="4" t="s">
        <v>92</v>
      </c>
      <c r="B206" s="4" t="s">
        <v>52</v>
      </c>
      <c r="C206">
        <v>4</v>
      </c>
      <c r="F206">
        <v>1</v>
      </c>
      <c r="I206" s="4" t="s">
        <v>1465</v>
      </c>
      <c r="J206" s="4" t="s">
        <v>47</v>
      </c>
      <c r="K206" s="4" t="s">
        <v>2040</v>
      </c>
      <c r="L206" s="4" t="s">
        <v>47</v>
      </c>
      <c r="M206">
        <v>40510</v>
      </c>
      <c r="N206" s="4" t="s">
        <v>2519</v>
      </c>
      <c r="O206" s="4" t="s">
        <v>47</v>
      </c>
      <c r="P206" s="4" t="s">
        <v>714</v>
      </c>
      <c r="Q206" s="9">
        <v>40356</v>
      </c>
      <c r="R206" s="4" t="s">
        <v>757</v>
      </c>
      <c r="S206" s="4" t="s">
        <v>47</v>
      </c>
      <c r="T206" s="4" t="s">
        <v>47</v>
      </c>
      <c r="U206" s="4" t="s">
        <v>94</v>
      </c>
      <c r="V206">
        <v>2010</v>
      </c>
      <c r="W206" s="4" t="s">
        <v>2520</v>
      </c>
      <c r="X206" s="4" t="s">
        <v>2521</v>
      </c>
      <c r="Y206" s="4" t="s">
        <v>2522</v>
      </c>
      <c r="Z206" s="4" t="s">
        <v>2523</v>
      </c>
      <c r="AA206" s="4" t="s">
        <v>47</v>
      </c>
      <c r="AB206" s="4" t="s">
        <v>47</v>
      </c>
      <c r="AC206" s="4" t="s">
        <v>47</v>
      </c>
      <c r="AD206" s="4" t="s">
        <v>47</v>
      </c>
      <c r="AE206" s="4" t="s">
        <v>47</v>
      </c>
      <c r="AF206" s="4" t="s">
        <v>47</v>
      </c>
      <c r="AG206" s="4" t="s">
        <v>47</v>
      </c>
      <c r="AH206" s="4" t="s">
        <v>47</v>
      </c>
      <c r="AI206" s="4" t="s">
        <v>47</v>
      </c>
      <c r="AJ206" s="4" t="s">
        <v>47</v>
      </c>
      <c r="AK206" s="4" t="s">
        <v>47</v>
      </c>
      <c r="AL206" s="4" t="s">
        <v>47</v>
      </c>
      <c r="AM206" s="4" t="s">
        <v>47</v>
      </c>
      <c r="AN206" s="4" t="s">
        <v>47</v>
      </c>
      <c r="AO206" s="4" t="s">
        <v>2524</v>
      </c>
      <c r="AP206" s="4" t="s">
        <v>2525</v>
      </c>
      <c r="AQ206" s="4" t="s">
        <v>2526</v>
      </c>
      <c r="AR206" s="4" t="s">
        <v>2527</v>
      </c>
    </row>
    <row r="207" spans="1:44" x14ac:dyDescent="0.2">
      <c r="A207" s="4" t="s">
        <v>26</v>
      </c>
      <c r="B207" s="4" t="s">
        <v>106</v>
      </c>
      <c r="C207">
        <v>3</v>
      </c>
      <c r="F207">
        <v>1</v>
      </c>
      <c r="I207" s="4" t="s">
        <v>2446</v>
      </c>
      <c r="J207" s="4" t="s">
        <v>47</v>
      </c>
      <c r="K207" s="4" t="s">
        <v>2528</v>
      </c>
      <c r="L207" s="4" t="s">
        <v>47</v>
      </c>
      <c r="M207">
        <v>84377</v>
      </c>
      <c r="N207" s="4" t="s">
        <v>2414</v>
      </c>
      <c r="O207" s="4" t="s">
        <v>47</v>
      </c>
      <c r="P207" s="4" t="s">
        <v>714</v>
      </c>
      <c r="Q207" s="9">
        <v>40356</v>
      </c>
      <c r="R207" s="4" t="s">
        <v>770</v>
      </c>
      <c r="S207" s="4" t="s">
        <v>47</v>
      </c>
      <c r="T207" s="4" t="s">
        <v>47</v>
      </c>
      <c r="U207" s="4" t="s">
        <v>94</v>
      </c>
      <c r="V207">
        <v>2010</v>
      </c>
      <c r="W207" s="4" t="s">
        <v>2529</v>
      </c>
      <c r="X207" s="4" t="s">
        <v>2530</v>
      </c>
      <c r="Y207" s="4" t="s">
        <v>2531</v>
      </c>
      <c r="Z207" s="4" t="s">
        <v>2532</v>
      </c>
      <c r="AA207" s="4" t="s">
        <v>47</v>
      </c>
      <c r="AB207" s="4" t="s">
        <v>47</v>
      </c>
      <c r="AC207" s="4" t="s">
        <v>47</v>
      </c>
      <c r="AD207" s="4" t="s">
        <v>47</v>
      </c>
      <c r="AE207" s="4" t="s">
        <v>47</v>
      </c>
      <c r="AF207" s="4" t="s">
        <v>47</v>
      </c>
      <c r="AG207" s="4" t="s">
        <v>47</v>
      </c>
      <c r="AH207" s="4" t="s">
        <v>47</v>
      </c>
      <c r="AI207" s="4" t="s">
        <v>47</v>
      </c>
      <c r="AJ207" s="4" t="s">
        <v>47</v>
      </c>
      <c r="AK207" s="4" t="s">
        <v>47</v>
      </c>
      <c r="AL207" s="4" t="s">
        <v>47</v>
      </c>
      <c r="AM207" s="4" t="s">
        <v>47</v>
      </c>
      <c r="AN207" s="4" t="s">
        <v>47</v>
      </c>
      <c r="AO207" s="4" t="s">
        <v>47</v>
      </c>
      <c r="AP207" s="4" t="s">
        <v>2533</v>
      </c>
      <c r="AQ207" s="4" t="s">
        <v>2534</v>
      </c>
      <c r="AR207" s="4" t="s">
        <v>2535</v>
      </c>
    </row>
    <row r="208" spans="1:44" x14ac:dyDescent="0.2">
      <c r="A208" s="4" t="s">
        <v>121</v>
      </c>
      <c r="B208" s="4" t="s">
        <v>175</v>
      </c>
      <c r="C208">
        <v>2</v>
      </c>
      <c r="F208">
        <v>1</v>
      </c>
      <c r="I208" s="4" t="s">
        <v>1303</v>
      </c>
      <c r="J208" s="4" t="s">
        <v>47</v>
      </c>
      <c r="K208" s="4" t="s">
        <v>2536</v>
      </c>
      <c r="L208" s="4" t="s">
        <v>47</v>
      </c>
      <c r="M208">
        <v>30597</v>
      </c>
      <c r="N208" s="4" t="s">
        <v>2423</v>
      </c>
      <c r="O208" s="4" t="s">
        <v>47</v>
      </c>
      <c r="P208" s="4" t="s">
        <v>714</v>
      </c>
      <c r="Q208" s="9">
        <v>40355</v>
      </c>
      <c r="R208" s="4" t="s">
        <v>617</v>
      </c>
      <c r="S208" s="4" t="s">
        <v>47</v>
      </c>
      <c r="T208" s="4" t="s">
        <v>47</v>
      </c>
      <c r="U208" s="4" t="s">
        <v>94</v>
      </c>
      <c r="V208">
        <v>2010</v>
      </c>
      <c r="W208" s="4" t="s">
        <v>2537</v>
      </c>
      <c r="X208" s="4" t="s">
        <v>2538</v>
      </c>
      <c r="Y208" s="4" t="s">
        <v>2539</v>
      </c>
      <c r="Z208" s="4" t="s">
        <v>2540</v>
      </c>
      <c r="AA208" s="4" t="s">
        <v>47</v>
      </c>
      <c r="AB208" s="4" t="s">
        <v>47</v>
      </c>
      <c r="AC208" s="4" t="s">
        <v>47</v>
      </c>
      <c r="AD208" s="4" t="s">
        <v>47</v>
      </c>
      <c r="AE208" s="4" t="s">
        <v>47</v>
      </c>
      <c r="AF208" s="4" t="s">
        <v>47</v>
      </c>
      <c r="AG208" s="4" t="s">
        <v>47</v>
      </c>
      <c r="AH208" s="4" t="s">
        <v>47</v>
      </c>
      <c r="AI208" s="4" t="s">
        <v>47</v>
      </c>
      <c r="AJ208" s="4" t="s">
        <v>47</v>
      </c>
      <c r="AK208" s="4" t="s">
        <v>47</v>
      </c>
      <c r="AL208" s="4" t="s">
        <v>47</v>
      </c>
      <c r="AM208" s="4" t="s">
        <v>47</v>
      </c>
      <c r="AN208" s="4" t="s">
        <v>47</v>
      </c>
      <c r="AO208" s="4" t="s">
        <v>47</v>
      </c>
      <c r="AP208" s="4" t="s">
        <v>2541</v>
      </c>
      <c r="AQ208" s="4" t="s">
        <v>2542</v>
      </c>
      <c r="AR208" s="4" t="s">
        <v>2543</v>
      </c>
    </row>
    <row r="209" spans="1:44" x14ac:dyDescent="0.2">
      <c r="A209" s="4" t="s">
        <v>102</v>
      </c>
      <c r="B209" s="4" t="s">
        <v>264</v>
      </c>
      <c r="C209">
        <v>1</v>
      </c>
      <c r="F209">
        <v>2</v>
      </c>
      <c r="I209" s="4" t="s">
        <v>2544</v>
      </c>
      <c r="J209" s="4" t="s">
        <v>47</v>
      </c>
      <c r="K209" s="4" t="s">
        <v>2470</v>
      </c>
      <c r="L209" s="4" t="s">
        <v>47</v>
      </c>
      <c r="M209">
        <v>34976</v>
      </c>
      <c r="N209" s="4" t="s">
        <v>2545</v>
      </c>
      <c r="O209" s="4" t="s">
        <v>47</v>
      </c>
      <c r="P209" s="4" t="s">
        <v>714</v>
      </c>
      <c r="Q209" s="9">
        <v>40355</v>
      </c>
      <c r="R209" s="4" t="s">
        <v>664</v>
      </c>
      <c r="S209" s="4" t="s">
        <v>47</v>
      </c>
      <c r="T209" s="4" t="s">
        <v>1258</v>
      </c>
      <c r="U209" s="4" t="s">
        <v>94</v>
      </c>
      <c r="V209">
        <v>2010</v>
      </c>
      <c r="W209" s="4" t="s">
        <v>47</v>
      </c>
      <c r="X209" s="4" t="s">
        <v>2546</v>
      </c>
      <c r="Y209" s="4" t="s">
        <v>47</v>
      </c>
      <c r="Z209" s="4" t="s">
        <v>2547</v>
      </c>
      <c r="AA209" s="4" t="s">
        <v>47</v>
      </c>
      <c r="AB209" s="4" t="s">
        <v>47</v>
      </c>
      <c r="AC209" s="4" t="s">
        <v>2548</v>
      </c>
      <c r="AD209" s="4" t="s">
        <v>47</v>
      </c>
      <c r="AE209" s="4" t="s">
        <v>47</v>
      </c>
      <c r="AF209" s="4" t="s">
        <v>47</v>
      </c>
      <c r="AG209" s="4" t="s">
        <v>47</v>
      </c>
      <c r="AH209" s="4" t="s">
        <v>47</v>
      </c>
      <c r="AI209" s="4" t="s">
        <v>47</v>
      </c>
      <c r="AJ209" s="4" t="s">
        <v>47</v>
      </c>
      <c r="AK209" s="4" t="s">
        <v>47</v>
      </c>
      <c r="AL209" s="4" t="s">
        <v>47</v>
      </c>
      <c r="AM209" s="4" t="s">
        <v>47</v>
      </c>
      <c r="AN209" s="4" t="s">
        <v>47</v>
      </c>
      <c r="AO209" s="4" t="s">
        <v>2549</v>
      </c>
      <c r="AP209" s="4" t="s">
        <v>2550</v>
      </c>
      <c r="AQ209" s="4" t="s">
        <v>2551</v>
      </c>
      <c r="AR209" s="4" t="s">
        <v>2552</v>
      </c>
    </row>
    <row r="210" spans="1:44" x14ac:dyDescent="0.2">
      <c r="A210" s="4" t="s">
        <v>141</v>
      </c>
      <c r="B210" s="4" t="s">
        <v>12</v>
      </c>
      <c r="C210">
        <v>0</v>
      </c>
      <c r="F210">
        <v>0</v>
      </c>
      <c r="I210" s="4" t="s">
        <v>960</v>
      </c>
      <c r="J210" s="4" t="s">
        <v>47</v>
      </c>
      <c r="K210" s="4" t="s">
        <v>2461</v>
      </c>
      <c r="L210" s="4" t="s">
        <v>47</v>
      </c>
      <c r="M210">
        <v>62712</v>
      </c>
      <c r="N210" s="4" t="s">
        <v>2432</v>
      </c>
      <c r="O210" s="4" t="s">
        <v>47</v>
      </c>
      <c r="P210" s="4" t="s">
        <v>811</v>
      </c>
      <c r="Q210" s="9">
        <v>40354</v>
      </c>
      <c r="R210" s="4" t="s">
        <v>869</v>
      </c>
      <c r="S210" s="4" t="s">
        <v>47</v>
      </c>
      <c r="T210" s="4" t="s">
        <v>47</v>
      </c>
      <c r="U210" s="4" t="s">
        <v>94</v>
      </c>
      <c r="V210">
        <v>2010</v>
      </c>
      <c r="W210" s="4" t="s">
        <v>47</v>
      </c>
      <c r="X210" s="4" t="s">
        <v>47</v>
      </c>
      <c r="Y210" s="4" t="s">
        <v>47</v>
      </c>
      <c r="Z210" s="4" t="s">
        <v>47</v>
      </c>
      <c r="AA210" s="4" t="s">
        <v>47</v>
      </c>
      <c r="AB210" s="4" t="s">
        <v>47</v>
      </c>
      <c r="AC210" s="4" t="s">
        <v>47</v>
      </c>
      <c r="AD210" s="4" t="s">
        <v>47</v>
      </c>
      <c r="AE210" s="4" t="s">
        <v>47</v>
      </c>
      <c r="AF210" s="4" t="s">
        <v>47</v>
      </c>
      <c r="AG210" s="4" t="s">
        <v>47</v>
      </c>
      <c r="AH210" s="4" t="s">
        <v>47</v>
      </c>
      <c r="AI210" s="4" t="s">
        <v>47</v>
      </c>
      <c r="AJ210" s="4" t="s">
        <v>47</v>
      </c>
      <c r="AK210" s="4" t="s">
        <v>47</v>
      </c>
      <c r="AL210" s="4" t="s">
        <v>47</v>
      </c>
      <c r="AM210" s="4" t="s">
        <v>47</v>
      </c>
      <c r="AN210" s="4" t="s">
        <v>47</v>
      </c>
      <c r="AO210" s="4" t="s">
        <v>2553</v>
      </c>
      <c r="AP210" s="4" t="s">
        <v>2554</v>
      </c>
      <c r="AQ210" s="4" t="s">
        <v>2555</v>
      </c>
      <c r="AR210" s="4" t="s">
        <v>2556</v>
      </c>
    </row>
    <row r="211" spans="1:44" x14ac:dyDescent="0.2">
      <c r="A211" s="4" t="s">
        <v>357</v>
      </c>
      <c r="B211" s="4" t="s">
        <v>190</v>
      </c>
      <c r="C211">
        <v>0</v>
      </c>
      <c r="F211">
        <v>3</v>
      </c>
      <c r="I211" s="4" t="s">
        <v>2557</v>
      </c>
      <c r="J211" s="4" t="s">
        <v>47</v>
      </c>
      <c r="K211" s="4" t="s">
        <v>2558</v>
      </c>
      <c r="L211" s="4" t="s">
        <v>47</v>
      </c>
      <c r="M211">
        <v>34763</v>
      </c>
      <c r="N211" s="4" t="s">
        <v>2559</v>
      </c>
      <c r="O211" s="4" t="s">
        <v>47</v>
      </c>
      <c r="P211" s="4" t="s">
        <v>811</v>
      </c>
      <c r="Q211" s="9">
        <v>40354</v>
      </c>
      <c r="R211" s="4" t="s">
        <v>973</v>
      </c>
      <c r="S211" s="4" t="s">
        <v>47</v>
      </c>
      <c r="T211" s="4" t="s">
        <v>47</v>
      </c>
      <c r="U211" s="4" t="s">
        <v>94</v>
      </c>
      <c r="V211">
        <v>2010</v>
      </c>
      <c r="W211" s="4" t="s">
        <v>47</v>
      </c>
      <c r="X211" s="4" t="s">
        <v>2560</v>
      </c>
      <c r="Y211" s="4" t="s">
        <v>47</v>
      </c>
      <c r="Z211" s="4" t="s">
        <v>2561</v>
      </c>
      <c r="AA211" s="4" t="s">
        <v>47</v>
      </c>
      <c r="AB211" s="4" t="s">
        <v>47</v>
      </c>
      <c r="AC211" s="4" t="s">
        <v>47</v>
      </c>
      <c r="AD211" s="4" t="s">
        <v>47</v>
      </c>
      <c r="AE211" s="4" t="s">
        <v>47</v>
      </c>
      <c r="AF211" s="4" t="s">
        <v>47</v>
      </c>
      <c r="AG211" s="4" t="s">
        <v>47</v>
      </c>
      <c r="AH211" s="4" t="s">
        <v>47</v>
      </c>
      <c r="AI211" s="4" t="s">
        <v>47</v>
      </c>
      <c r="AJ211" s="4" t="s">
        <v>47</v>
      </c>
      <c r="AK211" s="4" t="s">
        <v>47</v>
      </c>
      <c r="AL211" s="4" t="s">
        <v>47</v>
      </c>
      <c r="AM211" s="4" t="s">
        <v>47</v>
      </c>
      <c r="AN211" s="4" t="s">
        <v>47</v>
      </c>
      <c r="AO211" s="4" t="s">
        <v>47</v>
      </c>
      <c r="AP211" s="4" t="s">
        <v>47</v>
      </c>
      <c r="AQ211" s="4" t="s">
        <v>2562</v>
      </c>
      <c r="AR211" s="4" t="s">
        <v>2563</v>
      </c>
    </row>
    <row r="212" spans="1:44" x14ac:dyDescent="0.2">
      <c r="A212" s="4" t="s">
        <v>113</v>
      </c>
      <c r="B212" s="4" t="s">
        <v>20</v>
      </c>
      <c r="C212">
        <v>1</v>
      </c>
      <c r="F212">
        <v>2</v>
      </c>
      <c r="I212" s="4" t="s">
        <v>2512</v>
      </c>
      <c r="J212" s="4" t="s">
        <v>47</v>
      </c>
      <c r="K212" s="4" t="s">
        <v>2413</v>
      </c>
      <c r="L212" s="4" t="s">
        <v>47</v>
      </c>
      <c r="M212">
        <v>41958</v>
      </c>
      <c r="N212" s="4" t="s">
        <v>2487</v>
      </c>
      <c r="O212" s="4" t="s">
        <v>47</v>
      </c>
      <c r="P212" s="4" t="s">
        <v>811</v>
      </c>
      <c r="Q212" s="9">
        <v>40354</v>
      </c>
      <c r="R212" s="4" t="s">
        <v>664</v>
      </c>
      <c r="S212" s="4" t="s">
        <v>47</v>
      </c>
      <c r="T212" s="4" t="s">
        <v>47</v>
      </c>
      <c r="U212" s="4" t="s">
        <v>94</v>
      </c>
      <c r="V212">
        <v>2010</v>
      </c>
      <c r="W212" s="4" t="s">
        <v>2564</v>
      </c>
      <c r="X212" s="4" t="s">
        <v>2565</v>
      </c>
      <c r="Y212" s="4" t="s">
        <v>2566</v>
      </c>
      <c r="Z212" s="4" t="s">
        <v>2567</v>
      </c>
      <c r="AA212" s="4" t="s">
        <v>47</v>
      </c>
      <c r="AB212" s="4" t="s">
        <v>47</v>
      </c>
      <c r="AC212" s="4" t="s">
        <v>47</v>
      </c>
      <c r="AD212" s="4" t="s">
        <v>47</v>
      </c>
      <c r="AE212" s="4" t="s">
        <v>47</v>
      </c>
      <c r="AF212" s="4" t="s">
        <v>47</v>
      </c>
      <c r="AG212" s="4" t="s">
        <v>47</v>
      </c>
      <c r="AH212" s="4" t="s">
        <v>47</v>
      </c>
      <c r="AI212" s="4" t="s">
        <v>47</v>
      </c>
      <c r="AJ212" s="4" t="s">
        <v>47</v>
      </c>
      <c r="AK212" s="4" t="s">
        <v>47</v>
      </c>
      <c r="AL212" s="4" t="s">
        <v>47</v>
      </c>
      <c r="AM212" s="4" t="s">
        <v>2568</v>
      </c>
      <c r="AN212" s="4" t="s">
        <v>47</v>
      </c>
      <c r="AO212" s="4" t="s">
        <v>2569</v>
      </c>
      <c r="AP212" s="4" t="s">
        <v>47</v>
      </c>
      <c r="AQ212" s="4" t="s">
        <v>2570</v>
      </c>
      <c r="AR212" s="4" t="s">
        <v>2571</v>
      </c>
    </row>
    <row r="213" spans="1:44" x14ac:dyDescent="0.2">
      <c r="A213" s="4" t="s">
        <v>118</v>
      </c>
      <c r="B213" s="4" t="s">
        <v>248</v>
      </c>
      <c r="C213">
        <v>0</v>
      </c>
      <c r="F213">
        <v>0</v>
      </c>
      <c r="I213" s="4" t="s">
        <v>1925</v>
      </c>
      <c r="J213" s="4" t="s">
        <v>47</v>
      </c>
      <c r="K213" s="4" t="s">
        <v>2076</v>
      </c>
      <c r="L213" s="4" t="s">
        <v>47</v>
      </c>
      <c r="M213">
        <v>28042</v>
      </c>
      <c r="N213" s="4" t="s">
        <v>2519</v>
      </c>
      <c r="O213" s="4" t="s">
        <v>47</v>
      </c>
      <c r="P213" s="4" t="s">
        <v>811</v>
      </c>
      <c r="Q213" s="9">
        <v>40354</v>
      </c>
      <c r="R213" s="4" t="s">
        <v>869</v>
      </c>
      <c r="S213" s="4" t="s">
        <v>47</v>
      </c>
      <c r="T213" s="4" t="s">
        <v>47</v>
      </c>
      <c r="U213" s="4" t="s">
        <v>94</v>
      </c>
      <c r="V213">
        <v>2010</v>
      </c>
      <c r="W213" s="4" t="s">
        <v>47</v>
      </c>
      <c r="X213" s="4" t="s">
        <v>47</v>
      </c>
      <c r="Y213" s="4" t="s">
        <v>47</v>
      </c>
      <c r="Z213" s="4" t="s">
        <v>47</v>
      </c>
      <c r="AA213" s="4" t="s">
        <v>47</v>
      </c>
      <c r="AB213" s="4" t="s">
        <v>47</v>
      </c>
      <c r="AC213" s="4" t="s">
        <v>47</v>
      </c>
      <c r="AD213" s="4" t="s">
        <v>47</v>
      </c>
      <c r="AE213" s="4" t="s">
        <v>47</v>
      </c>
      <c r="AF213" s="4" t="s">
        <v>47</v>
      </c>
      <c r="AG213" s="4" t="s">
        <v>47</v>
      </c>
      <c r="AH213" s="4" t="s">
        <v>47</v>
      </c>
      <c r="AI213" s="4" t="s">
        <v>47</v>
      </c>
      <c r="AJ213" s="4" t="s">
        <v>47</v>
      </c>
      <c r="AK213" s="4" t="s">
        <v>47</v>
      </c>
      <c r="AL213" s="4" t="s">
        <v>47</v>
      </c>
      <c r="AM213" s="4" t="s">
        <v>47</v>
      </c>
      <c r="AN213" s="4" t="s">
        <v>47</v>
      </c>
      <c r="AO213" s="4" t="s">
        <v>2572</v>
      </c>
      <c r="AP213" s="4" t="s">
        <v>2573</v>
      </c>
      <c r="AQ213" s="4" t="s">
        <v>2574</v>
      </c>
      <c r="AR213" s="4" t="s">
        <v>2575</v>
      </c>
    </row>
    <row r="214" spans="1:44" x14ac:dyDescent="0.2">
      <c r="A214" s="4" t="s">
        <v>202</v>
      </c>
      <c r="B214" s="4" t="s">
        <v>288</v>
      </c>
      <c r="C214">
        <v>0</v>
      </c>
      <c r="F214">
        <v>0</v>
      </c>
      <c r="I214" s="4" t="s">
        <v>2453</v>
      </c>
      <c r="J214" s="4" t="s">
        <v>47</v>
      </c>
      <c r="K214" s="4" t="s">
        <v>2576</v>
      </c>
      <c r="L214" s="4" t="s">
        <v>47</v>
      </c>
      <c r="M214">
        <v>34850</v>
      </c>
      <c r="N214" s="4" t="s">
        <v>2577</v>
      </c>
      <c r="O214" s="4" t="s">
        <v>47</v>
      </c>
      <c r="P214" s="4" t="s">
        <v>811</v>
      </c>
      <c r="Q214" s="9">
        <v>40353</v>
      </c>
      <c r="R214" s="4" t="s">
        <v>869</v>
      </c>
      <c r="S214" s="4" t="s">
        <v>47</v>
      </c>
      <c r="T214" s="4" t="s">
        <v>47</v>
      </c>
      <c r="U214" s="4" t="s">
        <v>94</v>
      </c>
      <c r="V214">
        <v>2010</v>
      </c>
      <c r="W214" s="4" t="s">
        <v>47</v>
      </c>
      <c r="X214" s="4" t="s">
        <v>47</v>
      </c>
      <c r="Y214" s="4" t="s">
        <v>47</v>
      </c>
      <c r="Z214" s="4" t="s">
        <v>47</v>
      </c>
      <c r="AA214" s="4" t="s">
        <v>47</v>
      </c>
      <c r="AB214" s="4" t="s">
        <v>47</v>
      </c>
      <c r="AC214" s="4" t="s">
        <v>47</v>
      </c>
      <c r="AD214" s="4" t="s">
        <v>47</v>
      </c>
      <c r="AE214" s="4" t="s">
        <v>47</v>
      </c>
      <c r="AF214" s="4" t="s">
        <v>47</v>
      </c>
      <c r="AG214" s="4" t="s">
        <v>47</v>
      </c>
      <c r="AH214" s="4" t="s">
        <v>47</v>
      </c>
      <c r="AI214" s="4" t="s">
        <v>47</v>
      </c>
      <c r="AJ214" s="4" t="s">
        <v>47</v>
      </c>
      <c r="AK214" s="4" t="s">
        <v>47</v>
      </c>
      <c r="AL214" s="4" t="s">
        <v>47</v>
      </c>
      <c r="AM214" s="4" t="s">
        <v>47</v>
      </c>
      <c r="AN214" s="4" t="s">
        <v>47</v>
      </c>
      <c r="AO214" s="4" t="s">
        <v>2578</v>
      </c>
      <c r="AP214" s="4" t="s">
        <v>2579</v>
      </c>
      <c r="AQ214" s="4" t="s">
        <v>2580</v>
      </c>
      <c r="AR214" s="4" t="s">
        <v>2581</v>
      </c>
    </row>
    <row r="215" spans="1:44" x14ac:dyDescent="0.2">
      <c r="A215" s="4" t="s">
        <v>215</v>
      </c>
      <c r="B215" s="4" t="s">
        <v>97</v>
      </c>
      <c r="C215">
        <v>3</v>
      </c>
      <c r="F215">
        <v>2</v>
      </c>
      <c r="I215" s="4" t="s">
        <v>2504</v>
      </c>
      <c r="J215" s="4" t="s">
        <v>47</v>
      </c>
      <c r="K215" s="4" t="s">
        <v>2582</v>
      </c>
      <c r="L215" s="4" t="s">
        <v>47</v>
      </c>
      <c r="M215">
        <v>53412</v>
      </c>
      <c r="N215" s="4" t="s">
        <v>2454</v>
      </c>
      <c r="O215" s="4" t="s">
        <v>47</v>
      </c>
      <c r="P215" s="4" t="s">
        <v>811</v>
      </c>
      <c r="Q215" s="9">
        <v>40353</v>
      </c>
      <c r="R215" s="4" t="s">
        <v>1130</v>
      </c>
      <c r="S215" s="4" t="s">
        <v>47</v>
      </c>
      <c r="T215" s="4" t="s">
        <v>47</v>
      </c>
      <c r="U215" s="4" t="s">
        <v>94</v>
      </c>
      <c r="V215">
        <v>2010</v>
      </c>
      <c r="W215" s="4" t="s">
        <v>2583</v>
      </c>
      <c r="X215" s="4" t="s">
        <v>2584</v>
      </c>
      <c r="Y215" s="4" t="s">
        <v>2585</v>
      </c>
      <c r="Z215" s="4" t="s">
        <v>2586</v>
      </c>
      <c r="AA215" s="4" t="s">
        <v>47</v>
      </c>
      <c r="AB215" s="4" t="s">
        <v>47</v>
      </c>
      <c r="AC215" s="4" t="s">
        <v>47</v>
      </c>
      <c r="AD215" s="4" t="s">
        <v>47</v>
      </c>
      <c r="AE215" s="4" t="s">
        <v>47</v>
      </c>
      <c r="AF215" s="4" t="s">
        <v>47</v>
      </c>
      <c r="AG215" s="4" t="s">
        <v>47</v>
      </c>
      <c r="AH215" s="4" t="s">
        <v>47</v>
      </c>
      <c r="AI215" s="4" t="s">
        <v>47</v>
      </c>
      <c r="AJ215" s="4" t="s">
        <v>47</v>
      </c>
      <c r="AK215" s="4" t="s">
        <v>47</v>
      </c>
      <c r="AL215" s="4" t="s">
        <v>47</v>
      </c>
      <c r="AM215" s="4" t="s">
        <v>47</v>
      </c>
      <c r="AN215" s="4" t="s">
        <v>47</v>
      </c>
      <c r="AO215" s="4" t="s">
        <v>2587</v>
      </c>
      <c r="AP215" s="4" t="s">
        <v>2588</v>
      </c>
      <c r="AQ215" s="4" t="s">
        <v>2589</v>
      </c>
      <c r="AR215" s="4" t="s">
        <v>2590</v>
      </c>
    </row>
    <row r="216" spans="1:44" x14ac:dyDescent="0.2">
      <c r="A216" s="4" t="s">
        <v>167</v>
      </c>
      <c r="B216" s="4" t="s">
        <v>161</v>
      </c>
      <c r="C216">
        <v>1</v>
      </c>
      <c r="F216">
        <v>3</v>
      </c>
      <c r="I216" s="4" t="s">
        <v>2591</v>
      </c>
      <c r="J216" s="4" t="s">
        <v>47</v>
      </c>
      <c r="K216" s="4" t="s">
        <v>2486</v>
      </c>
      <c r="L216" s="4" t="s">
        <v>47</v>
      </c>
      <c r="M216">
        <v>27967</v>
      </c>
      <c r="N216" s="4" t="s">
        <v>2545</v>
      </c>
      <c r="O216" s="4" t="s">
        <v>47</v>
      </c>
      <c r="P216" s="4" t="s">
        <v>811</v>
      </c>
      <c r="Q216" s="9">
        <v>40353</v>
      </c>
      <c r="R216" s="4" t="s">
        <v>1098</v>
      </c>
      <c r="S216" s="4" t="s">
        <v>47</v>
      </c>
      <c r="T216" s="4" t="s">
        <v>47</v>
      </c>
      <c r="U216" s="4" t="s">
        <v>94</v>
      </c>
      <c r="V216">
        <v>2010</v>
      </c>
      <c r="W216" s="4" t="s">
        <v>2592</v>
      </c>
      <c r="X216" s="4" t="s">
        <v>2593</v>
      </c>
      <c r="Y216" s="4" t="s">
        <v>2594</v>
      </c>
      <c r="Z216" s="4" t="s">
        <v>2595</v>
      </c>
      <c r="AA216" s="4" t="s">
        <v>47</v>
      </c>
      <c r="AB216" s="4" t="s">
        <v>47</v>
      </c>
      <c r="AC216" s="4" t="s">
        <v>47</v>
      </c>
      <c r="AD216" s="4" t="s">
        <v>47</v>
      </c>
      <c r="AE216" s="4" t="s">
        <v>47</v>
      </c>
      <c r="AF216" s="4" t="s">
        <v>47</v>
      </c>
      <c r="AG216" s="4" t="s">
        <v>47</v>
      </c>
      <c r="AH216" s="4" t="s">
        <v>47</v>
      </c>
      <c r="AI216" s="4" t="s">
        <v>47</v>
      </c>
      <c r="AJ216" s="4" t="s">
        <v>47</v>
      </c>
      <c r="AK216" s="4" t="s">
        <v>47</v>
      </c>
      <c r="AL216" s="4" t="s">
        <v>47</v>
      </c>
      <c r="AM216" s="4" t="s">
        <v>47</v>
      </c>
      <c r="AN216" s="4" t="s">
        <v>47</v>
      </c>
      <c r="AO216" s="4" t="s">
        <v>2596</v>
      </c>
      <c r="AP216" s="4" t="s">
        <v>2597</v>
      </c>
      <c r="AQ216" s="4" t="s">
        <v>2598</v>
      </c>
      <c r="AR216" s="4" t="s">
        <v>2599</v>
      </c>
    </row>
    <row r="217" spans="1:44" x14ac:dyDescent="0.2">
      <c r="A217" s="4" t="s">
        <v>209</v>
      </c>
      <c r="B217" s="4" t="s">
        <v>95</v>
      </c>
      <c r="C217">
        <v>1</v>
      </c>
      <c r="F217">
        <v>2</v>
      </c>
      <c r="I217" s="4" t="s">
        <v>2600</v>
      </c>
      <c r="J217" s="4" t="s">
        <v>47</v>
      </c>
      <c r="K217" s="4" t="s">
        <v>1506</v>
      </c>
      <c r="L217" s="4" t="s">
        <v>47</v>
      </c>
      <c r="M217">
        <v>63093</v>
      </c>
      <c r="N217" s="4" t="s">
        <v>2437</v>
      </c>
      <c r="O217" s="4" t="s">
        <v>47</v>
      </c>
      <c r="P217" s="4" t="s">
        <v>811</v>
      </c>
      <c r="Q217" s="9">
        <v>40353</v>
      </c>
      <c r="R217" s="4" t="s">
        <v>664</v>
      </c>
      <c r="S217" s="4" t="s">
        <v>47</v>
      </c>
      <c r="T217" s="4" t="s">
        <v>47</v>
      </c>
      <c r="U217" s="4" t="s">
        <v>94</v>
      </c>
      <c r="V217">
        <v>2010</v>
      </c>
      <c r="W217" s="4" t="s">
        <v>47</v>
      </c>
      <c r="X217" s="4" t="s">
        <v>2601</v>
      </c>
      <c r="Y217" s="4" t="s">
        <v>47</v>
      </c>
      <c r="Z217" s="4" t="s">
        <v>2602</v>
      </c>
      <c r="AA217" s="4" t="s">
        <v>47</v>
      </c>
      <c r="AB217" s="4" t="s">
        <v>47</v>
      </c>
      <c r="AC217" s="4" t="s">
        <v>2603</v>
      </c>
      <c r="AD217" s="4" t="s">
        <v>47</v>
      </c>
      <c r="AE217" s="4" t="s">
        <v>47</v>
      </c>
      <c r="AF217" s="4" t="s">
        <v>47</v>
      </c>
      <c r="AG217" s="4" t="s">
        <v>47</v>
      </c>
      <c r="AH217" s="4" t="s">
        <v>47</v>
      </c>
      <c r="AI217" s="4" t="s">
        <v>47</v>
      </c>
      <c r="AJ217" s="4" t="s">
        <v>47</v>
      </c>
      <c r="AK217" s="4" t="s">
        <v>47</v>
      </c>
      <c r="AL217" s="4" t="s">
        <v>47</v>
      </c>
      <c r="AM217" s="4" t="s">
        <v>47</v>
      </c>
      <c r="AN217" s="4" t="s">
        <v>47</v>
      </c>
      <c r="AO217" s="4" t="s">
        <v>2604</v>
      </c>
      <c r="AP217" s="4" t="s">
        <v>2605</v>
      </c>
      <c r="AQ217" s="4" t="s">
        <v>2606</v>
      </c>
      <c r="AR217" s="4" t="s">
        <v>2607</v>
      </c>
    </row>
    <row r="218" spans="1:44" x14ac:dyDescent="0.2">
      <c r="A218" s="4" t="s">
        <v>237</v>
      </c>
      <c r="B218" s="4" t="s">
        <v>52</v>
      </c>
      <c r="C218">
        <v>0</v>
      </c>
      <c r="F218">
        <v>1</v>
      </c>
      <c r="I218" s="4" t="s">
        <v>2608</v>
      </c>
      <c r="J218" s="4" t="s">
        <v>47</v>
      </c>
      <c r="K218" s="4" t="s">
        <v>2040</v>
      </c>
      <c r="L218" s="4" t="s">
        <v>47</v>
      </c>
      <c r="M218">
        <v>36893</v>
      </c>
      <c r="N218" s="4" t="s">
        <v>2423</v>
      </c>
      <c r="O218" s="4" t="s">
        <v>47</v>
      </c>
      <c r="P218" s="4" t="s">
        <v>811</v>
      </c>
      <c r="Q218" s="9">
        <v>40352</v>
      </c>
      <c r="R218" s="4" t="s">
        <v>963</v>
      </c>
      <c r="S218" s="4" t="s">
        <v>47</v>
      </c>
      <c r="T218" s="4" t="s">
        <v>47</v>
      </c>
      <c r="U218" s="4" t="s">
        <v>94</v>
      </c>
      <c r="V218">
        <v>2010</v>
      </c>
      <c r="W218" s="4" t="s">
        <v>47</v>
      </c>
      <c r="X218" s="4" t="s">
        <v>2609</v>
      </c>
      <c r="Y218" s="4" t="s">
        <v>47</v>
      </c>
      <c r="Z218" s="4" t="s">
        <v>2610</v>
      </c>
      <c r="AA218" s="4" t="s">
        <v>47</v>
      </c>
      <c r="AB218" s="4" t="s">
        <v>47</v>
      </c>
      <c r="AC218" s="4" t="s">
        <v>47</v>
      </c>
      <c r="AD218" s="4" t="s">
        <v>47</v>
      </c>
      <c r="AE218" s="4" t="s">
        <v>47</v>
      </c>
      <c r="AF218" s="4" t="s">
        <v>47</v>
      </c>
      <c r="AG218" s="4" t="s">
        <v>47</v>
      </c>
      <c r="AH218" s="4" t="s">
        <v>47</v>
      </c>
      <c r="AI218" s="4" t="s">
        <v>47</v>
      </c>
      <c r="AJ218" s="4" t="s">
        <v>47</v>
      </c>
      <c r="AK218" s="4" t="s">
        <v>47</v>
      </c>
      <c r="AL218" s="4" t="s">
        <v>47</v>
      </c>
      <c r="AM218" s="4" t="s">
        <v>47</v>
      </c>
      <c r="AN218" s="4" t="s">
        <v>47</v>
      </c>
      <c r="AO218" s="4" t="s">
        <v>2611</v>
      </c>
      <c r="AP218" s="4" t="s">
        <v>2612</v>
      </c>
      <c r="AQ218" s="4" t="s">
        <v>2613</v>
      </c>
      <c r="AR218" s="4" t="s">
        <v>2614</v>
      </c>
    </row>
    <row r="219" spans="1:44" x14ac:dyDescent="0.2">
      <c r="A219" s="4" t="s">
        <v>102</v>
      </c>
      <c r="B219" s="4" t="s">
        <v>181</v>
      </c>
      <c r="C219">
        <v>1</v>
      </c>
      <c r="F219">
        <v>0</v>
      </c>
      <c r="I219" s="4" t="s">
        <v>2544</v>
      </c>
      <c r="J219" s="4" t="s">
        <v>47</v>
      </c>
      <c r="K219" s="4" t="s">
        <v>2615</v>
      </c>
      <c r="L219" s="4" t="s">
        <v>47</v>
      </c>
      <c r="M219">
        <v>35827</v>
      </c>
      <c r="N219" s="4" t="s">
        <v>2487</v>
      </c>
      <c r="O219" s="4" t="s">
        <v>47</v>
      </c>
      <c r="P219" s="4" t="s">
        <v>811</v>
      </c>
      <c r="Q219" s="9">
        <v>40352</v>
      </c>
      <c r="R219" s="4" t="s">
        <v>652</v>
      </c>
      <c r="S219" s="4" t="s">
        <v>47</v>
      </c>
      <c r="T219" s="4" t="s">
        <v>47</v>
      </c>
      <c r="U219" s="4" t="s">
        <v>94</v>
      </c>
      <c r="V219">
        <v>2010</v>
      </c>
      <c r="W219" s="4" t="s">
        <v>2616</v>
      </c>
      <c r="X219" s="4" t="s">
        <v>47</v>
      </c>
      <c r="Y219" s="4" t="s">
        <v>2617</v>
      </c>
      <c r="Z219" s="4" t="s">
        <v>47</v>
      </c>
      <c r="AA219" s="4" t="s">
        <v>47</v>
      </c>
      <c r="AB219" s="4" t="s">
        <v>47</v>
      </c>
      <c r="AC219" s="4" t="s">
        <v>47</v>
      </c>
      <c r="AD219" s="4" t="s">
        <v>47</v>
      </c>
      <c r="AE219" s="4" t="s">
        <v>47</v>
      </c>
      <c r="AF219" s="4" t="s">
        <v>47</v>
      </c>
      <c r="AG219" s="4" t="s">
        <v>47</v>
      </c>
      <c r="AH219" s="4" t="s">
        <v>47</v>
      </c>
      <c r="AI219" s="4" t="s">
        <v>47</v>
      </c>
      <c r="AJ219" s="4" t="s">
        <v>47</v>
      </c>
      <c r="AK219" s="4" t="s">
        <v>47</v>
      </c>
      <c r="AL219" s="4" t="s">
        <v>47</v>
      </c>
      <c r="AM219" s="4" t="s">
        <v>47</v>
      </c>
      <c r="AN219" s="4" t="s">
        <v>2618</v>
      </c>
      <c r="AO219" s="4" t="s">
        <v>2619</v>
      </c>
      <c r="AP219" s="4" t="s">
        <v>2620</v>
      </c>
      <c r="AQ219" s="4" t="s">
        <v>2621</v>
      </c>
      <c r="AR219" s="4" t="s">
        <v>2622</v>
      </c>
    </row>
    <row r="220" spans="1:44" x14ac:dyDescent="0.2">
      <c r="A220" s="4" t="s">
        <v>264</v>
      </c>
      <c r="B220" s="4" t="s">
        <v>92</v>
      </c>
      <c r="C220">
        <v>0</v>
      </c>
      <c r="F220">
        <v>1</v>
      </c>
      <c r="I220" s="4" t="s">
        <v>2470</v>
      </c>
      <c r="J220" s="4" t="s">
        <v>47</v>
      </c>
      <c r="K220" s="4" t="s">
        <v>1465</v>
      </c>
      <c r="L220" s="4" t="s">
        <v>47</v>
      </c>
      <c r="M220">
        <v>83391</v>
      </c>
      <c r="N220" s="4" t="s">
        <v>2414</v>
      </c>
      <c r="O220" s="4" t="s">
        <v>47</v>
      </c>
      <c r="P220" s="4" t="s">
        <v>811</v>
      </c>
      <c r="Q220" s="9">
        <v>40352</v>
      </c>
      <c r="R220" s="4" t="s">
        <v>963</v>
      </c>
      <c r="S220" s="4" t="s">
        <v>47</v>
      </c>
      <c r="T220" s="4" t="s">
        <v>47</v>
      </c>
      <c r="U220" s="4" t="s">
        <v>94</v>
      </c>
      <c r="V220">
        <v>2010</v>
      </c>
      <c r="W220" s="4" t="s">
        <v>47</v>
      </c>
      <c r="X220" s="4" t="s">
        <v>2623</v>
      </c>
      <c r="Y220" s="4" t="s">
        <v>47</v>
      </c>
      <c r="Z220" s="4" t="s">
        <v>2624</v>
      </c>
      <c r="AA220" s="4" t="s">
        <v>47</v>
      </c>
      <c r="AB220" s="4" t="s">
        <v>47</v>
      </c>
      <c r="AC220" s="4" t="s">
        <v>47</v>
      </c>
      <c r="AD220" s="4" t="s">
        <v>47</v>
      </c>
      <c r="AE220" s="4" t="s">
        <v>47</v>
      </c>
      <c r="AF220" s="4" t="s">
        <v>47</v>
      </c>
      <c r="AG220" s="4" t="s">
        <v>47</v>
      </c>
      <c r="AH220" s="4" t="s">
        <v>47</v>
      </c>
      <c r="AI220" s="4" t="s">
        <v>47</v>
      </c>
      <c r="AJ220" s="4" t="s">
        <v>47</v>
      </c>
      <c r="AK220" s="4" t="s">
        <v>47</v>
      </c>
      <c r="AL220" s="4" t="s">
        <v>47</v>
      </c>
      <c r="AM220" s="4" t="s">
        <v>47</v>
      </c>
      <c r="AN220" s="4" t="s">
        <v>47</v>
      </c>
      <c r="AO220" s="4" t="s">
        <v>2625</v>
      </c>
      <c r="AP220" s="4" t="s">
        <v>2626</v>
      </c>
      <c r="AQ220" s="4" t="s">
        <v>2627</v>
      </c>
      <c r="AR220" s="4" t="s">
        <v>2628</v>
      </c>
    </row>
    <row r="221" spans="1:44" x14ac:dyDescent="0.2">
      <c r="A221" s="4" t="s">
        <v>179</v>
      </c>
      <c r="B221" s="4" t="s">
        <v>207</v>
      </c>
      <c r="C221">
        <v>2</v>
      </c>
      <c r="F221">
        <v>1</v>
      </c>
      <c r="I221" s="4" t="s">
        <v>2629</v>
      </c>
      <c r="J221" s="4" t="s">
        <v>47</v>
      </c>
      <c r="K221" s="4" t="s">
        <v>2630</v>
      </c>
      <c r="L221" s="4" t="s">
        <v>47</v>
      </c>
      <c r="M221">
        <v>37836</v>
      </c>
      <c r="N221" s="4" t="s">
        <v>2559</v>
      </c>
      <c r="O221" s="4" t="s">
        <v>47</v>
      </c>
      <c r="P221" s="4" t="s">
        <v>811</v>
      </c>
      <c r="Q221" s="9">
        <v>40352</v>
      </c>
      <c r="R221" s="4" t="s">
        <v>617</v>
      </c>
      <c r="S221" s="4" t="s">
        <v>47</v>
      </c>
      <c r="T221" s="4" t="s">
        <v>47</v>
      </c>
      <c r="U221" s="4" t="s">
        <v>94</v>
      </c>
      <c r="V221">
        <v>2010</v>
      </c>
      <c r="W221" s="4" t="s">
        <v>2631</v>
      </c>
      <c r="X221" s="4" t="s">
        <v>2632</v>
      </c>
      <c r="Y221" s="4" t="s">
        <v>2633</v>
      </c>
      <c r="Z221" s="4" t="s">
        <v>2634</v>
      </c>
      <c r="AA221" s="4" t="s">
        <v>47</v>
      </c>
      <c r="AB221" s="4" t="s">
        <v>47</v>
      </c>
      <c r="AC221" s="4" t="s">
        <v>47</v>
      </c>
      <c r="AD221" s="4" t="s">
        <v>47</v>
      </c>
      <c r="AE221" s="4" t="s">
        <v>47</v>
      </c>
      <c r="AF221" s="4" t="s">
        <v>47</v>
      </c>
      <c r="AG221" s="4" t="s">
        <v>47</v>
      </c>
      <c r="AH221" s="4" t="s">
        <v>47</v>
      </c>
      <c r="AI221" s="4" t="s">
        <v>47</v>
      </c>
      <c r="AJ221" s="4" t="s">
        <v>47</v>
      </c>
      <c r="AK221" s="4" t="s">
        <v>47</v>
      </c>
      <c r="AL221" s="4" t="s">
        <v>47</v>
      </c>
      <c r="AM221" s="4" t="s">
        <v>47</v>
      </c>
      <c r="AN221" s="4" t="s">
        <v>47</v>
      </c>
      <c r="AO221" s="4" t="s">
        <v>2635</v>
      </c>
      <c r="AP221" s="4" t="s">
        <v>2636</v>
      </c>
      <c r="AQ221" s="4" t="s">
        <v>2637</v>
      </c>
      <c r="AR221" s="4" t="s">
        <v>2638</v>
      </c>
    </row>
    <row r="222" spans="1:44" x14ac:dyDescent="0.2">
      <c r="A222" s="4" t="s">
        <v>106</v>
      </c>
      <c r="B222" s="4" t="s">
        <v>121</v>
      </c>
      <c r="C222">
        <v>0</v>
      </c>
      <c r="F222">
        <v>1</v>
      </c>
      <c r="I222" s="4" t="s">
        <v>2528</v>
      </c>
      <c r="J222" s="4" t="s">
        <v>47</v>
      </c>
      <c r="K222" s="4" t="s">
        <v>1303</v>
      </c>
      <c r="L222" s="4" t="s">
        <v>47</v>
      </c>
      <c r="M222">
        <v>33425</v>
      </c>
      <c r="N222" s="4" t="s">
        <v>2545</v>
      </c>
      <c r="O222" s="4" t="s">
        <v>47</v>
      </c>
      <c r="P222" s="4" t="s">
        <v>811</v>
      </c>
      <c r="Q222" s="9">
        <v>40351</v>
      </c>
      <c r="R222" s="4" t="s">
        <v>963</v>
      </c>
      <c r="S222" s="4" t="s">
        <v>47</v>
      </c>
      <c r="T222" s="4" t="s">
        <v>47</v>
      </c>
      <c r="U222" s="4" t="s">
        <v>94</v>
      </c>
      <c r="V222">
        <v>2010</v>
      </c>
      <c r="W222" s="4" t="s">
        <v>47</v>
      </c>
      <c r="X222" s="4" t="s">
        <v>2639</v>
      </c>
      <c r="Y222" s="4" t="s">
        <v>47</v>
      </c>
      <c r="Z222" s="4" t="s">
        <v>2640</v>
      </c>
      <c r="AA222" s="4" t="s">
        <v>47</v>
      </c>
      <c r="AB222" s="4" t="s">
        <v>47</v>
      </c>
      <c r="AC222" s="4" t="s">
        <v>47</v>
      </c>
      <c r="AD222" s="4" t="s">
        <v>47</v>
      </c>
      <c r="AE222" s="4" t="s">
        <v>47</v>
      </c>
      <c r="AF222" s="4" t="s">
        <v>47</v>
      </c>
      <c r="AG222" s="4" t="s">
        <v>47</v>
      </c>
      <c r="AH222" s="4" t="s">
        <v>47</v>
      </c>
      <c r="AI222" s="4" t="s">
        <v>47</v>
      </c>
      <c r="AJ222" s="4" t="s">
        <v>47</v>
      </c>
      <c r="AK222" s="4" t="s">
        <v>47</v>
      </c>
      <c r="AL222" s="4" t="s">
        <v>47</v>
      </c>
      <c r="AM222" s="4" t="s">
        <v>47</v>
      </c>
      <c r="AN222" s="4" t="s">
        <v>47</v>
      </c>
      <c r="AO222" s="4" t="s">
        <v>2641</v>
      </c>
      <c r="AP222" s="4" t="s">
        <v>2642</v>
      </c>
      <c r="AQ222" s="4" t="s">
        <v>2643</v>
      </c>
      <c r="AR222" s="4" t="s">
        <v>2644</v>
      </c>
    </row>
    <row r="223" spans="1:44" x14ac:dyDescent="0.2">
      <c r="A223" s="4" t="s">
        <v>87</v>
      </c>
      <c r="B223" s="4" t="s">
        <v>94</v>
      </c>
      <c r="C223">
        <v>1</v>
      </c>
      <c r="F223">
        <v>2</v>
      </c>
      <c r="I223" s="4" t="s">
        <v>2645</v>
      </c>
      <c r="J223" s="4" t="s">
        <v>47</v>
      </c>
      <c r="K223" s="4" t="s">
        <v>2646</v>
      </c>
      <c r="L223" s="4" t="s">
        <v>47</v>
      </c>
      <c r="M223">
        <v>39415</v>
      </c>
      <c r="N223" s="4" t="s">
        <v>2519</v>
      </c>
      <c r="O223" s="4" t="s">
        <v>47</v>
      </c>
      <c r="P223" s="4" t="s">
        <v>811</v>
      </c>
      <c r="Q223" s="9">
        <v>40351</v>
      </c>
      <c r="R223" s="4" t="s">
        <v>664</v>
      </c>
      <c r="S223" s="4" t="s">
        <v>47</v>
      </c>
      <c r="T223" s="4" t="s">
        <v>47</v>
      </c>
      <c r="U223" s="4" t="s">
        <v>94</v>
      </c>
      <c r="V223">
        <v>2010</v>
      </c>
      <c r="W223" s="4" t="s">
        <v>2647</v>
      </c>
      <c r="X223" s="4" t="s">
        <v>2648</v>
      </c>
      <c r="Y223" s="4" t="s">
        <v>2649</v>
      </c>
      <c r="Z223" s="4" t="s">
        <v>2650</v>
      </c>
      <c r="AA223" s="4" t="s">
        <v>47</v>
      </c>
      <c r="AB223" s="4" t="s">
        <v>47</v>
      </c>
      <c r="AC223" s="4" t="s">
        <v>47</v>
      </c>
      <c r="AD223" s="4" t="s">
        <v>47</v>
      </c>
      <c r="AE223" s="4" t="s">
        <v>47</v>
      </c>
      <c r="AF223" s="4" t="s">
        <v>47</v>
      </c>
      <c r="AG223" s="4" t="s">
        <v>47</v>
      </c>
      <c r="AH223" s="4" t="s">
        <v>47</v>
      </c>
      <c r="AI223" s="4" t="s">
        <v>47</v>
      </c>
      <c r="AJ223" s="4" t="s">
        <v>47</v>
      </c>
      <c r="AK223" s="4" t="s">
        <v>2651</v>
      </c>
      <c r="AL223" s="4" t="s">
        <v>47</v>
      </c>
      <c r="AM223" s="4" t="s">
        <v>47</v>
      </c>
      <c r="AN223" s="4" t="s">
        <v>47</v>
      </c>
      <c r="AO223" s="4" t="s">
        <v>2652</v>
      </c>
      <c r="AP223" s="4" t="s">
        <v>47</v>
      </c>
      <c r="AQ223" s="4" t="s">
        <v>2653</v>
      </c>
      <c r="AR223" s="4" t="s">
        <v>2654</v>
      </c>
    </row>
    <row r="224" spans="1:44" x14ac:dyDescent="0.2">
      <c r="A224" s="4" t="s">
        <v>177</v>
      </c>
      <c r="B224" s="4" t="s">
        <v>175</v>
      </c>
      <c r="C224">
        <v>2</v>
      </c>
      <c r="F224">
        <v>2</v>
      </c>
      <c r="I224" s="4" t="s">
        <v>2655</v>
      </c>
      <c r="J224" s="4" t="s">
        <v>47</v>
      </c>
      <c r="K224" s="4" t="s">
        <v>2536</v>
      </c>
      <c r="L224" s="4" t="s">
        <v>47</v>
      </c>
      <c r="M224">
        <v>61874</v>
      </c>
      <c r="N224" s="4" t="s">
        <v>2432</v>
      </c>
      <c r="O224" s="4" t="s">
        <v>47</v>
      </c>
      <c r="P224" s="4" t="s">
        <v>811</v>
      </c>
      <c r="Q224" s="9">
        <v>40351</v>
      </c>
      <c r="R224" s="4" t="s">
        <v>1487</v>
      </c>
      <c r="S224" s="4" t="s">
        <v>47</v>
      </c>
      <c r="T224" s="4" t="s">
        <v>47</v>
      </c>
      <c r="U224" s="4" t="s">
        <v>94</v>
      </c>
      <c r="V224">
        <v>2010</v>
      </c>
      <c r="W224" s="4" t="s">
        <v>2656</v>
      </c>
      <c r="X224" s="4" t="s">
        <v>2657</v>
      </c>
      <c r="Y224" s="4" t="s">
        <v>2658</v>
      </c>
      <c r="Z224" s="4" t="s">
        <v>2659</v>
      </c>
      <c r="AA224" s="4" t="s">
        <v>47</v>
      </c>
      <c r="AB224" s="4" t="s">
        <v>47</v>
      </c>
      <c r="AC224" s="4" t="s">
        <v>2660</v>
      </c>
      <c r="AD224" s="4" t="s">
        <v>47</v>
      </c>
      <c r="AE224" s="4" t="s">
        <v>47</v>
      </c>
      <c r="AF224" s="4" t="s">
        <v>47</v>
      </c>
      <c r="AG224" s="4" t="s">
        <v>47</v>
      </c>
      <c r="AH224" s="4" t="s">
        <v>47</v>
      </c>
      <c r="AI224" s="4" t="s">
        <v>47</v>
      </c>
      <c r="AJ224" s="4" t="s">
        <v>47</v>
      </c>
      <c r="AK224" s="4" t="s">
        <v>47</v>
      </c>
      <c r="AL224" s="4" t="s">
        <v>47</v>
      </c>
      <c r="AM224" s="4" t="s">
        <v>47</v>
      </c>
      <c r="AN224" s="4" t="s">
        <v>47</v>
      </c>
      <c r="AO224" s="4" t="s">
        <v>2661</v>
      </c>
      <c r="AP224" s="4" t="s">
        <v>2662</v>
      </c>
      <c r="AQ224" s="4" t="s">
        <v>2663</v>
      </c>
      <c r="AR224" s="4" t="s">
        <v>2664</v>
      </c>
    </row>
    <row r="225" spans="1:44" x14ac:dyDescent="0.2">
      <c r="A225" s="4" t="s">
        <v>217</v>
      </c>
      <c r="B225" s="4" t="s">
        <v>26</v>
      </c>
      <c r="C225">
        <v>0</v>
      </c>
      <c r="F225">
        <v>2</v>
      </c>
      <c r="I225" s="4" t="s">
        <v>2665</v>
      </c>
      <c r="J225" s="4" t="s">
        <v>47</v>
      </c>
      <c r="K225" s="4" t="s">
        <v>2446</v>
      </c>
      <c r="L225" s="4" t="s">
        <v>47</v>
      </c>
      <c r="M225">
        <v>38891</v>
      </c>
      <c r="N225" s="4" t="s">
        <v>2577</v>
      </c>
      <c r="O225" s="4" t="s">
        <v>47</v>
      </c>
      <c r="P225" s="4" t="s">
        <v>811</v>
      </c>
      <c r="Q225" s="9">
        <v>40351</v>
      </c>
      <c r="R225" s="4" t="s">
        <v>824</v>
      </c>
      <c r="S225" s="4" t="s">
        <v>47</v>
      </c>
      <c r="T225" s="4" t="s">
        <v>47</v>
      </c>
      <c r="U225" s="4" t="s">
        <v>94</v>
      </c>
      <c r="V225">
        <v>2010</v>
      </c>
      <c r="W225" s="4" t="s">
        <v>47</v>
      </c>
      <c r="X225" s="4" t="s">
        <v>2666</v>
      </c>
      <c r="Y225" s="4" t="s">
        <v>47</v>
      </c>
      <c r="Z225" s="4" t="s">
        <v>2667</v>
      </c>
      <c r="AA225" s="4" t="s">
        <v>47</v>
      </c>
      <c r="AB225" s="4" t="s">
        <v>47</v>
      </c>
      <c r="AC225" s="4" t="s">
        <v>47</v>
      </c>
      <c r="AD225" s="4" t="s">
        <v>47</v>
      </c>
      <c r="AE225" s="4" t="s">
        <v>47</v>
      </c>
      <c r="AF225" s="4" t="s">
        <v>47</v>
      </c>
      <c r="AG225" s="4" t="s">
        <v>47</v>
      </c>
      <c r="AH225" s="4" t="s">
        <v>47</v>
      </c>
      <c r="AI225" s="4" t="s">
        <v>47</v>
      </c>
      <c r="AJ225" s="4" t="s">
        <v>47</v>
      </c>
      <c r="AK225" s="4" t="s">
        <v>47</v>
      </c>
      <c r="AL225" s="4" t="s">
        <v>47</v>
      </c>
      <c r="AM225" s="4" t="s">
        <v>47</v>
      </c>
      <c r="AN225" s="4" t="s">
        <v>47</v>
      </c>
      <c r="AO225" s="4" t="s">
        <v>2668</v>
      </c>
      <c r="AP225" s="4" t="s">
        <v>2669</v>
      </c>
      <c r="AQ225" s="4" t="s">
        <v>2670</v>
      </c>
      <c r="AR225" s="4" t="s">
        <v>2671</v>
      </c>
    </row>
    <row r="226" spans="1:44" x14ac:dyDescent="0.2">
      <c r="A226" s="4" t="s">
        <v>141</v>
      </c>
      <c r="B226" s="4" t="s">
        <v>357</v>
      </c>
      <c r="C226">
        <v>7</v>
      </c>
      <c r="F226">
        <v>0</v>
      </c>
      <c r="I226" s="4" t="s">
        <v>960</v>
      </c>
      <c r="J226" s="4" t="s">
        <v>47</v>
      </c>
      <c r="K226" s="4" t="s">
        <v>2557</v>
      </c>
      <c r="L226" s="4" t="s">
        <v>47</v>
      </c>
      <c r="M226">
        <v>63644</v>
      </c>
      <c r="N226" s="4" t="s">
        <v>2437</v>
      </c>
      <c r="O226" s="4" t="s">
        <v>47</v>
      </c>
      <c r="P226" s="4" t="s">
        <v>811</v>
      </c>
      <c r="Q226" s="9">
        <v>40350</v>
      </c>
      <c r="R226" s="4" t="s">
        <v>1157</v>
      </c>
      <c r="S226" s="4" t="s">
        <v>47</v>
      </c>
      <c r="T226" s="4" t="s">
        <v>47</v>
      </c>
      <c r="U226" s="4" t="s">
        <v>94</v>
      </c>
      <c r="V226">
        <v>2010</v>
      </c>
      <c r="W226" s="4" t="s">
        <v>2672</v>
      </c>
      <c r="X226" s="4" t="s">
        <v>47</v>
      </c>
      <c r="Y226" s="4" t="s">
        <v>2673</v>
      </c>
      <c r="Z226" s="4" t="s">
        <v>47</v>
      </c>
      <c r="AA226" s="4" t="s">
        <v>47</v>
      </c>
      <c r="AB226" s="4" t="s">
        <v>47</v>
      </c>
      <c r="AC226" s="4" t="s">
        <v>47</v>
      </c>
      <c r="AD226" s="4" t="s">
        <v>47</v>
      </c>
      <c r="AE226" s="4" t="s">
        <v>47</v>
      </c>
      <c r="AF226" s="4" t="s">
        <v>47</v>
      </c>
      <c r="AG226" s="4" t="s">
        <v>47</v>
      </c>
      <c r="AH226" s="4" t="s">
        <v>47</v>
      </c>
      <c r="AI226" s="4" t="s">
        <v>47</v>
      </c>
      <c r="AJ226" s="4" t="s">
        <v>47</v>
      </c>
      <c r="AK226" s="4" t="s">
        <v>47</v>
      </c>
      <c r="AL226" s="4" t="s">
        <v>47</v>
      </c>
      <c r="AM226" s="4" t="s">
        <v>47</v>
      </c>
      <c r="AN226" s="4" t="s">
        <v>47</v>
      </c>
      <c r="AO226" s="4" t="s">
        <v>2674</v>
      </c>
      <c r="AP226" s="4" t="s">
        <v>2675</v>
      </c>
      <c r="AQ226" s="4" t="s">
        <v>2676</v>
      </c>
      <c r="AR226" s="4" t="s">
        <v>2677</v>
      </c>
    </row>
    <row r="227" spans="1:44" x14ac:dyDescent="0.2">
      <c r="A227" s="4" t="s">
        <v>113</v>
      </c>
      <c r="B227" s="4" t="s">
        <v>118</v>
      </c>
      <c r="C227">
        <v>1</v>
      </c>
      <c r="F227">
        <v>0</v>
      </c>
      <c r="I227" s="4" t="s">
        <v>2512</v>
      </c>
      <c r="J227" s="4" t="s">
        <v>47</v>
      </c>
      <c r="K227" s="4" t="s">
        <v>1925</v>
      </c>
      <c r="L227" s="4" t="s">
        <v>47</v>
      </c>
      <c r="M227">
        <v>34872</v>
      </c>
      <c r="N227" s="4" t="s">
        <v>2423</v>
      </c>
      <c r="O227" s="4" t="s">
        <v>47</v>
      </c>
      <c r="P227" s="4" t="s">
        <v>811</v>
      </c>
      <c r="Q227" s="9">
        <v>40350</v>
      </c>
      <c r="R227" s="4" t="s">
        <v>652</v>
      </c>
      <c r="S227" s="4" t="s">
        <v>47</v>
      </c>
      <c r="T227" s="4" t="s">
        <v>47</v>
      </c>
      <c r="U227" s="4" t="s">
        <v>94</v>
      </c>
      <c r="V227">
        <v>2010</v>
      </c>
      <c r="W227" s="4" t="s">
        <v>2678</v>
      </c>
      <c r="X227" s="4" t="s">
        <v>47</v>
      </c>
      <c r="Y227" s="4" t="s">
        <v>2679</v>
      </c>
      <c r="Z227" s="4" t="s">
        <v>47</v>
      </c>
      <c r="AA227" s="4" t="s">
        <v>47</v>
      </c>
      <c r="AB227" s="4" t="s">
        <v>47</v>
      </c>
      <c r="AC227" s="4" t="s">
        <v>47</v>
      </c>
      <c r="AD227" s="4" t="s">
        <v>47</v>
      </c>
      <c r="AE227" s="4" t="s">
        <v>47</v>
      </c>
      <c r="AF227" s="4" t="s">
        <v>47</v>
      </c>
      <c r="AG227" s="4" t="s">
        <v>47</v>
      </c>
      <c r="AH227" s="4" t="s">
        <v>47</v>
      </c>
      <c r="AI227" s="4" t="s">
        <v>47</v>
      </c>
      <c r="AJ227" s="4" t="s">
        <v>47</v>
      </c>
      <c r="AK227" s="4" t="s">
        <v>47</v>
      </c>
      <c r="AL227" s="4" t="s">
        <v>47</v>
      </c>
      <c r="AM227" s="4" t="s">
        <v>47</v>
      </c>
      <c r="AN227" s="4" t="s">
        <v>47</v>
      </c>
      <c r="AO227" s="4" t="s">
        <v>2680</v>
      </c>
      <c r="AP227" s="4" t="s">
        <v>2681</v>
      </c>
      <c r="AQ227" s="4" t="s">
        <v>2682</v>
      </c>
      <c r="AR227" s="4" t="s">
        <v>2683</v>
      </c>
    </row>
    <row r="228" spans="1:44" x14ac:dyDescent="0.2">
      <c r="A228" s="4" t="s">
        <v>20</v>
      </c>
      <c r="B228" s="4" t="s">
        <v>248</v>
      </c>
      <c r="C228">
        <v>2</v>
      </c>
      <c r="F228">
        <v>0</v>
      </c>
      <c r="I228" s="4" t="s">
        <v>2413</v>
      </c>
      <c r="J228" s="4" t="s">
        <v>47</v>
      </c>
      <c r="K228" s="4" t="s">
        <v>2076</v>
      </c>
      <c r="L228" s="4" t="s">
        <v>47</v>
      </c>
      <c r="M228">
        <v>54386</v>
      </c>
      <c r="N228" s="4" t="s">
        <v>2454</v>
      </c>
      <c r="O228" s="4" t="s">
        <v>47</v>
      </c>
      <c r="P228" s="4" t="s">
        <v>811</v>
      </c>
      <c r="Q228" s="9">
        <v>40350</v>
      </c>
      <c r="R228" s="4" t="s">
        <v>630</v>
      </c>
      <c r="S228" s="4" t="s">
        <v>47</v>
      </c>
      <c r="T228" s="4" t="s">
        <v>47</v>
      </c>
      <c r="U228" s="4" t="s">
        <v>94</v>
      </c>
      <c r="V228">
        <v>2010</v>
      </c>
      <c r="W228" s="4" t="s">
        <v>2684</v>
      </c>
      <c r="X228" s="4" t="s">
        <v>47</v>
      </c>
      <c r="Y228" s="4" t="s">
        <v>2685</v>
      </c>
      <c r="Z228" s="4" t="s">
        <v>47</v>
      </c>
      <c r="AA228" s="4" t="s">
        <v>47</v>
      </c>
      <c r="AB228" s="4" t="s">
        <v>47</v>
      </c>
      <c r="AC228" s="4" t="s">
        <v>47</v>
      </c>
      <c r="AD228" s="4" t="s">
        <v>47</v>
      </c>
      <c r="AE228" s="4" t="s">
        <v>47</v>
      </c>
      <c r="AF228" s="4" t="s">
        <v>47</v>
      </c>
      <c r="AG228" s="4" t="s">
        <v>47</v>
      </c>
      <c r="AH228" s="4" t="s">
        <v>47</v>
      </c>
      <c r="AI228" s="4" t="s">
        <v>47</v>
      </c>
      <c r="AJ228" s="4" t="s">
        <v>47</v>
      </c>
      <c r="AK228" s="4" t="s">
        <v>47</v>
      </c>
      <c r="AL228" s="4" t="s">
        <v>47</v>
      </c>
      <c r="AM228" s="4" t="s">
        <v>47</v>
      </c>
      <c r="AN228" s="4" t="s">
        <v>47</v>
      </c>
      <c r="AO228" s="4" t="s">
        <v>47</v>
      </c>
      <c r="AP228" s="4" t="s">
        <v>2686</v>
      </c>
      <c r="AQ228" s="4" t="s">
        <v>2687</v>
      </c>
      <c r="AR228" s="4" t="s">
        <v>2688</v>
      </c>
    </row>
    <row r="229" spans="1:44" x14ac:dyDescent="0.2">
      <c r="A229" s="4" t="s">
        <v>215</v>
      </c>
      <c r="B229" s="4" t="s">
        <v>202</v>
      </c>
      <c r="C229">
        <v>0</v>
      </c>
      <c r="F229">
        <v>2</v>
      </c>
      <c r="I229" s="4" t="s">
        <v>2504</v>
      </c>
      <c r="J229" s="4" t="s">
        <v>47</v>
      </c>
      <c r="K229" s="4" t="s">
        <v>2453</v>
      </c>
      <c r="L229" s="4" t="s">
        <v>47</v>
      </c>
      <c r="M229">
        <v>26643</v>
      </c>
      <c r="N229" s="4" t="s">
        <v>2519</v>
      </c>
      <c r="O229" s="4" t="s">
        <v>47</v>
      </c>
      <c r="P229" s="4" t="s">
        <v>811</v>
      </c>
      <c r="Q229" s="9">
        <v>40349</v>
      </c>
      <c r="R229" s="4" t="s">
        <v>824</v>
      </c>
      <c r="S229" s="4" t="s">
        <v>47</v>
      </c>
      <c r="T229" s="4" t="s">
        <v>47</v>
      </c>
      <c r="U229" s="4" t="s">
        <v>94</v>
      </c>
      <c r="V229">
        <v>2010</v>
      </c>
      <c r="W229" s="4" t="s">
        <v>47</v>
      </c>
      <c r="X229" s="4" t="s">
        <v>2689</v>
      </c>
      <c r="Y229" s="4" t="s">
        <v>47</v>
      </c>
      <c r="Z229" s="4" t="s">
        <v>2690</v>
      </c>
      <c r="AA229" s="4" t="s">
        <v>47</v>
      </c>
      <c r="AB229" s="4" t="s">
        <v>47</v>
      </c>
      <c r="AC229" s="4" t="s">
        <v>47</v>
      </c>
      <c r="AD229" s="4" t="s">
        <v>47</v>
      </c>
      <c r="AE229" s="4" t="s">
        <v>47</v>
      </c>
      <c r="AF229" s="4" t="s">
        <v>47</v>
      </c>
      <c r="AG229" s="4" t="s">
        <v>47</v>
      </c>
      <c r="AH229" s="4" t="s">
        <v>47</v>
      </c>
      <c r="AI229" s="4" t="s">
        <v>47</v>
      </c>
      <c r="AJ229" s="4" t="s">
        <v>47</v>
      </c>
      <c r="AK229" s="4" t="s">
        <v>47</v>
      </c>
      <c r="AL229" s="4" t="s">
        <v>47</v>
      </c>
      <c r="AM229" s="4" t="s">
        <v>47</v>
      </c>
      <c r="AN229" s="4" t="s">
        <v>47</v>
      </c>
      <c r="AO229" s="4" t="s">
        <v>2691</v>
      </c>
      <c r="AP229" s="4" t="s">
        <v>2692</v>
      </c>
      <c r="AQ229" s="4" t="s">
        <v>2693</v>
      </c>
      <c r="AR229" s="4" t="s">
        <v>2694</v>
      </c>
    </row>
    <row r="230" spans="1:44" x14ac:dyDescent="0.2">
      <c r="A230" s="4" t="s">
        <v>97</v>
      </c>
      <c r="B230" s="4" t="s">
        <v>288</v>
      </c>
      <c r="C230">
        <v>1</v>
      </c>
      <c r="F230">
        <v>1</v>
      </c>
      <c r="I230" s="4" t="s">
        <v>2582</v>
      </c>
      <c r="J230" s="4" t="s">
        <v>47</v>
      </c>
      <c r="K230" s="4" t="s">
        <v>2576</v>
      </c>
      <c r="L230" s="4" t="s">
        <v>47</v>
      </c>
      <c r="M230">
        <v>38229</v>
      </c>
      <c r="N230" s="4" t="s">
        <v>2559</v>
      </c>
      <c r="O230" s="4" t="s">
        <v>47</v>
      </c>
      <c r="P230" s="4" t="s">
        <v>811</v>
      </c>
      <c r="Q230" s="9">
        <v>40349</v>
      </c>
      <c r="R230" s="4" t="s">
        <v>1046</v>
      </c>
      <c r="S230" s="4" t="s">
        <v>47</v>
      </c>
      <c r="T230" s="4" t="s">
        <v>47</v>
      </c>
      <c r="U230" s="4" t="s">
        <v>94</v>
      </c>
      <c r="V230">
        <v>2010</v>
      </c>
      <c r="W230" s="4" t="s">
        <v>47</v>
      </c>
      <c r="X230" s="4" t="s">
        <v>2695</v>
      </c>
      <c r="Y230" s="4" t="s">
        <v>47</v>
      </c>
      <c r="Z230" s="4" t="s">
        <v>2696</v>
      </c>
      <c r="AA230" s="4" t="s">
        <v>47</v>
      </c>
      <c r="AB230" s="4" t="s">
        <v>47</v>
      </c>
      <c r="AC230" s="4" t="s">
        <v>2697</v>
      </c>
      <c r="AD230" s="4" t="s">
        <v>47</v>
      </c>
      <c r="AE230" s="4" t="s">
        <v>47</v>
      </c>
      <c r="AF230" s="4" t="s">
        <v>47</v>
      </c>
      <c r="AG230" s="4" t="s">
        <v>47</v>
      </c>
      <c r="AH230" s="4" t="s">
        <v>47</v>
      </c>
      <c r="AI230" s="4" t="s">
        <v>47</v>
      </c>
      <c r="AJ230" s="4" t="s">
        <v>47</v>
      </c>
      <c r="AK230" s="4" t="s">
        <v>47</v>
      </c>
      <c r="AL230" s="4" t="s">
        <v>47</v>
      </c>
      <c r="AM230" s="4" t="s">
        <v>47</v>
      </c>
      <c r="AN230" s="4" t="s">
        <v>47</v>
      </c>
      <c r="AO230" s="4" t="s">
        <v>47</v>
      </c>
      <c r="AP230" s="4" t="s">
        <v>2698</v>
      </c>
      <c r="AQ230" s="4" t="s">
        <v>2699</v>
      </c>
      <c r="AR230" s="4" t="s">
        <v>2700</v>
      </c>
    </row>
    <row r="231" spans="1:44" x14ac:dyDescent="0.2">
      <c r="A231" s="4" t="s">
        <v>12</v>
      </c>
      <c r="B231" s="4" t="s">
        <v>190</v>
      </c>
      <c r="C231">
        <v>3</v>
      </c>
      <c r="F231">
        <v>1</v>
      </c>
      <c r="I231" s="4" t="s">
        <v>2461</v>
      </c>
      <c r="J231" s="4" t="s">
        <v>47</v>
      </c>
      <c r="K231" s="4" t="s">
        <v>2558</v>
      </c>
      <c r="L231" s="4" t="s">
        <v>47</v>
      </c>
      <c r="M231">
        <v>84455</v>
      </c>
      <c r="N231" s="4" t="s">
        <v>2414</v>
      </c>
      <c r="O231" s="4" t="s">
        <v>47</v>
      </c>
      <c r="P231" s="4" t="s">
        <v>811</v>
      </c>
      <c r="Q231" s="9">
        <v>40349</v>
      </c>
      <c r="R231" s="4" t="s">
        <v>770</v>
      </c>
      <c r="S231" s="4" t="s">
        <v>47</v>
      </c>
      <c r="T231" s="4" t="s">
        <v>47</v>
      </c>
      <c r="U231" s="4" t="s">
        <v>94</v>
      </c>
      <c r="V231">
        <v>2010</v>
      </c>
      <c r="W231" s="4" t="s">
        <v>2701</v>
      </c>
      <c r="X231" s="4" t="s">
        <v>2702</v>
      </c>
      <c r="Y231" s="4" t="s">
        <v>2703</v>
      </c>
      <c r="Z231" s="4" t="s">
        <v>2704</v>
      </c>
      <c r="AA231" s="4" t="s">
        <v>47</v>
      </c>
      <c r="AB231" s="4" t="s">
        <v>47</v>
      </c>
      <c r="AC231" s="4" t="s">
        <v>47</v>
      </c>
      <c r="AD231" s="4" t="s">
        <v>47</v>
      </c>
      <c r="AE231" s="4" t="s">
        <v>47</v>
      </c>
      <c r="AF231" s="4" t="s">
        <v>47</v>
      </c>
      <c r="AG231" s="4" t="s">
        <v>47</v>
      </c>
      <c r="AH231" s="4" t="s">
        <v>47</v>
      </c>
      <c r="AI231" s="4" t="s">
        <v>47</v>
      </c>
      <c r="AJ231" s="4" t="s">
        <v>47</v>
      </c>
      <c r="AK231" s="4" t="s">
        <v>47</v>
      </c>
      <c r="AL231" s="4" t="s">
        <v>47</v>
      </c>
      <c r="AM231" s="4" t="s">
        <v>2705</v>
      </c>
      <c r="AN231" s="4" t="s">
        <v>47</v>
      </c>
      <c r="AO231" s="4" t="s">
        <v>2706</v>
      </c>
      <c r="AP231" s="4" t="s">
        <v>2707</v>
      </c>
      <c r="AQ231" s="4" t="s">
        <v>2708</v>
      </c>
      <c r="AR231" s="4" t="s">
        <v>2709</v>
      </c>
    </row>
    <row r="232" spans="1:44" x14ac:dyDescent="0.2">
      <c r="A232" s="4" t="s">
        <v>95</v>
      </c>
      <c r="B232" s="4" t="s">
        <v>161</v>
      </c>
      <c r="C232">
        <v>1</v>
      </c>
      <c r="F232">
        <v>0</v>
      </c>
      <c r="I232" s="4" t="s">
        <v>1506</v>
      </c>
      <c r="J232" s="4" t="s">
        <v>47</v>
      </c>
      <c r="K232" s="4" t="s">
        <v>2486</v>
      </c>
      <c r="L232" s="4" t="s">
        <v>47</v>
      </c>
      <c r="M232">
        <v>62010</v>
      </c>
      <c r="N232" s="4" t="s">
        <v>2432</v>
      </c>
      <c r="O232" s="4" t="s">
        <v>47</v>
      </c>
      <c r="P232" s="4" t="s">
        <v>811</v>
      </c>
      <c r="Q232" s="9">
        <v>40348</v>
      </c>
      <c r="R232" s="4" t="s">
        <v>652</v>
      </c>
      <c r="S232" s="4" t="s">
        <v>47</v>
      </c>
      <c r="T232" s="4" t="s">
        <v>47</v>
      </c>
      <c r="U232" s="4" t="s">
        <v>94</v>
      </c>
      <c r="V232">
        <v>2010</v>
      </c>
      <c r="W232" s="4" t="s">
        <v>2710</v>
      </c>
      <c r="X232" s="4" t="s">
        <v>47</v>
      </c>
      <c r="Y232" s="4" t="s">
        <v>2711</v>
      </c>
      <c r="Z232" s="4" t="s">
        <v>47</v>
      </c>
      <c r="AA232" s="4" t="s">
        <v>47</v>
      </c>
      <c r="AB232" s="4" t="s">
        <v>47</v>
      </c>
      <c r="AC232" s="4" t="s">
        <v>47</v>
      </c>
      <c r="AD232" s="4" t="s">
        <v>47</v>
      </c>
      <c r="AE232" s="4" t="s">
        <v>47</v>
      </c>
      <c r="AF232" s="4" t="s">
        <v>47</v>
      </c>
      <c r="AG232" s="4" t="s">
        <v>47</v>
      </c>
      <c r="AH232" s="4" t="s">
        <v>47</v>
      </c>
      <c r="AI232" s="4" t="s">
        <v>47</v>
      </c>
      <c r="AJ232" s="4" t="s">
        <v>47</v>
      </c>
      <c r="AK232" s="4" t="s">
        <v>47</v>
      </c>
      <c r="AL232" s="4" t="s">
        <v>47</v>
      </c>
      <c r="AM232" s="4" t="s">
        <v>47</v>
      </c>
      <c r="AN232" s="4" t="s">
        <v>47</v>
      </c>
      <c r="AO232" s="4" t="s">
        <v>2712</v>
      </c>
      <c r="AP232" s="4" t="s">
        <v>47</v>
      </c>
      <c r="AQ232" s="4" t="s">
        <v>2713</v>
      </c>
      <c r="AR232" s="4" t="s">
        <v>2714</v>
      </c>
    </row>
    <row r="233" spans="1:44" x14ac:dyDescent="0.2">
      <c r="A233" s="4" t="s">
        <v>264</v>
      </c>
      <c r="B233" s="4" t="s">
        <v>179</v>
      </c>
      <c r="C233">
        <v>1</v>
      </c>
      <c r="F233">
        <v>1</v>
      </c>
      <c r="I233" s="4" t="s">
        <v>2470</v>
      </c>
      <c r="J233" s="4" t="s">
        <v>47</v>
      </c>
      <c r="K233" s="4" t="s">
        <v>2629</v>
      </c>
      <c r="L233" s="4" t="s">
        <v>47</v>
      </c>
      <c r="M233">
        <v>34812</v>
      </c>
      <c r="N233" s="4" t="s">
        <v>2545</v>
      </c>
      <c r="O233" s="4" t="s">
        <v>47</v>
      </c>
      <c r="P233" s="4" t="s">
        <v>811</v>
      </c>
      <c r="Q233" s="9">
        <v>40348</v>
      </c>
      <c r="R233" s="4" t="s">
        <v>1046</v>
      </c>
      <c r="S233" s="4" t="s">
        <v>47</v>
      </c>
      <c r="T233" s="4" t="s">
        <v>47</v>
      </c>
      <c r="U233" s="4" t="s">
        <v>94</v>
      </c>
      <c r="V233">
        <v>2010</v>
      </c>
      <c r="W233" s="4" t="s">
        <v>47</v>
      </c>
      <c r="X233" s="4" t="s">
        <v>2715</v>
      </c>
      <c r="Y233" s="4" t="s">
        <v>47</v>
      </c>
      <c r="Z233" s="4" t="s">
        <v>2716</v>
      </c>
      <c r="AA233" s="4" t="s">
        <v>47</v>
      </c>
      <c r="AB233" s="4" t="s">
        <v>47</v>
      </c>
      <c r="AC233" s="4" t="s">
        <v>2717</v>
      </c>
      <c r="AD233" s="4" t="s">
        <v>47</v>
      </c>
      <c r="AE233" s="4" t="s">
        <v>47</v>
      </c>
      <c r="AF233" s="4" t="s">
        <v>47</v>
      </c>
      <c r="AG233" s="4" t="s">
        <v>47</v>
      </c>
      <c r="AH233" s="4" t="s">
        <v>47</v>
      </c>
      <c r="AI233" s="4" t="s">
        <v>47</v>
      </c>
      <c r="AJ233" s="4" t="s">
        <v>47</v>
      </c>
      <c r="AK233" s="4" t="s">
        <v>47</v>
      </c>
      <c r="AL233" s="4" t="s">
        <v>2718</v>
      </c>
      <c r="AM233" s="4" t="s">
        <v>47</v>
      </c>
      <c r="AN233" s="4" t="s">
        <v>47</v>
      </c>
      <c r="AO233" s="4" t="s">
        <v>2719</v>
      </c>
      <c r="AP233" s="4" t="s">
        <v>2720</v>
      </c>
      <c r="AQ233" s="4" t="s">
        <v>2721</v>
      </c>
      <c r="AR233" s="4" t="s">
        <v>2722</v>
      </c>
    </row>
    <row r="234" spans="1:44" x14ac:dyDescent="0.2">
      <c r="A234" s="4" t="s">
        <v>209</v>
      </c>
      <c r="B234" s="4" t="s">
        <v>167</v>
      </c>
      <c r="C234">
        <v>1</v>
      </c>
      <c r="F234">
        <v>2</v>
      </c>
      <c r="I234" s="4" t="s">
        <v>2600</v>
      </c>
      <c r="J234" s="4" t="s">
        <v>47</v>
      </c>
      <c r="K234" s="4" t="s">
        <v>2591</v>
      </c>
      <c r="L234" s="4" t="s">
        <v>47</v>
      </c>
      <c r="M234">
        <v>38074</v>
      </c>
      <c r="N234" s="4" t="s">
        <v>2487</v>
      </c>
      <c r="O234" s="4" t="s">
        <v>47</v>
      </c>
      <c r="P234" s="4" t="s">
        <v>811</v>
      </c>
      <c r="Q234" s="9">
        <v>40348</v>
      </c>
      <c r="R234" s="4" t="s">
        <v>664</v>
      </c>
      <c r="S234" s="4" t="s">
        <v>47</v>
      </c>
      <c r="T234" s="4" t="s">
        <v>47</v>
      </c>
      <c r="U234" s="4" t="s">
        <v>94</v>
      </c>
      <c r="V234">
        <v>2010</v>
      </c>
      <c r="W234" s="4" t="s">
        <v>2723</v>
      </c>
      <c r="X234" s="4" t="s">
        <v>2724</v>
      </c>
      <c r="Y234" s="4" t="s">
        <v>2725</v>
      </c>
      <c r="Z234" s="4" t="s">
        <v>2726</v>
      </c>
      <c r="AA234" s="4" t="s">
        <v>47</v>
      </c>
      <c r="AB234" s="4" t="s">
        <v>47</v>
      </c>
      <c r="AC234" s="4" t="s">
        <v>47</v>
      </c>
      <c r="AD234" s="4" t="s">
        <v>47</v>
      </c>
      <c r="AE234" s="4" t="s">
        <v>47</v>
      </c>
      <c r="AF234" s="4" t="s">
        <v>47</v>
      </c>
      <c r="AG234" s="4" t="s">
        <v>47</v>
      </c>
      <c r="AH234" s="4" t="s">
        <v>47</v>
      </c>
      <c r="AI234" s="4" t="s">
        <v>47</v>
      </c>
      <c r="AJ234" s="4" t="s">
        <v>47</v>
      </c>
      <c r="AK234" s="4" t="s">
        <v>47</v>
      </c>
      <c r="AL234" s="4" t="s">
        <v>47</v>
      </c>
      <c r="AM234" s="4" t="s">
        <v>47</v>
      </c>
      <c r="AN234" s="4" t="s">
        <v>47</v>
      </c>
      <c r="AO234" s="4" t="s">
        <v>2727</v>
      </c>
      <c r="AP234" s="4" t="s">
        <v>2728</v>
      </c>
      <c r="AQ234" s="4" t="s">
        <v>2729</v>
      </c>
      <c r="AR234" s="4" t="s">
        <v>2730</v>
      </c>
    </row>
    <row r="235" spans="1:44" x14ac:dyDescent="0.2">
      <c r="A235" s="4" t="s">
        <v>92</v>
      </c>
      <c r="B235" s="4" t="s">
        <v>207</v>
      </c>
      <c r="C235">
        <v>0</v>
      </c>
      <c r="F235">
        <v>1</v>
      </c>
      <c r="I235" s="4" t="s">
        <v>1465</v>
      </c>
      <c r="J235" s="4" t="s">
        <v>47</v>
      </c>
      <c r="K235" s="4" t="s">
        <v>2630</v>
      </c>
      <c r="L235" s="4" t="s">
        <v>47</v>
      </c>
      <c r="M235">
        <v>38294</v>
      </c>
      <c r="N235" s="4" t="s">
        <v>2423</v>
      </c>
      <c r="O235" s="4" t="s">
        <v>47</v>
      </c>
      <c r="P235" s="4" t="s">
        <v>811</v>
      </c>
      <c r="Q235" s="9">
        <v>40347</v>
      </c>
      <c r="R235" s="4" t="s">
        <v>963</v>
      </c>
      <c r="S235" s="4" t="s">
        <v>47</v>
      </c>
      <c r="T235" s="4" t="s">
        <v>47</v>
      </c>
      <c r="U235" s="4" t="s">
        <v>94</v>
      </c>
      <c r="V235">
        <v>2010</v>
      </c>
      <c r="W235" s="4" t="s">
        <v>47</v>
      </c>
      <c r="X235" s="4" t="s">
        <v>2731</v>
      </c>
      <c r="Y235" s="4" t="s">
        <v>47</v>
      </c>
      <c r="Z235" s="4" t="s">
        <v>2732</v>
      </c>
      <c r="AA235" s="4" t="s">
        <v>47</v>
      </c>
      <c r="AB235" s="4" t="s">
        <v>47</v>
      </c>
      <c r="AC235" s="4" t="s">
        <v>47</v>
      </c>
      <c r="AD235" s="4" t="s">
        <v>47</v>
      </c>
      <c r="AE235" s="4" t="s">
        <v>47</v>
      </c>
      <c r="AF235" s="4" t="s">
        <v>47</v>
      </c>
      <c r="AG235" s="4" t="s">
        <v>47</v>
      </c>
      <c r="AH235" s="4" t="s">
        <v>47</v>
      </c>
      <c r="AI235" s="4" t="s">
        <v>47</v>
      </c>
      <c r="AJ235" s="4" t="s">
        <v>47</v>
      </c>
      <c r="AK235" s="4" t="s">
        <v>47</v>
      </c>
      <c r="AL235" s="4" t="s">
        <v>47</v>
      </c>
      <c r="AM235" s="4" t="s">
        <v>2733</v>
      </c>
      <c r="AN235" s="4" t="s">
        <v>47</v>
      </c>
      <c r="AO235" s="4" t="s">
        <v>2734</v>
      </c>
      <c r="AP235" s="4" t="s">
        <v>2735</v>
      </c>
      <c r="AQ235" s="4" t="s">
        <v>2736</v>
      </c>
      <c r="AR235" s="4" t="s">
        <v>2737</v>
      </c>
    </row>
    <row r="236" spans="1:44" x14ac:dyDescent="0.2">
      <c r="A236" s="4" t="s">
        <v>237</v>
      </c>
      <c r="B236" s="4" t="s">
        <v>102</v>
      </c>
      <c r="C236">
        <v>2</v>
      </c>
      <c r="F236">
        <v>2</v>
      </c>
      <c r="I236" s="4" t="s">
        <v>2608</v>
      </c>
      <c r="J236" s="4" t="s">
        <v>47</v>
      </c>
      <c r="K236" s="4" t="s">
        <v>2544</v>
      </c>
      <c r="L236" s="4" t="s">
        <v>47</v>
      </c>
      <c r="M236">
        <v>45573</v>
      </c>
      <c r="N236" s="4" t="s">
        <v>2454</v>
      </c>
      <c r="O236" s="4" t="s">
        <v>47</v>
      </c>
      <c r="P236" s="4" t="s">
        <v>811</v>
      </c>
      <c r="Q236" s="9">
        <v>40347</v>
      </c>
      <c r="R236" s="4" t="s">
        <v>1487</v>
      </c>
      <c r="S236" s="4" t="s">
        <v>47</v>
      </c>
      <c r="T236" s="4" t="s">
        <v>47</v>
      </c>
      <c r="U236" s="4" t="s">
        <v>94</v>
      </c>
      <c r="V236">
        <v>2010</v>
      </c>
      <c r="W236" s="4" t="s">
        <v>2738</v>
      </c>
      <c r="X236" s="4" t="s">
        <v>2739</v>
      </c>
      <c r="Y236" s="4" t="s">
        <v>2740</v>
      </c>
      <c r="Z236" s="4" t="s">
        <v>2741</v>
      </c>
      <c r="AA236" s="4" t="s">
        <v>47</v>
      </c>
      <c r="AB236" s="4" t="s">
        <v>47</v>
      </c>
      <c r="AC236" s="4" t="s">
        <v>47</v>
      </c>
      <c r="AD236" s="4" t="s">
        <v>47</v>
      </c>
      <c r="AE236" s="4" t="s">
        <v>47</v>
      </c>
      <c r="AF236" s="4" t="s">
        <v>47</v>
      </c>
      <c r="AG236" s="4" t="s">
        <v>47</v>
      </c>
      <c r="AH236" s="4" t="s">
        <v>47</v>
      </c>
      <c r="AI236" s="4" t="s">
        <v>47</v>
      </c>
      <c r="AJ236" s="4" t="s">
        <v>47</v>
      </c>
      <c r="AK236" s="4" t="s">
        <v>47</v>
      </c>
      <c r="AL236" s="4" t="s">
        <v>47</v>
      </c>
      <c r="AM236" s="4" t="s">
        <v>47</v>
      </c>
      <c r="AN236" s="4" t="s">
        <v>47</v>
      </c>
      <c r="AO236" s="4" t="s">
        <v>2742</v>
      </c>
      <c r="AP236" s="4" t="s">
        <v>2743</v>
      </c>
      <c r="AQ236" s="4" t="s">
        <v>2744</v>
      </c>
      <c r="AR236" s="4" t="s">
        <v>2745</v>
      </c>
    </row>
    <row r="237" spans="1:44" x14ac:dyDescent="0.2">
      <c r="A237" s="4" t="s">
        <v>52</v>
      </c>
      <c r="B237" s="4" t="s">
        <v>181</v>
      </c>
      <c r="C237">
        <v>0</v>
      </c>
      <c r="F237">
        <v>0</v>
      </c>
      <c r="I237" s="4" t="s">
        <v>2040</v>
      </c>
      <c r="J237" s="4" t="s">
        <v>47</v>
      </c>
      <c r="K237" s="4" t="s">
        <v>2615</v>
      </c>
      <c r="L237" s="4" t="s">
        <v>47</v>
      </c>
      <c r="M237">
        <v>64100</v>
      </c>
      <c r="N237" s="4" t="s">
        <v>2437</v>
      </c>
      <c r="O237" s="4" t="s">
        <v>47</v>
      </c>
      <c r="P237" s="4" t="s">
        <v>811</v>
      </c>
      <c r="Q237" s="9">
        <v>40347</v>
      </c>
      <c r="R237" s="4" t="s">
        <v>869</v>
      </c>
      <c r="S237" s="4" t="s">
        <v>47</v>
      </c>
      <c r="T237" s="4" t="s">
        <v>47</v>
      </c>
      <c r="U237" s="4" t="s">
        <v>94</v>
      </c>
      <c r="V237">
        <v>2010</v>
      </c>
      <c r="W237" s="4" t="s">
        <v>47</v>
      </c>
      <c r="X237" s="4" t="s">
        <v>47</v>
      </c>
      <c r="Y237" s="4" t="s">
        <v>47</v>
      </c>
      <c r="Z237" s="4" t="s">
        <v>47</v>
      </c>
      <c r="AA237" s="4" t="s">
        <v>47</v>
      </c>
      <c r="AB237" s="4" t="s">
        <v>47</v>
      </c>
      <c r="AC237" s="4" t="s">
        <v>47</v>
      </c>
      <c r="AD237" s="4" t="s">
        <v>47</v>
      </c>
      <c r="AE237" s="4" t="s">
        <v>47</v>
      </c>
      <c r="AF237" s="4" t="s">
        <v>47</v>
      </c>
      <c r="AG237" s="4" t="s">
        <v>47</v>
      </c>
      <c r="AH237" s="4" t="s">
        <v>47</v>
      </c>
      <c r="AI237" s="4" t="s">
        <v>47</v>
      </c>
      <c r="AJ237" s="4" t="s">
        <v>47</v>
      </c>
      <c r="AK237" s="4" t="s">
        <v>47</v>
      </c>
      <c r="AL237" s="4" t="s">
        <v>47</v>
      </c>
      <c r="AM237" s="4" t="s">
        <v>47</v>
      </c>
      <c r="AN237" s="4" t="s">
        <v>47</v>
      </c>
      <c r="AO237" s="4" t="s">
        <v>2746</v>
      </c>
      <c r="AP237" s="4" t="s">
        <v>2747</v>
      </c>
      <c r="AQ237" s="4" t="s">
        <v>2748</v>
      </c>
      <c r="AR237" s="4" t="s">
        <v>2749</v>
      </c>
    </row>
    <row r="238" spans="1:44" x14ac:dyDescent="0.2">
      <c r="A238" s="4" t="s">
        <v>26</v>
      </c>
      <c r="B238" s="4" t="s">
        <v>175</v>
      </c>
      <c r="C238">
        <v>4</v>
      </c>
      <c r="F238">
        <v>1</v>
      </c>
      <c r="I238" s="4" t="s">
        <v>2446</v>
      </c>
      <c r="J238" s="4" t="s">
        <v>47</v>
      </c>
      <c r="K238" s="4" t="s">
        <v>2536</v>
      </c>
      <c r="L238" s="4" t="s">
        <v>47</v>
      </c>
      <c r="M238">
        <v>82174</v>
      </c>
      <c r="N238" s="4" t="s">
        <v>2414</v>
      </c>
      <c r="O238" s="4" t="s">
        <v>47</v>
      </c>
      <c r="P238" s="4" t="s">
        <v>811</v>
      </c>
      <c r="Q238" s="9">
        <v>40346</v>
      </c>
      <c r="R238" s="4" t="s">
        <v>757</v>
      </c>
      <c r="S238" s="4" t="s">
        <v>47</v>
      </c>
      <c r="T238" s="4" t="s">
        <v>47</v>
      </c>
      <c r="U238" s="4" t="s">
        <v>94</v>
      </c>
      <c r="V238">
        <v>2010</v>
      </c>
      <c r="W238" s="4" t="s">
        <v>2750</v>
      </c>
      <c r="X238" s="4" t="s">
        <v>2751</v>
      </c>
      <c r="Y238" s="4" t="s">
        <v>2752</v>
      </c>
      <c r="Z238" s="4" t="s">
        <v>2753</v>
      </c>
      <c r="AA238" s="4" t="s">
        <v>2754</v>
      </c>
      <c r="AB238" s="4" t="s">
        <v>47</v>
      </c>
      <c r="AC238" s="4" t="s">
        <v>47</v>
      </c>
      <c r="AD238" s="4" t="s">
        <v>47</v>
      </c>
      <c r="AE238" s="4" t="s">
        <v>47</v>
      </c>
      <c r="AF238" s="4" t="s">
        <v>47</v>
      </c>
      <c r="AG238" s="4" t="s">
        <v>47</v>
      </c>
      <c r="AH238" s="4" t="s">
        <v>47</v>
      </c>
      <c r="AI238" s="4" t="s">
        <v>47</v>
      </c>
      <c r="AJ238" s="4" t="s">
        <v>47</v>
      </c>
      <c r="AK238" s="4" t="s">
        <v>47</v>
      </c>
      <c r="AL238" s="4" t="s">
        <v>47</v>
      </c>
      <c r="AM238" s="4" t="s">
        <v>47</v>
      </c>
      <c r="AN238" s="4" t="s">
        <v>47</v>
      </c>
      <c r="AO238" s="4" t="s">
        <v>2755</v>
      </c>
      <c r="AP238" s="4" t="s">
        <v>2756</v>
      </c>
      <c r="AQ238" s="4" t="s">
        <v>2757</v>
      </c>
      <c r="AR238" s="4" t="s">
        <v>2758</v>
      </c>
    </row>
    <row r="239" spans="1:44" x14ac:dyDescent="0.2">
      <c r="A239" s="4" t="s">
        <v>217</v>
      </c>
      <c r="B239" s="4" t="s">
        <v>177</v>
      </c>
      <c r="C239">
        <v>2</v>
      </c>
      <c r="F239">
        <v>1</v>
      </c>
      <c r="I239" s="4" t="s">
        <v>2665</v>
      </c>
      <c r="J239" s="4" t="s">
        <v>47</v>
      </c>
      <c r="K239" s="4" t="s">
        <v>2655</v>
      </c>
      <c r="L239" s="4" t="s">
        <v>47</v>
      </c>
      <c r="M239">
        <v>31593</v>
      </c>
      <c r="N239" s="4" t="s">
        <v>2519</v>
      </c>
      <c r="O239" s="4" t="s">
        <v>47</v>
      </c>
      <c r="P239" s="4" t="s">
        <v>811</v>
      </c>
      <c r="Q239" s="9">
        <v>40346</v>
      </c>
      <c r="R239" s="4" t="s">
        <v>617</v>
      </c>
      <c r="S239" s="4" t="s">
        <v>47</v>
      </c>
      <c r="T239" s="4" t="s">
        <v>47</v>
      </c>
      <c r="U239" s="4" t="s">
        <v>94</v>
      </c>
      <c r="V239">
        <v>2010</v>
      </c>
      <c r="W239" s="4" t="s">
        <v>2759</v>
      </c>
      <c r="X239" s="4" t="s">
        <v>2760</v>
      </c>
      <c r="Y239" s="4" t="s">
        <v>2761</v>
      </c>
      <c r="Z239" s="4" t="s">
        <v>2762</v>
      </c>
      <c r="AA239" s="4" t="s">
        <v>47</v>
      </c>
      <c r="AB239" s="4" t="s">
        <v>47</v>
      </c>
      <c r="AC239" s="4" t="s">
        <v>47</v>
      </c>
      <c r="AD239" s="4" t="s">
        <v>47</v>
      </c>
      <c r="AE239" s="4" t="s">
        <v>47</v>
      </c>
      <c r="AF239" s="4" t="s">
        <v>47</v>
      </c>
      <c r="AG239" s="4" t="s">
        <v>47</v>
      </c>
      <c r="AH239" s="4" t="s">
        <v>47</v>
      </c>
      <c r="AI239" s="4" t="s">
        <v>47</v>
      </c>
      <c r="AJ239" s="4" t="s">
        <v>47</v>
      </c>
      <c r="AK239" s="4" t="s">
        <v>47</v>
      </c>
      <c r="AL239" s="4" t="s">
        <v>47</v>
      </c>
      <c r="AM239" s="4" t="s">
        <v>47</v>
      </c>
      <c r="AN239" s="4" t="s">
        <v>47</v>
      </c>
      <c r="AO239" s="4" t="s">
        <v>2763</v>
      </c>
      <c r="AP239" s="4" t="s">
        <v>2764</v>
      </c>
      <c r="AQ239" s="4" t="s">
        <v>2765</v>
      </c>
      <c r="AR239" s="4" t="s">
        <v>2766</v>
      </c>
    </row>
    <row r="240" spans="1:44" x14ac:dyDescent="0.2">
      <c r="A240" s="4" t="s">
        <v>87</v>
      </c>
      <c r="B240" s="4" t="s">
        <v>106</v>
      </c>
      <c r="C240">
        <v>0</v>
      </c>
      <c r="F240">
        <v>2</v>
      </c>
      <c r="I240" s="4" t="s">
        <v>2645</v>
      </c>
      <c r="J240" s="4" t="s">
        <v>47</v>
      </c>
      <c r="K240" s="4" t="s">
        <v>2528</v>
      </c>
      <c r="L240" s="4" t="s">
        <v>47</v>
      </c>
      <c r="M240">
        <v>35370</v>
      </c>
      <c r="N240" s="4" t="s">
        <v>2577</v>
      </c>
      <c r="O240" s="4" t="s">
        <v>47</v>
      </c>
      <c r="P240" s="4" t="s">
        <v>811</v>
      </c>
      <c r="Q240" s="9">
        <v>40346</v>
      </c>
      <c r="R240" s="4" t="s">
        <v>824</v>
      </c>
      <c r="S240" s="4" t="s">
        <v>47</v>
      </c>
      <c r="T240" s="4" t="s">
        <v>47</v>
      </c>
      <c r="U240" s="4" t="s">
        <v>94</v>
      </c>
      <c r="V240">
        <v>2010</v>
      </c>
      <c r="W240" s="4" t="s">
        <v>47</v>
      </c>
      <c r="X240" s="4" t="s">
        <v>2767</v>
      </c>
      <c r="Y240" s="4" t="s">
        <v>47</v>
      </c>
      <c r="Z240" s="4" t="s">
        <v>2768</v>
      </c>
      <c r="AA240" s="4" t="s">
        <v>47</v>
      </c>
      <c r="AB240" s="4" t="s">
        <v>47</v>
      </c>
      <c r="AC240" s="4" t="s">
        <v>47</v>
      </c>
      <c r="AD240" s="4" t="s">
        <v>2769</v>
      </c>
      <c r="AE240" s="4" t="s">
        <v>47</v>
      </c>
      <c r="AF240" s="4" t="s">
        <v>47</v>
      </c>
      <c r="AG240" s="4" t="s">
        <v>47</v>
      </c>
      <c r="AH240" s="4" t="s">
        <v>47</v>
      </c>
      <c r="AI240" s="4" t="s">
        <v>47</v>
      </c>
      <c r="AJ240" s="4" t="s">
        <v>47</v>
      </c>
      <c r="AK240" s="4" t="s">
        <v>47</v>
      </c>
      <c r="AL240" s="4" t="s">
        <v>47</v>
      </c>
      <c r="AM240" s="4" t="s">
        <v>47</v>
      </c>
      <c r="AN240" s="4" t="s">
        <v>47</v>
      </c>
      <c r="AO240" s="4" t="s">
        <v>2770</v>
      </c>
      <c r="AP240" s="4" t="s">
        <v>2771</v>
      </c>
      <c r="AQ240" s="4" t="s">
        <v>2772</v>
      </c>
      <c r="AR240" s="4" t="s">
        <v>2773</v>
      </c>
    </row>
    <row r="241" spans="1:44" x14ac:dyDescent="0.2">
      <c r="A241" s="4" t="s">
        <v>248</v>
      </c>
      <c r="B241" s="4" t="s">
        <v>113</v>
      </c>
      <c r="C241">
        <v>0</v>
      </c>
      <c r="F241">
        <v>1</v>
      </c>
      <c r="I241" s="4" t="s">
        <v>2076</v>
      </c>
      <c r="J241" s="4" t="s">
        <v>47</v>
      </c>
      <c r="K241" s="4" t="s">
        <v>2512</v>
      </c>
      <c r="L241" s="4" t="s">
        <v>47</v>
      </c>
      <c r="M241">
        <v>32664</v>
      </c>
      <c r="N241" s="4" t="s">
        <v>2559</v>
      </c>
      <c r="O241" s="4" t="s">
        <v>47</v>
      </c>
      <c r="P241" s="4" t="s">
        <v>811</v>
      </c>
      <c r="Q241" s="9">
        <v>40345</v>
      </c>
      <c r="R241" s="4" t="s">
        <v>963</v>
      </c>
      <c r="S241" s="4" t="s">
        <v>47</v>
      </c>
      <c r="T241" s="4" t="s">
        <v>47</v>
      </c>
      <c r="U241" s="4" t="s">
        <v>94</v>
      </c>
      <c r="V241">
        <v>2010</v>
      </c>
      <c r="W241" s="4" t="s">
        <v>47</v>
      </c>
      <c r="X241" s="4" t="s">
        <v>2774</v>
      </c>
      <c r="Y241" s="4" t="s">
        <v>47</v>
      </c>
      <c r="Z241" s="4" t="s">
        <v>2775</v>
      </c>
      <c r="AA241" s="4" t="s">
        <v>47</v>
      </c>
      <c r="AB241" s="4" t="s">
        <v>47</v>
      </c>
      <c r="AC241" s="4" t="s">
        <v>47</v>
      </c>
      <c r="AD241" s="4" t="s">
        <v>47</v>
      </c>
      <c r="AE241" s="4" t="s">
        <v>47</v>
      </c>
      <c r="AF241" s="4" t="s">
        <v>47</v>
      </c>
      <c r="AG241" s="4" t="s">
        <v>47</v>
      </c>
      <c r="AH241" s="4" t="s">
        <v>47</v>
      </c>
      <c r="AI241" s="4" t="s">
        <v>47</v>
      </c>
      <c r="AJ241" s="4" t="s">
        <v>47</v>
      </c>
      <c r="AK241" s="4" t="s">
        <v>47</v>
      </c>
      <c r="AL241" s="4" t="s">
        <v>47</v>
      </c>
      <c r="AM241" s="4" t="s">
        <v>47</v>
      </c>
      <c r="AN241" s="4" t="s">
        <v>47</v>
      </c>
      <c r="AO241" s="4" t="s">
        <v>2776</v>
      </c>
      <c r="AP241" s="4" t="s">
        <v>2777</v>
      </c>
      <c r="AQ241" s="4" t="s">
        <v>2778</v>
      </c>
      <c r="AR241" s="4" t="s">
        <v>2779</v>
      </c>
    </row>
    <row r="242" spans="1:44" x14ac:dyDescent="0.2">
      <c r="A242" s="4" t="s">
        <v>20</v>
      </c>
      <c r="B242" s="4" t="s">
        <v>118</v>
      </c>
      <c r="C242">
        <v>0</v>
      </c>
      <c r="F242">
        <v>1</v>
      </c>
      <c r="I242" s="4" t="s">
        <v>2413</v>
      </c>
      <c r="J242" s="4" t="s">
        <v>47</v>
      </c>
      <c r="K242" s="4" t="s">
        <v>1925</v>
      </c>
      <c r="L242" s="4" t="s">
        <v>47</v>
      </c>
      <c r="M242">
        <v>62453</v>
      </c>
      <c r="N242" s="4" t="s">
        <v>2432</v>
      </c>
      <c r="O242" s="4" t="s">
        <v>47</v>
      </c>
      <c r="P242" s="4" t="s">
        <v>811</v>
      </c>
      <c r="Q242" s="9">
        <v>40345</v>
      </c>
      <c r="R242" s="4" t="s">
        <v>963</v>
      </c>
      <c r="S242" s="4" t="s">
        <v>47</v>
      </c>
      <c r="T242" s="4" t="s">
        <v>47</v>
      </c>
      <c r="U242" s="4" t="s">
        <v>94</v>
      </c>
      <c r="V242">
        <v>2010</v>
      </c>
      <c r="W242" s="4" t="s">
        <v>47</v>
      </c>
      <c r="X242" s="4" t="s">
        <v>2780</v>
      </c>
      <c r="Y242" s="4" t="s">
        <v>47</v>
      </c>
      <c r="Z242" s="4" t="s">
        <v>2781</v>
      </c>
      <c r="AA242" s="4" t="s">
        <v>47</v>
      </c>
      <c r="AB242" s="4" t="s">
        <v>47</v>
      </c>
      <c r="AC242" s="4" t="s">
        <v>47</v>
      </c>
      <c r="AD242" s="4" t="s">
        <v>47</v>
      </c>
      <c r="AE242" s="4" t="s">
        <v>47</v>
      </c>
      <c r="AF242" s="4" t="s">
        <v>47</v>
      </c>
      <c r="AG242" s="4" t="s">
        <v>47</v>
      </c>
      <c r="AH242" s="4" t="s">
        <v>47</v>
      </c>
      <c r="AI242" s="4" t="s">
        <v>47</v>
      </c>
      <c r="AJ242" s="4" t="s">
        <v>47</v>
      </c>
      <c r="AK242" s="4" t="s">
        <v>47</v>
      </c>
      <c r="AL242" s="4" t="s">
        <v>47</v>
      </c>
      <c r="AM242" s="4" t="s">
        <v>47</v>
      </c>
      <c r="AN242" s="4" t="s">
        <v>47</v>
      </c>
      <c r="AO242" s="4" t="s">
        <v>47</v>
      </c>
      <c r="AP242" s="4" t="s">
        <v>2782</v>
      </c>
      <c r="AQ242" s="4" t="s">
        <v>2783</v>
      </c>
      <c r="AR242" s="4" t="s">
        <v>2784</v>
      </c>
    </row>
    <row r="243" spans="1:44" x14ac:dyDescent="0.2">
      <c r="A243" s="4" t="s">
        <v>94</v>
      </c>
      <c r="B243" s="4" t="s">
        <v>121</v>
      </c>
      <c r="C243">
        <v>0</v>
      </c>
      <c r="F243">
        <v>3</v>
      </c>
      <c r="I243" s="4" t="s">
        <v>2646</v>
      </c>
      <c r="J243" s="4" t="s">
        <v>47</v>
      </c>
      <c r="K243" s="4" t="s">
        <v>1303</v>
      </c>
      <c r="L243" s="4" t="s">
        <v>47</v>
      </c>
      <c r="M243">
        <v>42658</v>
      </c>
      <c r="N243" s="4" t="s">
        <v>2487</v>
      </c>
      <c r="O243" s="4" t="s">
        <v>47</v>
      </c>
      <c r="P243" s="4" t="s">
        <v>811</v>
      </c>
      <c r="Q243" s="9">
        <v>40345</v>
      </c>
      <c r="R243" s="4" t="s">
        <v>973</v>
      </c>
      <c r="S243" s="4" t="s">
        <v>47</v>
      </c>
      <c r="T243" s="4" t="s">
        <v>47</v>
      </c>
      <c r="U243" s="4" t="s">
        <v>94</v>
      </c>
      <c r="V243">
        <v>2010</v>
      </c>
      <c r="W243" s="4" t="s">
        <v>47</v>
      </c>
      <c r="X243" s="4" t="s">
        <v>2785</v>
      </c>
      <c r="Y243" s="4" t="s">
        <v>47</v>
      </c>
      <c r="Z243" s="4" t="s">
        <v>2786</v>
      </c>
      <c r="AA243" s="4" t="s">
        <v>47</v>
      </c>
      <c r="AB243" s="4" t="s">
        <v>47</v>
      </c>
      <c r="AC243" s="4" t="s">
        <v>47</v>
      </c>
      <c r="AD243" s="4" t="s">
        <v>2787</v>
      </c>
      <c r="AE243" s="4" t="s">
        <v>47</v>
      </c>
      <c r="AF243" s="4" t="s">
        <v>47</v>
      </c>
      <c r="AG243" s="4" t="s">
        <v>47</v>
      </c>
      <c r="AH243" s="4" t="s">
        <v>47</v>
      </c>
      <c r="AI243" s="4" t="s">
        <v>47</v>
      </c>
      <c r="AJ243" s="4" t="s">
        <v>47</v>
      </c>
      <c r="AK243" s="4" t="s">
        <v>47</v>
      </c>
      <c r="AL243" s="4" t="s">
        <v>47</v>
      </c>
      <c r="AM243" s="4" t="s">
        <v>47</v>
      </c>
      <c r="AN243" s="4" t="s">
        <v>47</v>
      </c>
      <c r="AO243" s="4" t="s">
        <v>2788</v>
      </c>
      <c r="AP243" s="4" t="s">
        <v>47</v>
      </c>
      <c r="AQ243" s="4" t="s">
        <v>2789</v>
      </c>
      <c r="AR243" s="4" t="s">
        <v>2790</v>
      </c>
    </row>
    <row r="244" spans="1:44" x14ac:dyDescent="0.2">
      <c r="A244" s="4" t="s">
        <v>288</v>
      </c>
      <c r="B244" s="4" t="s">
        <v>215</v>
      </c>
      <c r="C244">
        <v>1</v>
      </c>
      <c r="F244">
        <v>1</v>
      </c>
      <c r="I244" s="4" t="s">
        <v>2576</v>
      </c>
      <c r="J244" s="4" t="s">
        <v>47</v>
      </c>
      <c r="K244" s="4" t="s">
        <v>2504</v>
      </c>
      <c r="L244" s="4" t="s">
        <v>47</v>
      </c>
      <c r="M244">
        <v>23871</v>
      </c>
      <c r="N244" s="4" t="s">
        <v>2545</v>
      </c>
      <c r="O244" s="4" t="s">
        <v>47</v>
      </c>
      <c r="P244" s="4" t="s">
        <v>811</v>
      </c>
      <c r="Q244" s="9">
        <v>40344</v>
      </c>
      <c r="R244" s="4" t="s">
        <v>1046</v>
      </c>
      <c r="S244" s="4" t="s">
        <v>47</v>
      </c>
      <c r="T244" s="4" t="s">
        <v>47</v>
      </c>
      <c r="U244" s="4" t="s">
        <v>94</v>
      </c>
      <c r="V244">
        <v>2010</v>
      </c>
      <c r="W244" s="4" t="s">
        <v>2791</v>
      </c>
      <c r="X244" s="4" t="s">
        <v>2792</v>
      </c>
      <c r="Y244" s="4" t="s">
        <v>2793</v>
      </c>
      <c r="Z244" s="4" t="s">
        <v>2794</v>
      </c>
      <c r="AA244" s="4" t="s">
        <v>47</v>
      </c>
      <c r="AB244" s="4" t="s">
        <v>47</v>
      </c>
      <c r="AC244" s="4" t="s">
        <v>47</v>
      </c>
      <c r="AD244" s="4" t="s">
        <v>47</v>
      </c>
      <c r="AE244" s="4" t="s">
        <v>47</v>
      </c>
      <c r="AF244" s="4" t="s">
        <v>47</v>
      </c>
      <c r="AG244" s="4" t="s">
        <v>47</v>
      </c>
      <c r="AH244" s="4" t="s">
        <v>47</v>
      </c>
      <c r="AI244" s="4" t="s">
        <v>47</v>
      </c>
      <c r="AJ244" s="4" t="s">
        <v>47</v>
      </c>
      <c r="AK244" s="4" t="s">
        <v>47</v>
      </c>
      <c r="AL244" s="4" t="s">
        <v>47</v>
      </c>
      <c r="AM244" s="4" t="s">
        <v>47</v>
      </c>
      <c r="AN244" s="4" t="s">
        <v>47</v>
      </c>
      <c r="AO244" s="4" t="s">
        <v>2795</v>
      </c>
      <c r="AP244" s="4" t="s">
        <v>2796</v>
      </c>
      <c r="AQ244" s="4" t="s">
        <v>2797</v>
      </c>
      <c r="AR244" s="4" t="s">
        <v>2798</v>
      </c>
    </row>
    <row r="245" spans="1:44" x14ac:dyDescent="0.2">
      <c r="A245" s="4" t="s">
        <v>190</v>
      </c>
      <c r="B245" s="4" t="s">
        <v>141</v>
      </c>
      <c r="C245">
        <v>0</v>
      </c>
      <c r="F245">
        <v>0</v>
      </c>
      <c r="I245" s="4" t="s">
        <v>2558</v>
      </c>
      <c r="J245" s="4" t="s">
        <v>47</v>
      </c>
      <c r="K245" s="4" t="s">
        <v>960</v>
      </c>
      <c r="L245" s="4" t="s">
        <v>47</v>
      </c>
      <c r="M245">
        <v>37034</v>
      </c>
      <c r="N245" s="4" t="s">
        <v>2423</v>
      </c>
      <c r="O245" s="4" t="s">
        <v>47</v>
      </c>
      <c r="P245" s="4" t="s">
        <v>811</v>
      </c>
      <c r="Q245" s="9">
        <v>40344</v>
      </c>
      <c r="R245" s="4" t="s">
        <v>869</v>
      </c>
      <c r="S245" s="4" t="s">
        <v>47</v>
      </c>
      <c r="T245" s="4" t="s">
        <v>47</v>
      </c>
      <c r="U245" s="4" t="s">
        <v>94</v>
      </c>
      <c r="V245">
        <v>2010</v>
      </c>
      <c r="W245" s="4" t="s">
        <v>47</v>
      </c>
      <c r="X245" s="4" t="s">
        <v>47</v>
      </c>
      <c r="Y245" s="4" t="s">
        <v>47</v>
      </c>
      <c r="Z245" s="4" t="s">
        <v>47</v>
      </c>
      <c r="AA245" s="4" t="s">
        <v>47</v>
      </c>
      <c r="AB245" s="4" t="s">
        <v>47</v>
      </c>
      <c r="AC245" s="4" t="s">
        <v>47</v>
      </c>
      <c r="AD245" s="4" t="s">
        <v>47</v>
      </c>
      <c r="AE245" s="4" t="s">
        <v>47</v>
      </c>
      <c r="AF245" s="4" t="s">
        <v>47</v>
      </c>
      <c r="AG245" s="4" t="s">
        <v>47</v>
      </c>
      <c r="AH245" s="4" t="s">
        <v>47</v>
      </c>
      <c r="AI245" s="4" t="s">
        <v>47</v>
      </c>
      <c r="AJ245" s="4" t="s">
        <v>47</v>
      </c>
      <c r="AK245" s="4" t="s">
        <v>47</v>
      </c>
      <c r="AL245" s="4" t="s">
        <v>47</v>
      </c>
      <c r="AM245" s="4" t="s">
        <v>47</v>
      </c>
      <c r="AN245" s="4" t="s">
        <v>47</v>
      </c>
      <c r="AO245" s="4" t="s">
        <v>2799</v>
      </c>
      <c r="AP245" s="4" t="s">
        <v>2800</v>
      </c>
      <c r="AQ245" s="4" t="s">
        <v>2801</v>
      </c>
      <c r="AR245" s="4" t="s">
        <v>2802</v>
      </c>
    </row>
    <row r="246" spans="1:44" x14ac:dyDescent="0.2">
      <c r="A246" s="4" t="s">
        <v>12</v>
      </c>
      <c r="B246" s="4" t="s">
        <v>357</v>
      </c>
      <c r="C246">
        <v>2</v>
      </c>
      <c r="F246">
        <v>1</v>
      </c>
      <c r="I246" s="4" t="s">
        <v>2461</v>
      </c>
      <c r="J246" s="4" t="s">
        <v>47</v>
      </c>
      <c r="K246" s="4" t="s">
        <v>2557</v>
      </c>
      <c r="L246" s="4" t="s">
        <v>47</v>
      </c>
      <c r="M246">
        <v>54331</v>
      </c>
      <c r="N246" s="4" t="s">
        <v>2454</v>
      </c>
      <c r="O246" s="4" t="s">
        <v>47</v>
      </c>
      <c r="P246" s="4" t="s">
        <v>811</v>
      </c>
      <c r="Q246" s="9">
        <v>40344</v>
      </c>
      <c r="R246" s="4" t="s">
        <v>617</v>
      </c>
      <c r="S246" s="4" t="s">
        <v>47</v>
      </c>
      <c r="T246" s="4" t="s">
        <v>47</v>
      </c>
      <c r="U246" s="4" t="s">
        <v>94</v>
      </c>
      <c r="V246">
        <v>2010</v>
      </c>
      <c r="W246" s="4" t="s">
        <v>2803</v>
      </c>
      <c r="X246" s="4" t="s">
        <v>2804</v>
      </c>
      <c r="Y246" s="4" t="s">
        <v>2805</v>
      </c>
      <c r="Z246" s="4" t="s">
        <v>2806</v>
      </c>
      <c r="AA246" s="4" t="s">
        <v>47</v>
      </c>
      <c r="AB246" s="4" t="s">
        <v>47</v>
      </c>
      <c r="AC246" s="4" t="s">
        <v>47</v>
      </c>
      <c r="AD246" s="4" t="s">
        <v>47</v>
      </c>
      <c r="AE246" s="4" t="s">
        <v>47</v>
      </c>
      <c r="AF246" s="4" t="s">
        <v>47</v>
      </c>
      <c r="AG246" s="4" t="s">
        <v>47</v>
      </c>
      <c r="AH246" s="4" t="s">
        <v>47</v>
      </c>
      <c r="AI246" s="4" t="s">
        <v>47</v>
      </c>
      <c r="AJ246" s="4" t="s">
        <v>47</v>
      </c>
      <c r="AK246" s="4" t="s">
        <v>47</v>
      </c>
      <c r="AL246" s="4" t="s">
        <v>47</v>
      </c>
      <c r="AM246" s="4" t="s">
        <v>47</v>
      </c>
      <c r="AN246" s="4" t="s">
        <v>47</v>
      </c>
      <c r="AO246" s="4" t="s">
        <v>2807</v>
      </c>
      <c r="AP246" s="4" t="s">
        <v>47</v>
      </c>
      <c r="AQ246" s="4" t="s">
        <v>2808</v>
      </c>
      <c r="AR246" s="4" t="s">
        <v>2809</v>
      </c>
    </row>
    <row r="247" spans="1:44" x14ac:dyDescent="0.2">
      <c r="A247" s="4" t="s">
        <v>95</v>
      </c>
      <c r="B247" s="4" t="s">
        <v>167</v>
      </c>
      <c r="C247">
        <v>2</v>
      </c>
      <c r="F247">
        <v>0</v>
      </c>
      <c r="I247" s="4" t="s">
        <v>1506</v>
      </c>
      <c r="J247" s="4" t="s">
        <v>47</v>
      </c>
      <c r="K247" s="4" t="s">
        <v>2591</v>
      </c>
      <c r="L247" s="4" t="s">
        <v>47</v>
      </c>
      <c r="M247">
        <v>83465</v>
      </c>
      <c r="N247" s="4" t="s">
        <v>2414</v>
      </c>
      <c r="O247" s="4" t="s">
        <v>47</v>
      </c>
      <c r="P247" s="4" t="s">
        <v>811</v>
      </c>
      <c r="Q247" s="9">
        <v>40343</v>
      </c>
      <c r="R247" s="4" t="s">
        <v>630</v>
      </c>
      <c r="S247" s="4" t="s">
        <v>47</v>
      </c>
      <c r="T247" s="4" t="s">
        <v>47</v>
      </c>
      <c r="U247" s="4" t="s">
        <v>94</v>
      </c>
      <c r="V247">
        <v>2010</v>
      </c>
      <c r="W247" s="4" t="s">
        <v>2810</v>
      </c>
      <c r="X247" s="4" t="s">
        <v>47</v>
      </c>
      <c r="Y247" s="4" t="s">
        <v>2811</v>
      </c>
      <c r="Z247" s="4" t="s">
        <v>47</v>
      </c>
      <c r="AA247" s="4" t="s">
        <v>2812</v>
      </c>
      <c r="AB247" s="4" t="s">
        <v>47</v>
      </c>
      <c r="AC247" s="4" t="s">
        <v>47</v>
      </c>
      <c r="AD247" s="4" t="s">
        <v>47</v>
      </c>
      <c r="AE247" s="4" t="s">
        <v>47</v>
      </c>
      <c r="AF247" s="4" t="s">
        <v>47</v>
      </c>
      <c r="AG247" s="4" t="s">
        <v>47</v>
      </c>
      <c r="AH247" s="4" t="s">
        <v>47</v>
      </c>
      <c r="AI247" s="4" t="s">
        <v>47</v>
      </c>
      <c r="AJ247" s="4" t="s">
        <v>47</v>
      </c>
      <c r="AK247" s="4" t="s">
        <v>47</v>
      </c>
      <c r="AL247" s="4" t="s">
        <v>47</v>
      </c>
      <c r="AM247" s="4" t="s">
        <v>47</v>
      </c>
      <c r="AN247" s="4" t="s">
        <v>47</v>
      </c>
      <c r="AO247" s="4" t="s">
        <v>2813</v>
      </c>
      <c r="AP247" s="4" t="s">
        <v>2814</v>
      </c>
      <c r="AQ247" s="4" t="s">
        <v>2815</v>
      </c>
      <c r="AR247" s="4" t="s">
        <v>2816</v>
      </c>
    </row>
    <row r="248" spans="1:44" x14ac:dyDescent="0.2">
      <c r="A248" s="4" t="s">
        <v>161</v>
      </c>
      <c r="B248" s="4" t="s">
        <v>209</v>
      </c>
      <c r="C248">
        <v>1</v>
      </c>
      <c r="F248">
        <v>0</v>
      </c>
      <c r="I248" s="4" t="s">
        <v>2486</v>
      </c>
      <c r="J248" s="4" t="s">
        <v>47</v>
      </c>
      <c r="K248" s="4" t="s">
        <v>2600</v>
      </c>
      <c r="L248" s="4" t="s">
        <v>47</v>
      </c>
      <c r="M248">
        <v>30620</v>
      </c>
      <c r="N248" s="4" t="s">
        <v>2519</v>
      </c>
      <c r="O248" s="4" t="s">
        <v>47</v>
      </c>
      <c r="P248" s="4" t="s">
        <v>811</v>
      </c>
      <c r="Q248" s="9">
        <v>40343</v>
      </c>
      <c r="R248" s="4" t="s">
        <v>652</v>
      </c>
      <c r="S248" s="4" t="s">
        <v>47</v>
      </c>
      <c r="T248" s="4" t="s">
        <v>47</v>
      </c>
      <c r="U248" s="4" t="s">
        <v>94</v>
      </c>
      <c r="V248">
        <v>2010</v>
      </c>
      <c r="W248" s="4" t="s">
        <v>2817</v>
      </c>
      <c r="X248" s="4" t="s">
        <v>47</v>
      </c>
      <c r="Y248" s="4" t="s">
        <v>2818</v>
      </c>
      <c r="Z248" s="4" t="s">
        <v>47</v>
      </c>
      <c r="AA248" s="4" t="s">
        <v>47</v>
      </c>
      <c r="AB248" s="4" t="s">
        <v>47</v>
      </c>
      <c r="AC248" s="4" t="s">
        <v>47</v>
      </c>
      <c r="AD248" s="4" t="s">
        <v>47</v>
      </c>
      <c r="AE248" s="4" t="s">
        <v>47</v>
      </c>
      <c r="AF248" s="4" t="s">
        <v>47</v>
      </c>
      <c r="AG248" s="4" t="s">
        <v>47</v>
      </c>
      <c r="AH248" s="4" t="s">
        <v>47</v>
      </c>
      <c r="AI248" s="4" t="s">
        <v>47</v>
      </c>
      <c r="AJ248" s="4" t="s">
        <v>47</v>
      </c>
      <c r="AK248" s="4" t="s">
        <v>47</v>
      </c>
      <c r="AL248" s="4" t="s">
        <v>47</v>
      </c>
      <c r="AM248" s="4" t="s">
        <v>47</v>
      </c>
      <c r="AN248" s="4" t="s">
        <v>47</v>
      </c>
      <c r="AO248" s="4" t="s">
        <v>2819</v>
      </c>
      <c r="AP248" s="4" t="s">
        <v>2820</v>
      </c>
      <c r="AQ248" s="4" t="s">
        <v>2821</v>
      </c>
      <c r="AR248" s="4" t="s">
        <v>2822</v>
      </c>
    </row>
    <row r="249" spans="1:44" x14ac:dyDescent="0.2">
      <c r="A249" s="4" t="s">
        <v>97</v>
      </c>
      <c r="B249" s="4" t="s">
        <v>202</v>
      </c>
      <c r="C249">
        <v>1</v>
      </c>
      <c r="F249">
        <v>1</v>
      </c>
      <c r="I249" s="4" t="s">
        <v>2582</v>
      </c>
      <c r="J249" s="4" t="s">
        <v>47</v>
      </c>
      <c r="K249" s="4" t="s">
        <v>2453</v>
      </c>
      <c r="L249" s="4" t="s">
        <v>47</v>
      </c>
      <c r="M249">
        <v>62869</v>
      </c>
      <c r="N249" s="4" t="s">
        <v>2437</v>
      </c>
      <c r="O249" s="4" t="s">
        <v>47</v>
      </c>
      <c r="P249" s="4" t="s">
        <v>811</v>
      </c>
      <c r="Q249" s="9">
        <v>40343</v>
      </c>
      <c r="R249" s="4" t="s">
        <v>1046</v>
      </c>
      <c r="S249" s="4" t="s">
        <v>47</v>
      </c>
      <c r="T249" s="4" t="s">
        <v>47</v>
      </c>
      <c r="U249" s="4" t="s">
        <v>94</v>
      </c>
      <c r="V249">
        <v>2010</v>
      </c>
      <c r="W249" s="4" t="s">
        <v>2823</v>
      </c>
      <c r="X249" s="4" t="s">
        <v>2824</v>
      </c>
      <c r="Y249" s="4" t="s">
        <v>2825</v>
      </c>
      <c r="Z249" s="4" t="s">
        <v>2826</v>
      </c>
      <c r="AA249" s="4" t="s">
        <v>47</v>
      </c>
      <c r="AB249" s="4" t="s">
        <v>47</v>
      </c>
      <c r="AC249" s="4" t="s">
        <v>47</v>
      </c>
      <c r="AD249" s="4" t="s">
        <v>47</v>
      </c>
      <c r="AE249" s="4" t="s">
        <v>47</v>
      </c>
      <c r="AF249" s="4" t="s">
        <v>47</v>
      </c>
      <c r="AG249" s="4" t="s">
        <v>47</v>
      </c>
      <c r="AH249" s="4" t="s">
        <v>47</v>
      </c>
      <c r="AI249" s="4" t="s">
        <v>47</v>
      </c>
      <c r="AJ249" s="4" t="s">
        <v>47</v>
      </c>
      <c r="AK249" s="4" t="s">
        <v>47</v>
      </c>
      <c r="AL249" s="4" t="s">
        <v>47</v>
      </c>
      <c r="AM249" s="4" t="s">
        <v>47</v>
      </c>
      <c r="AN249" s="4" t="s">
        <v>47</v>
      </c>
      <c r="AO249" s="4" t="s">
        <v>2827</v>
      </c>
      <c r="AP249" s="4" t="s">
        <v>2828</v>
      </c>
      <c r="AQ249" s="4" t="s">
        <v>2829</v>
      </c>
      <c r="AR249" s="4" t="s">
        <v>2830</v>
      </c>
    </row>
    <row r="250" spans="1:44" x14ac:dyDescent="0.2">
      <c r="A250" s="4" t="s">
        <v>181</v>
      </c>
      <c r="B250" s="4" t="s">
        <v>237</v>
      </c>
      <c r="C250">
        <v>0</v>
      </c>
      <c r="F250">
        <v>1</v>
      </c>
      <c r="I250" s="4" t="s">
        <v>2615</v>
      </c>
      <c r="J250" s="4" t="s">
        <v>47</v>
      </c>
      <c r="K250" s="4" t="s">
        <v>2608</v>
      </c>
      <c r="L250" s="4" t="s">
        <v>47</v>
      </c>
      <c r="M250">
        <v>30325</v>
      </c>
      <c r="N250" s="4" t="s">
        <v>2577</v>
      </c>
      <c r="O250" s="4" t="s">
        <v>47</v>
      </c>
      <c r="P250" s="4" t="s">
        <v>811</v>
      </c>
      <c r="Q250" s="9">
        <v>40342</v>
      </c>
      <c r="R250" s="4" t="s">
        <v>963</v>
      </c>
      <c r="S250" s="4" t="s">
        <v>47</v>
      </c>
      <c r="T250" s="4" t="s">
        <v>47</v>
      </c>
      <c r="U250" s="4" t="s">
        <v>94</v>
      </c>
      <c r="V250">
        <v>2010</v>
      </c>
      <c r="W250" s="4" t="s">
        <v>47</v>
      </c>
      <c r="X250" s="4" t="s">
        <v>2831</v>
      </c>
      <c r="Y250" s="4" t="s">
        <v>47</v>
      </c>
      <c r="Z250" s="4" t="s">
        <v>2832</v>
      </c>
      <c r="AA250" s="4" t="s">
        <v>47</v>
      </c>
      <c r="AB250" s="4" t="s">
        <v>47</v>
      </c>
      <c r="AC250" s="4" t="s">
        <v>47</v>
      </c>
      <c r="AD250" s="4" t="s">
        <v>47</v>
      </c>
      <c r="AE250" s="4" t="s">
        <v>47</v>
      </c>
      <c r="AF250" s="4" t="s">
        <v>47</v>
      </c>
      <c r="AG250" s="4" t="s">
        <v>47</v>
      </c>
      <c r="AH250" s="4" t="s">
        <v>47</v>
      </c>
      <c r="AI250" s="4" t="s">
        <v>47</v>
      </c>
      <c r="AJ250" s="4" t="s">
        <v>47</v>
      </c>
      <c r="AK250" s="4" t="s">
        <v>47</v>
      </c>
      <c r="AL250" s="4" t="s">
        <v>47</v>
      </c>
      <c r="AM250" s="4" t="s">
        <v>2833</v>
      </c>
      <c r="AN250" s="4" t="s">
        <v>47</v>
      </c>
      <c r="AO250" s="4" t="s">
        <v>2834</v>
      </c>
      <c r="AP250" s="4" t="s">
        <v>2835</v>
      </c>
      <c r="AQ250" s="4" t="s">
        <v>2836</v>
      </c>
      <c r="AR250" s="4" t="s">
        <v>2837</v>
      </c>
    </row>
    <row r="251" spans="1:44" x14ac:dyDescent="0.2">
      <c r="A251" s="4" t="s">
        <v>207</v>
      </c>
      <c r="B251" s="4" t="s">
        <v>264</v>
      </c>
      <c r="C251">
        <v>0</v>
      </c>
      <c r="F251">
        <v>1</v>
      </c>
      <c r="I251" s="4" t="s">
        <v>2630</v>
      </c>
      <c r="J251" s="4" t="s">
        <v>47</v>
      </c>
      <c r="K251" s="4" t="s">
        <v>2470</v>
      </c>
      <c r="L251" s="4" t="s">
        <v>47</v>
      </c>
      <c r="M251">
        <v>38833</v>
      </c>
      <c r="N251" s="4" t="s">
        <v>2487</v>
      </c>
      <c r="O251" s="4" t="s">
        <v>47</v>
      </c>
      <c r="P251" s="4" t="s">
        <v>811</v>
      </c>
      <c r="Q251" s="9">
        <v>40342</v>
      </c>
      <c r="R251" s="4" t="s">
        <v>963</v>
      </c>
      <c r="S251" s="4" t="s">
        <v>47</v>
      </c>
      <c r="T251" s="4" t="s">
        <v>47</v>
      </c>
      <c r="U251" s="4" t="s">
        <v>94</v>
      </c>
      <c r="V251">
        <v>2010</v>
      </c>
      <c r="W251" s="4" t="s">
        <v>47</v>
      </c>
      <c r="X251" s="4" t="s">
        <v>47</v>
      </c>
      <c r="Y251" s="4" t="s">
        <v>47</v>
      </c>
      <c r="Z251" s="4" t="s">
        <v>47</v>
      </c>
      <c r="AA251" s="4" t="s">
        <v>47</v>
      </c>
      <c r="AB251" s="4" t="s">
        <v>47</v>
      </c>
      <c r="AC251" s="4" t="s">
        <v>47</v>
      </c>
      <c r="AD251" s="4" t="s">
        <v>2838</v>
      </c>
      <c r="AE251" s="4" t="s">
        <v>47</v>
      </c>
      <c r="AF251" s="4" t="s">
        <v>47</v>
      </c>
      <c r="AG251" s="4" t="s">
        <v>47</v>
      </c>
      <c r="AH251" s="4" t="s">
        <v>47</v>
      </c>
      <c r="AI251" s="4" t="s">
        <v>47</v>
      </c>
      <c r="AJ251" s="4" t="s">
        <v>47</v>
      </c>
      <c r="AK251" s="4" t="s">
        <v>47</v>
      </c>
      <c r="AL251" s="4" t="s">
        <v>47</v>
      </c>
      <c r="AM251" s="4" t="s">
        <v>2839</v>
      </c>
      <c r="AN251" s="4" t="s">
        <v>47</v>
      </c>
      <c r="AO251" s="4" t="s">
        <v>2840</v>
      </c>
      <c r="AP251" s="4" t="s">
        <v>2841</v>
      </c>
      <c r="AQ251" s="4" t="s">
        <v>2842</v>
      </c>
      <c r="AR251" s="4" t="s">
        <v>2843</v>
      </c>
    </row>
    <row r="252" spans="1:44" x14ac:dyDescent="0.2">
      <c r="A252" s="4" t="s">
        <v>92</v>
      </c>
      <c r="B252" s="4" t="s">
        <v>179</v>
      </c>
      <c r="C252">
        <v>4</v>
      </c>
      <c r="F252">
        <v>0</v>
      </c>
      <c r="I252" s="4" t="s">
        <v>1465</v>
      </c>
      <c r="J252" s="4" t="s">
        <v>47</v>
      </c>
      <c r="K252" s="4" t="s">
        <v>2629</v>
      </c>
      <c r="L252" s="4" t="s">
        <v>47</v>
      </c>
      <c r="M252">
        <v>62660</v>
      </c>
      <c r="N252" s="4" t="s">
        <v>2432</v>
      </c>
      <c r="O252" s="4" t="s">
        <v>47</v>
      </c>
      <c r="P252" s="4" t="s">
        <v>811</v>
      </c>
      <c r="Q252" s="9">
        <v>40342</v>
      </c>
      <c r="R252" s="4" t="s">
        <v>2300</v>
      </c>
      <c r="S252" s="4" t="s">
        <v>47</v>
      </c>
      <c r="T252" s="4" t="s">
        <v>47</v>
      </c>
      <c r="U252" s="4" t="s">
        <v>94</v>
      </c>
      <c r="V252">
        <v>2010</v>
      </c>
      <c r="W252" s="4" t="s">
        <v>2844</v>
      </c>
      <c r="X252" s="4" t="s">
        <v>47</v>
      </c>
      <c r="Y252" s="4" t="s">
        <v>2845</v>
      </c>
      <c r="Z252" s="4" t="s">
        <v>47</v>
      </c>
      <c r="AA252" s="4" t="s">
        <v>47</v>
      </c>
      <c r="AB252" s="4" t="s">
        <v>47</v>
      </c>
      <c r="AC252" s="4" t="s">
        <v>47</v>
      </c>
      <c r="AD252" s="4" t="s">
        <v>47</v>
      </c>
      <c r="AE252" s="4" t="s">
        <v>47</v>
      </c>
      <c r="AF252" s="4" t="s">
        <v>47</v>
      </c>
      <c r="AG252" s="4" t="s">
        <v>47</v>
      </c>
      <c r="AH252" s="4" t="s">
        <v>47</v>
      </c>
      <c r="AI252" s="4" t="s">
        <v>47</v>
      </c>
      <c r="AJ252" s="4" t="s">
        <v>47</v>
      </c>
      <c r="AK252" s="4" t="s">
        <v>47</v>
      </c>
      <c r="AL252" s="4" t="s">
        <v>2846</v>
      </c>
      <c r="AM252" s="4" t="s">
        <v>47</v>
      </c>
      <c r="AN252" s="4" t="s">
        <v>47</v>
      </c>
      <c r="AO252" s="4" t="s">
        <v>2847</v>
      </c>
      <c r="AP252" s="4" t="s">
        <v>2848</v>
      </c>
      <c r="AQ252" s="4" t="s">
        <v>2849</v>
      </c>
      <c r="AR252" s="4" t="s">
        <v>2850</v>
      </c>
    </row>
    <row r="253" spans="1:44" x14ac:dyDescent="0.2">
      <c r="A253" s="4" t="s">
        <v>175</v>
      </c>
      <c r="B253" s="4" t="s">
        <v>217</v>
      </c>
      <c r="C253">
        <v>2</v>
      </c>
      <c r="F253">
        <v>0</v>
      </c>
      <c r="I253" s="4" t="s">
        <v>2536</v>
      </c>
      <c r="J253" s="4" t="s">
        <v>47</v>
      </c>
      <c r="K253" s="4" t="s">
        <v>2665</v>
      </c>
      <c r="L253" s="4" t="s">
        <v>47</v>
      </c>
      <c r="M253">
        <v>31513</v>
      </c>
      <c r="N253" s="4" t="s">
        <v>2423</v>
      </c>
      <c r="O253" s="4" t="s">
        <v>47</v>
      </c>
      <c r="P253" s="4" t="s">
        <v>811</v>
      </c>
      <c r="Q253" s="9">
        <v>40341</v>
      </c>
      <c r="R253" s="4" t="s">
        <v>630</v>
      </c>
      <c r="S253" s="4" t="s">
        <v>47</v>
      </c>
      <c r="T253" s="4" t="s">
        <v>47</v>
      </c>
      <c r="U253" s="4" t="s">
        <v>94</v>
      </c>
      <c r="V253">
        <v>2010</v>
      </c>
      <c r="W253" s="4" t="s">
        <v>2851</v>
      </c>
      <c r="X253" s="4" t="s">
        <v>47</v>
      </c>
      <c r="Y253" s="4" t="s">
        <v>2852</v>
      </c>
      <c r="Z253" s="4" t="s">
        <v>47</v>
      </c>
      <c r="AA253" s="4" t="s">
        <v>47</v>
      </c>
      <c r="AB253" s="4" t="s">
        <v>47</v>
      </c>
      <c r="AC253" s="4" t="s">
        <v>47</v>
      </c>
      <c r="AD253" s="4" t="s">
        <v>47</v>
      </c>
      <c r="AE253" s="4" t="s">
        <v>47</v>
      </c>
      <c r="AF253" s="4" t="s">
        <v>47</v>
      </c>
      <c r="AG253" s="4" t="s">
        <v>47</v>
      </c>
      <c r="AH253" s="4" t="s">
        <v>47</v>
      </c>
      <c r="AI253" s="4" t="s">
        <v>47</v>
      </c>
      <c r="AJ253" s="4" t="s">
        <v>47</v>
      </c>
      <c r="AK253" s="4" t="s">
        <v>47</v>
      </c>
      <c r="AL253" s="4" t="s">
        <v>47</v>
      </c>
      <c r="AM253" s="4" t="s">
        <v>47</v>
      </c>
      <c r="AN253" s="4" t="s">
        <v>47</v>
      </c>
      <c r="AO253" s="4" t="s">
        <v>47</v>
      </c>
      <c r="AP253" s="4" t="s">
        <v>2853</v>
      </c>
      <c r="AQ253" s="4" t="s">
        <v>2854</v>
      </c>
      <c r="AR253" s="4" t="s">
        <v>2855</v>
      </c>
    </row>
    <row r="254" spans="1:44" x14ac:dyDescent="0.2">
      <c r="A254" s="4" t="s">
        <v>26</v>
      </c>
      <c r="B254" s="4" t="s">
        <v>177</v>
      </c>
      <c r="C254">
        <v>1</v>
      </c>
      <c r="F254">
        <v>0</v>
      </c>
      <c r="I254" s="4" t="s">
        <v>2446</v>
      </c>
      <c r="J254" s="4" t="s">
        <v>47</v>
      </c>
      <c r="K254" s="4" t="s">
        <v>2655</v>
      </c>
      <c r="L254" s="4" t="s">
        <v>47</v>
      </c>
      <c r="M254">
        <v>55686</v>
      </c>
      <c r="N254" s="4" t="s">
        <v>2454</v>
      </c>
      <c r="O254" s="4" t="s">
        <v>47</v>
      </c>
      <c r="P254" s="4" t="s">
        <v>811</v>
      </c>
      <c r="Q254" s="9">
        <v>40341</v>
      </c>
      <c r="R254" s="4" t="s">
        <v>652</v>
      </c>
      <c r="S254" s="4" t="s">
        <v>47</v>
      </c>
      <c r="T254" s="4" t="s">
        <v>47</v>
      </c>
      <c r="U254" s="4" t="s">
        <v>94</v>
      </c>
      <c r="V254">
        <v>2010</v>
      </c>
      <c r="W254" s="4" t="s">
        <v>2856</v>
      </c>
      <c r="X254" s="4" t="s">
        <v>47</v>
      </c>
      <c r="Y254" s="4" t="s">
        <v>2857</v>
      </c>
      <c r="Z254" s="4" t="s">
        <v>47</v>
      </c>
      <c r="AA254" s="4" t="s">
        <v>47</v>
      </c>
      <c r="AB254" s="4" t="s">
        <v>47</v>
      </c>
      <c r="AC254" s="4" t="s">
        <v>47</v>
      </c>
      <c r="AD254" s="4" t="s">
        <v>47</v>
      </c>
      <c r="AE254" s="4" t="s">
        <v>47</v>
      </c>
      <c r="AF254" s="4" t="s">
        <v>47</v>
      </c>
      <c r="AG254" s="4" t="s">
        <v>47</v>
      </c>
      <c r="AH254" s="4" t="s">
        <v>47</v>
      </c>
      <c r="AI254" s="4" t="s">
        <v>47</v>
      </c>
      <c r="AJ254" s="4" t="s">
        <v>47</v>
      </c>
      <c r="AK254" s="4" t="s">
        <v>47</v>
      </c>
      <c r="AL254" s="4" t="s">
        <v>47</v>
      </c>
      <c r="AM254" s="4" t="s">
        <v>47</v>
      </c>
      <c r="AN254" s="4" t="s">
        <v>47</v>
      </c>
      <c r="AO254" s="4" t="s">
        <v>2858</v>
      </c>
      <c r="AP254" s="4" t="s">
        <v>2859</v>
      </c>
      <c r="AQ254" s="4" t="s">
        <v>2860</v>
      </c>
      <c r="AR254" s="4" t="s">
        <v>2861</v>
      </c>
    </row>
    <row r="255" spans="1:44" x14ac:dyDescent="0.2">
      <c r="A255" s="4" t="s">
        <v>52</v>
      </c>
      <c r="B255" s="4" t="s">
        <v>102</v>
      </c>
      <c r="C255">
        <v>1</v>
      </c>
      <c r="F255">
        <v>1</v>
      </c>
      <c r="I255" s="4" t="s">
        <v>2040</v>
      </c>
      <c r="J255" s="4" t="s">
        <v>47</v>
      </c>
      <c r="K255" s="4" t="s">
        <v>2544</v>
      </c>
      <c r="L255" s="4" t="s">
        <v>47</v>
      </c>
      <c r="M255">
        <v>38646</v>
      </c>
      <c r="N255" s="4" t="s">
        <v>2545</v>
      </c>
      <c r="O255" s="4" t="s">
        <v>47</v>
      </c>
      <c r="P255" s="4" t="s">
        <v>811</v>
      </c>
      <c r="Q255" s="9">
        <v>40341</v>
      </c>
      <c r="R255" s="4" t="s">
        <v>1046</v>
      </c>
      <c r="S255" s="4" t="s">
        <v>47</v>
      </c>
      <c r="T255" s="4" t="s">
        <v>47</v>
      </c>
      <c r="U255" s="4" t="s">
        <v>94</v>
      </c>
      <c r="V255">
        <v>2010</v>
      </c>
      <c r="W255" s="4" t="s">
        <v>2862</v>
      </c>
      <c r="X255" s="4" t="s">
        <v>2863</v>
      </c>
      <c r="Y255" s="4" t="s">
        <v>2864</v>
      </c>
      <c r="Z255" s="4" t="s">
        <v>2865</v>
      </c>
      <c r="AA255" s="4" t="s">
        <v>47</v>
      </c>
      <c r="AB255" s="4" t="s">
        <v>47</v>
      </c>
      <c r="AC255" s="4" t="s">
        <v>47</v>
      </c>
      <c r="AD255" s="4" t="s">
        <v>47</v>
      </c>
      <c r="AE255" s="4" t="s">
        <v>47</v>
      </c>
      <c r="AF255" s="4" t="s">
        <v>47</v>
      </c>
      <c r="AG255" s="4" t="s">
        <v>47</v>
      </c>
      <c r="AH255" s="4" t="s">
        <v>47</v>
      </c>
      <c r="AI255" s="4" t="s">
        <v>47</v>
      </c>
      <c r="AJ255" s="4" t="s">
        <v>47</v>
      </c>
      <c r="AK255" s="4" t="s">
        <v>47</v>
      </c>
      <c r="AL255" s="4" t="s">
        <v>47</v>
      </c>
      <c r="AM255" s="4" t="s">
        <v>47</v>
      </c>
      <c r="AN255" s="4" t="s">
        <v>47</v>
      </c>
      <c r="AO255" s="4" t="s">
        <v>2866</v>
      </c>
      <c r="AP255" s="4" t="s">
        <v>2867</v>
      </c>
      <c r="AQ255" s="4" t="s">
        <v>2868</v>
      </c>
      <c r="AR255" s="4" t="s">
        <v>2869</v>
      </c>
    </row>
    <row r="256" spans="1:44" x14ac:dyDescent="0.2">
      <c r="A256" s="4" t="s">
        <v>94</v>
      </c>
      <c r="B256" s="4" t="s">
        <v>106</v>
      </c>
      <c r="C256">
        <v>1</v>
      </c>
      <c r="F256">
        <v>1</v>
      </c>
      <c r="I256" s="4" t="s">
        <v>2646</v>
      </c>
      <c r="J256" s="4" t="s">
        <v>47</v>
      </c>
      <c r="K256" s="4" t="s">
        <v>2528</v>
      </c>
      <c r="L256" s="4" t="s">
        <v>47</v>
      </c>
      <c r="M256">
        <v>84490</v>
      </c>
      <c r="N256" s="4" t="s">
        <v>2414</v>
      </c>
      <c r="O256" s="4" t="s">
        <v>47</v>
      </c>
      <c r="P256" s="4" t="s">
        <v>811</v>
      </c>
      <c r="Q256" s="9">
        <v>40340</v>
      </c>
      <c r="R256" s="4" t="s">
        <v>1046</v>
      </c>
      <c r="S256" s="4" t="s">
        <v>47</v>
      </c>
      <c r="T256" s="4" t="s">
        <v>47</v>
      </c>
      <c r="U256" s="4" t="s">
        <v>94</v>
      </c>
      <c r="V256">
        <v>2010</v>
      </c>
      <c r="W256" s="4" t="s">
        <v>2870</v>
      </c>
      <c r="X256" s="4" t="s">
        <v>2871</v>
      </c>
      <c r="Y256" s="4" t="s">
        <v>2872</v>
      </c>
      <c r="Z256" s="4" t="s">
        <v>2873</v>
      </c>
      <c r="AA256" s="4" t="s">
        <v>47</v>
      </c>
      <c r="AB256" s="4" t="s">
        <v>47</v>
      </c>
      <c r="AC256" s="4" t="s">
        <v>47</v>
      </c>
      <c r="AD256" s="4" t="s">
        <v>47</v>
      </c>
      <c r="AE256" s="4" t="s">
        <v>47</v>
      </c>
      <c r="AF256" s="4" t="s">
        <v>47</v>
      </c>
      <c r="AG256" s="4" t="s">
        <v>47</v>
      </c>
      <c r="AH256" s="4" t="s">
        <v>47</v>
      </c>
      <c r="AI256" s="4" t="s">
        <v>47</v>
      </c>
      <c r="AJ256" s="4" t="s">
        <v>47</v>
      </c>
      <c r="AK256" s="4" t="s">
        <v>47</v>
      </c>
      <c r="AL256" s="4" t="s">
        <v>47</v>
      </c>
      <c r="AM256" s="4" t="s">
        <v>47</v>
      </c>
      <c r="AN256" s="4" t="s">
        <v>47</v>
      </c>
      <c r="AO256" s="4" t="s">
        <v>2874</v>
      </c>
      <c r="AP256" s="4" t="s">
        <v>2875</v>
      </c>
      <c r="AQ256" s="4" t="s">
        <v>2876</v>
      </c>
      <c r="AR256" s="4" t="s">
        <v>2877</v>
      </c>
    </row>
    <row r="257" spans="1:44" x14ac:dyDescent="0.2">
      <c r="A257" s="4" t="s">
        <v>121</v>
      </c>
      <c r="B257" s="4" t="s">
        <v>87</v>
      </c>
      <c r="C257">
        <v>0</v>
      </c>
      <c r="F257">
        <v>0</v>
      </c>
      <c r="I257" s="4" t="s">
        <v>1303</v>
      </c>
      <c r="J257" s="4" t="s">
        <v>47</v>
      </c>
      <c r="K257" s="4" t="s">
        <v>2645</v>
      </c>
      <c r="L257" s="4" t="s">
        <v>47</v>
      </c>
      <c r="M257">
        <v>64100</v>
      </c>
      <c r="N257" s="4" t="s">
        <v>2437</v>
      </c>
      <c r="O257" s="4" t="s">
        <v>47</v>
      </c>
      <c r="P257" s="4" t="s">
        <v>811</v>
      </c>
      <c r="Q257" s="9">
        <v>40340</v>
      </c>
      <c r="R257" s="4" t="s">
        <v>869</v>
      </c>
      <c r="S257" s="4" t="s">
        <v>47</v>
      </c>
      <c r="T257" s="4" t="s">
        <v>47</v>
      </c>
      <c r="U257" s="4" t="s">
        <v>94</v>
      </c>
      <c r="V257">
        <v>2010</v>
      </c>
      <c r="W257" s="4" t="s">
        <v>47</v>
      </c>
      <c r="X257" s="4" t="s">
        <v>47</v>
      </c>
      <c r="Y257" s="4" t="s">
        <v>47</v>
      </c>
      <c r="Z257" s="4" t="s">
        <v>47</v>
      </c>
      <c r="AA257" s="4" t="s">
        <v>47</v>
      </c>
      <c r="AB257" s="4" t="s">
        <v>47</v>
      </c>
      <c r="AC257" s="4" t="s">
        <v>47</v>
      </c>
      <c r="AD257" s="4" t="s">
        <v>47</v>
      </c>
      <c r="AE257" s="4" t="s">
        <v>47</v>
      </c>
      <c r="AF257" s="4" t="s">
        <v>47</v>
      </c>
      <c r="AG257" s="4" t="s">
        <v>47</v>
      </c>
      <c r="AH257" s="4" t="s">
        <v>47</v>
      </c>
      <c r="AI257" s="4" t="s">
        <v>47</v>
      </c>
      <c r="AJ257" s="4" t="s">
        <v>47</v>
      </c>
      <c r="AK257" s="4" t="s">
        <v>2878</v>
      </c>
      <c r="AL257" s="4" t="s">
        <v>47</v>
      </c>
      <c r="AM257" s="4" t="s">
        <v>2878</v>
      </c>
      <c r="AN257" s="4" t="s">
        <v>47</v>
      </c>
      <c r="AO257" s="4" t="s">
        <v>2879</v>
      </c>
      <c r="AP257" s="4" t="s">
        <v>2880</v>
      </c>
      <c r="AQ257" s="4" t="s">
        <v>2881</v>
      </c>
      <c r="AR257" s="4" t="s">
        <v>2882</v>
      </c>
    </row>
    <row r="258" spans="1:44" x14ac:dyDescent="0.2">
      <c r="A258" s="4" t="s">
        <v>97</v>
      </c>
      <c r="B258" s="4" t="s">
        <v>87</v>
      </c>
      <c r="C258">
        <v>1</v>
      </c>
      <c r="E258">
        <v>5</v>
      </c>
      <c r="F258">
        <v>1</v>
      </c>
      <c r="H258">
        <v>3</v>
      </c>
      <c r="I258" s="4" t="s">
        <v>2582</v>
      </c>
      <c r="J258" s="4" t="s">
        <v>47</v>
      </c>
      <c r="K258" s="4" t="s">
        <v>2645</v>
      </c>
      <c r="L258" s="4" t="s">
        <v>47</v>
      </c>
      <c r="M258">
        <v>69000</v>
      </c>
      <c r="N258" s="4" t="s">
        <v>2883</v>
      </c>
      <c r="O258" s="4" t="s">
        <v>47</v>
      </c>
      <c r="P258" s="4" t="s">
        <v>593</v>
      </c>
      <c r="Q258" s="9">
        <v>38907</v>
      </c>
      <c r="R258" s="4" t="s">
        <v>1976</v>
      </c>
      <c r="S258" s="4" t="s">
        <v>47</v>
      </c>
      <c r="T258" s="4" t="s">
        <v>2884</v>
      </c>
      <c r="U258" s="4" t="s">
        <v>92</v>
      </c>
      <c r="V258">
        <v>2006</v>
      </c>
      <c r="W258" s="4" t="s">
        <v>2885</v>
      </c>
      <c r="X258" s="4" t="s">
        <v>47</v>
      </c>
      <c r="Y258" s="4" t="s">
        <v>2886</v>
      </c>
      <c r="Z258" s="4" t="s">
        <v>47</v>
      </c>
      <c r="AA258" s="4" t="s">
        <v>47</v>
      </c>
      <c r="AB258" s="4" t="s">
        <v>47</v>
      </c>
      <c r="AC258" s="4" t="s">
        <v>47</v>
      </c>
      <c r="AD258" s="4" t="s">
        <v>2887</v>
      </c>
      <c r="AE258" s="4" t="s">
        <v>47</v>
      </c>
      <c r="AF258" s="4" t="s">
        <v>47</v>
      </c>
      <c r="AG258" s="4" t="s">
        <v>2888</v>
      </c>
      <c r="AH258" s="4" t="s">
        <v>2889</v>
      </c>
      <c r="AI258" s="4" t="s">
        <v>47</v>
      </c>
      <c r="AJ258" s="4" t="s">
        <v>2890</v>
      </c>
      <c r="AK258" s="4" t="s">
        <v>47</v>
      </c>
      <c r="AL258" s="4" t="s">
        <v>2891</v>
      </c>
      <c r="AM258" s="4" t="s">
        <v>47</v>
      </c>
      <c r="AN258" s="4" t="s">
        <v>47</v>
      </c>
      <c r="AO258" s="4" t="s">
        <v>2892</v>
      </c>
      <c r="AP258" s="4" t="s">
        <v>2893</v>
      </c>
      <c r="AQ258" s="4" t="s">
        <v>2894</v>
      </c>
      <c r="AR258" s="4" t="s">
        <v>2895</v>
      </c>
    </row>
    <row r="259" spans="1:44" x14ac:dyDescent="0.2">
      <c r="A259" s="4" t="s">
        <v>92</v>
      </c>
      <c r="B259" s="4" t="s">
        <v>141</v>
      </c>
      <c r="C259">
        <v>3</v>
      </c>
      <c r="F259">
        <v>1</v>
      </c>
      <c r="I259" s="4" t="s">
        <v>1934</v>
      </c>
      <c r="J259" s="4" t="s">
        <v>47</v>
      </c>
      <c r="K259" s="4" t="s">
        <v>1857</v>
      </c>
      <c r="L259" s="4" t="s">
        <v>47</v>
      </c>
      <c r="M259">
        <v>52000</v>
      </c>
      <c r="N259" s="4" t="s">
        <v>2896</v>
      </c>
      <c r="O259" s="4" t="s">
        <v>47</v>
      </c>
      <c r="P259" s="4" t="s">
        <v>616</v>
      </c>
      <c r="Q259" s="9">
        <v>38906</v>
      </c>
      <c r="R259" s="4" t="s">
        <v>770</v>
      </c>
      <c r="S259" s="4" t="s">
        <v>47</v>
      </c>
      <c r="T259" s="4" t="s">
        <v>47</v>
      </c>
      <c r="U259" s="4" t="s">
        <v>92</v>
      </c>
      <c r="V259">
        <v>2006</v>
      </c>
      <c r="W259" s="4" t="s">
        <v>2897</v>
      </c>
      <c r="X259" s="4" t="s">
        <v>2898</v>
      </c>
      <c r="Y259" s="4" t="s">
        <v>2899</v>
      </c>
      <c r="Z259" s="4" t="s">
        <v>2900</v>
      </c>
      <c r="AA259" s="4" t="s">
        <v>2901</v>
      </c>
      <c r="AB259" s="4" t="s">
        <v>47</v>
      </c>
      <c r="AC259" s="4" t="s">
        <v>47</v>
      </c>
      <c r="AD259" s="4" t="s">
        <v>47</v>
      </c>
      <c r="AE259" s="4" t="s">
        <v>47</v>
      </c>
      <c r="AF259" s="4" t="s">
        <v>47</v>
      </c>
      <c r="AG259" s="4" t="s">
        <v>47</v>
      </c>
      <c r="AH259" s="4" t="s">
        <v>47</v>
      </c>
      <c r="AI259" s="4" t="s">
        <v>47</v>
      </c>
      <c r="AJ259" s="4" t="s">
        <v>47</v>
      </c>
      <c r="AK259" s="4" t="s">
        <v>47</v>
      </c>
      <c r="AL259" s="4" t="s">
        <v>47</v>
      </c>
      <c r="AM259" s="4" t="s">
        <v>47</v>
      </c>
      <c r="AN259" s="4" t="s">
        <v>47</v>
      </c>
      <c r="AO259" s="4" t="s">
        <v>2902</v>
      </c>
      <c r="AP259" s="4" t="s">
        <v>2903</v>
      </c>
      <c r="AQ259" s="4" t="s">
        <v>2904</v>
      </c>
      <c r="AR259" s="4" t="s">
        <v>2905</v>
      </c>
    </row>
    <row r="260" spans="1:44" x14ac:dyDescent="0.2">
      <c r="A260" s="4" t="s">
        <v>141</v>
      </c>
      <c r="B260" s="4" t="s">
        <v>87</v>
      </c>
      <c r="C260">
        <v>0</v>
      </c>
      <c r="F260">
        <v>1</v>
      </c>
      <c r="I260" s="4" t="s">
        <v>1857</v>
      </c>
      <c r="J260" s="4" t="s">
        <v>47</v>
      </c>
      <c r="K260" s="4" t="s">
        <v>2645</v>
      </c>
      <c r="L260" s="4" t="s">
        <v>47</v>
      </c>
      <c r="M260">
        <v>66000</v>
      </c>
      <c r="N260" s="4" t="s">
        <v>2906</v>
      </c>
      <c r="O260" s="4" t="s">
        <v>47</v>
      </c>
      <c r="P260" s="4" t="s">
        <v>629</v>
      </c>
      <c r="Q260" s="9">
        <v>38903</v>
      </c>
      <c r="R260" s="4" t="s">
        <v>963</v>
      </c>
      <c r="S260" s="4" t="s">
        <v>47</v>
      </c>
      <c r="T260" s="4" t="s">
        <v>47</v>
      </c>
      <c r="U260" s="4" t="s">
        <v>92</v>
      </c>
      <c r="V260">
        <v>2006</v>
      </c>
      <c r="W260" s="4" t="s">
        <v>47</v>
      </c>
      <c r="X260" s="4" t="s">
        <v>47</v>
      </c>
      <c r="Y260" s="4" t="s">
        <v>47</v>
      </c>
      <c r="Z260" s="4" t="s">
        <v>47</v>
      </c>
      <c r="AA260" s="4" t="s">
        <v>47</v>
      </c>
      <c r="AB260" s="4" t="s">
        <v>47</v>
      </c>
      <c r="AC260" s="4" t="s">
        <v>47</v>
      </c>
      <c r="AD260" s="4" t="s">
        <v>2907</v>
      </c>
      <c r="AE260" s="4" t="s">
        <v>47</v>
      </c>
      <c r="AF260" s="4" t="s">
        <v>47</v>
      </c>
      <c r="AG260" s="4" t="s">
        <v>47</v>
      </c>
      <c r="AH260" s="4" t="s">
        <v>47</v>
      </c>
      <c r="AI260" s="4" t="s">
        <v>47</v>
      </c>
      <c r="AJ260" s="4" t="s">
        <v>47</v>
      </c>
      <c r="AK260" s="4" t="s">
        <v>47</v>
      </c>
      <c r="AL260" s="4" t="s">
        <v>47</v>
      </c>
      <c r="AM260" s="4" t="s">
        <v>47</v>
      </c>
      <c r="AN260" s="4" t="s">
        <v>47</v>
      </c>
      <c r="AO260" s="4" t="s">
        <v>2908</v>
      </c>
      <c r="AP260" s="4" t="s">
        <v>2909</v>
      </c>
      <c r="AQ260" s="4" t="s">
        <v>2910</v>
      </c>
      <c r="AR260" s="4" t="s">
        <v>2911</v>
      </c>
    </row>
    <row r="261" spans="1:44" x14ac:dyDescent="0.2">
      <c r="A261" s="4" t="s">
        <v>92</v>
      </c>
      <c r="B261" s="4" t="s">
        <v>97</v>
      </c>
      <c r="C261">
        <v>0</v>
      </c>
      <c r="F261">
        <v>2</v>
      </c>
      <c r="I261" s="4" t="s">
        <v>1934</v>
      </c>
      <c r="J261" s="4" t="s">
        <v>47</v>
      </c>
      <c r="K261" s="4" t="s">
        <v>2582</v>
      </c>
      <c r="L261" s="4" t="s">
        <v>47</v>
      </c>
      <c r="M261">
        <v>65000</v>
      </c>
      <c r="N261" s="4" t="s">
        <v>2912</v>
      </c>
      <c r="O261" s="4" t="s">
        <v>47</v>
      </c>
      <c r="P261" s="4" t="s">
        <v>629</v>
      </c>
      <c r="Q261" s="9">
        <v>38902</v>
      </c>
      <c r="R261" s="4" t="s">
        <v>824</v>
      </c>
      <c r="S261" s="4" t="s">
        <v>47</v>
      </c>
      <c r="T261" s="4" t="s">
        <v>1258</v>
      </c>
      <c r="U261" s="4" t="s">
        <v>92</v>
      </c>
      <c r="V261">
        <v>2006</v>
      </c>
      <c r="W261" s="4" t="s">
        <v>47</v>
      </c>
      <c r="X261" s="4" t="s">
        <v>2913</v>
      </c>
      <c r="Y261" s="4" t="s">
        <v>47</v>
      </c>
      <c r="Z261" s="4" t="s">
        <v>2914</v>
      </c>
      <c r="AA261" s="4" t="s">
        <v>47</v>
      </c>
      <c r="AB261" s="4" t="s">
        <v>47</v>
      </c>
      <c r="AC261" s="4" t="s">
        <v>47</v>
      </c>
      <c r="AD261" s="4" t="s">
        <v>47</v>
      </c>
      <c r="AE261" s="4" t="s">
        <v>47</v>
      </c>
      <c r="AF261" s="4" t="s">
        <v>47</v>
      </c>
      <c r="AG261" s="4" t="s">
        <v>47</v>
      </c>
      <c r="AH261" s="4" t="s">
        <v>47</v>
      </c>
      <c r="AI261" s="4" t="s">
        <v>47</v>
      </c>
      <c r="AJ261" s="4" t="s">
        <v>47</v>
      </c>
      <c r="AK261" s="4" t="s">
        <v>47</v>
      </c>
      <c r="AL261" s="4" t="s">
        <v>47</v>
      </c>
      <c r="AM261" s="4" t="s">
        <v>47</v>
      </c>
      <c r="AN261" s="4" t="s">
        <v>47</v>
      </c>
      <c r="AO261" s="4" t="s">
        <v>2915</v>
      </c>
      <c r="AP261" s="4" t="s">
        <v>2916</v>
      </c>
      <c r="AQ261" s="4" t="s">
        <v>2917</v>
      </c>
      <c r="AR261" s="4" t="s">
        <v>2918</v>
      </c>
    </row>
    <row r="262" spans="1:44" x14ac:dyDescent="0.2">
      <c r="A262" s="4" t="s">
        <v>52</v>
      </c>
      <c r="B262" s="4" t="s">
        <v>141</v>
      </c>
      <c r="C262">
        <v>0</v>
      </c>
      <c r="E262">
        <v>1</v>
      </c>
      <c r="F262">
        <v>0</v>
      </c>
      <c r="H262">
        <v>3</v>
      </c>
      <c r="I262" s="4" t="s">
        <v>2558</v>
      </c>
      <c r="J262" s="4" t="s">
        <v>47</v>
      </c>
      <c r="K262" s="4" t="s">
        <v>1857</v>
      </c>
      <c r="L262" s="4" t="s">
        <v>47</v>
      </c>
      <c r="M262">
        <v>52000</v>
      </c>
      <c r="N262" s="4" t="s">
        <v>2919</v>
      </c>
      <c r="O262" s="4" t="s">
        <v>47</v>
      </c>
      <c r="P262" s="4" t="s">
        <v>651</v>
      </c>
      <c r="Q262" s="9">
        <v>38899</v>
      </c>
      <c r="R262" s="4" t="s">
        <v>2920</v>
      </c>
      <c r="S262" s="4" t="s">
        <v>47</v>
      </c>
      <c r="T262" s="4" t="s">
        <v>2921</v>
      </c>
      <c r="U262" s="4" t="s">
        <v>92</v>
      </c>
      <c r="V262">
        <v>2006</v>
      </c>
      <c r="W262" s="4" t="s">
        <v>47</v>
      </c>
      <c r="X262" s="4" t="s">
        <v>47</v>
      </c>
      <c r="Y262" s="4" t="s">
        <v>47</v>
      </c>
      <c r="Z262" s="4" t="s">
        <v>47</v>
      </c>
      <c r="AA262" s="4" t="s">
        <v>47</v>
      </c>
      <c r="AB262" s="4" t="s">
        <v>47</v>
      </c>
      <c r="AC262" s="4" t="s">
        <v>47</v>
      </c>
      <c r="AD262" s="4" t="s">
        <v>47</v>
      </c>
      <c r="AE262" s="4" t="s">
        <v>47</v>
      </c>
      <c r="AF262" s="4" t="s">
        <v>47</v>
      </c>
      <c r="AG262" s="4" t="s">
        <v>2922</v>
      </c>
      <c r="AH262" s="4" t="s">
        <v>2923</v>
      </c>
      <c r="AI262" s="4" t="s">
        <v>2924</v>
      </c>
      <c r="AJ262" s="4" t="s">
        <v>2925</v>
      </c>
      <c r="AK262" s="4" t="s">
        <v>2926</v>
      </c>
      <c r="AL262" s="4" t="s">
        <v>47</v>
      </c>
      <c r="AM262" s="4" t="s">
        <v>47</v>
      </c>
      <c r="AN262" s="4" t="s">
        <v>47</v>
      </c>
      <c r="AO262" s="4" t="s">
        <v>2927</v>
      </c>
      <c r="AP262" s="4" t="s">
        <v>2928</v>
      </c>
      <c r="AQ262" s="4" t="s">
        <v>2929</v>
      </c>
      <c r="AR262" s="4" t="s">
        <v>2930</v>
      </c>
    </row>
    <row r="263" spans="1:44" x14ac:dyDescent="0.2">
      <c r="A263" s="4" t="s">
        <v>12</v>
      </c>
      <c r="B263" s="4" t="s">
        <v>87</v>
      </c>
      <c r="C263">
        <v>0</v>
      </c>
      <c r="F263">
        <v>1</v>
      </c>
      <c r="I263" s="4" t="s">
        <v>2646</v>
      </c>
      <c r="J263" s="4" t="s">
        <v>47</v>
      </c>
      <c r="K263" s="4" t="s">
        <v>2645</v>
      </c>
      <c r="L263" s="4" t="s">
        <v>47</v>
      </c>
      <c r="M263">
        <v>48000</v>
      </c>
      <c r="N263" s="4" t="s">
        <v>2931</v>
      </c>
      <c r="O263" s="4" t="s">
        <v>47</v>
      </c>
      <c r="P263" s="4" t="s">
        <v>651</v>
      </c>
      <c r="Q263" s="9">
        <v>38899</v>
      </c>
      <c r="R263" s="4" t="s">
        <v>963</v>
      </c>
      <c r="S263" s="4" t="s">
        <v>47</v>
      </c>
      <c r="T263" s="4" t="s">
        <v>47</v>
      </c>
      <c r="U263" s="4" t="s">
        <v>92</v>
      </c>
      <c r="V263">
        <v>2006</v>
      </c>
      <c r="W263" s="4" t="s">
        <v>47</v>
      </c>
      <c r="X263" s="4" t="s">
        <v>2932</v>
      </c>
      <c r="Y263" s="4" t="s">
        <v>47</v>
      </c>
      <c r="Z263" s="4" t="s">
        <v>2933</v>
      </c>
      <c r="AA263" s="4" t="s">
        <v>47</v>
      </c>
      <c r="AB263" s="4" t="s">
        <v>47</v>
      </c>
      <c r="AC263" s="4" t="s">
        <v>47</v>
      </c>
      <c r="AD263" s="4" t="s">
        <v>47</v>
      </c>
      <c r="AE263" s="4" t="s">
        <v>47</v>
      </c>
      <c r="AF263" s="4" t="s">
        <v>47</v>
      </c>
      <c r="AG263" s="4" t="s">
        <v>47</v>
      </c>
      <c r="AH263" s="4" t="s">
        <v>47</v>
      </c>
      <c r="AI263" s="4" t="s">
        <v>47</v>
      </c>
      <c r="AJ263" s="4" t="s">
        <v>47</v>
      </c>
      <c r="AK263" s="4" t="s">
        <v>47</v>
      </c>
      <c r="AL263" s="4" t="s">
        <v>47</v>
      </c>
      <c r="AM263" s="4" t="s">
        <v>47</v>
      </c>
      <c r="AN263" s="4" t="s">
        <v>47</v>
      </c>
      <c r="AO263" s="4" t="s">
        <v>2934</v>
      </c>
      <c r="AP263" s="4" t="s">
        <v>2935</v>
      </c>
      <c r="AQ263" s="4" t="s">
        <v>2936</v>
      </c>
      <c r="AR263" s="4" t="s">
        <v>2937</v>
      </c>
    </row>
    <row r="264" spans="1:44" x14ac:dyDescent="0.2">
      <c r="A264" s="4" t="s">
        <v>92</v>
      </c>
      <c r="B264" s="4" t="s">
        <v>26</v>
      </c>
      <c r="C264">
        <v>1</v>
      </c>
      <c r="E264">
        <v>4</v>
      </c>
      <c r="F264">
        <v>1</v>
      </c>
      <c r="H264">
        <v>2</v>
      </c>
      <c r="I264" s="4" t="s">
        <v>1934</v>
      </c>
      <c r="J264" s="4" t="s">
        <v>47</v>
      </c>
      <c r="K264" s="4" t="s">
        <v>2938</v>
      </c>
      <c r="L264" s="4" t="s">
        <v>47</v>
      </c>
      <c r="M264">
        <v>72000</v>
      </c>
      <c r="N264" s="4" t="s">
        <v>2883</v>
      </c>
      <c r="O264" s="4" t="s">
        <v>47</v>
      </c>
      <c r="P264" s="4" t="s">
        <v>651</v>
      </c>
      <c r="Q264" s="9">
        <v>38898</v>
      </c>
      <c r="R264" s="4" t="s">
        <v>678</v>
      </c>
      <c r="S264" s="4" t="s">
        <v>47</v>
      </c>
      <c r="T264" s="4" t="s">
        <v>2939</v>
      </c>
      <c r="U264" s="4" t="s">
        <v>92</v>
      </c>
      <c r="V264">
        <v>2006</v>
      </c>
      <c r="W264" s="4" t="s">
        <v>2940</v>
      </c>
      <c r="X264" s="4" t="s">
        <v>2941</v>
      </c>
      <c r="Y264" s="4" t="s">
        <v>2942</v>
      </c>
      <c r="Z264" s="4" t="s">
        <v>2943</v>
      </c>
      <c r="AA264" s="4" t="s">
        <v>47</v>
      </c>
      <c r="AB264" s="4" t="s">
        <v>47</v>
      </c>
      <c r="AC264" s="4" t="s">
        <v>47</v>
      </c>
      <c r="AD264" s="4" t="s">
        <v>47</v>
      </c>
      <c r="AE264" s="4" t="s">
        <v>47</v>
      </c>
      <c r="AF264" s="4" t="s">
        <v>47</v>
      </c>
      <c r="AG264" s="4" t="s">
        <v>2944</v>
      </c>
      <c r="AH264" s="4" t="s">
        <v>2945</v>
      </c>
      <c r="AI264" s="4" t="s">
        <v>47</v>
      </c>
      <c r="AJ264" s="4" t="s">
        <v>2946</v>
      </c>
      <c r="AK264" s="4" t="s">
        <v>47</v>
      </c>
      <c r="AL264" s="4" t="s">
        <v>47</v>
      </c>
      <c r="AM264" s="4" t="s">
        <v>47</v>
      </c>
      <c r="AN264" s="4" t="s">
        <v>47</v>
      </c>
      <c r="AO264" s="4" t="s">
        <v>2947</v>
      </c>
      <c r="AP264" s="4" t="s">
        <v>2948</v>
      </c>
      <c r="AQ264" s="4" t="s">
        <v>2949</v>
      </c>
      <c r="AR264" s="4" t="s">
        <v>2950</v>
      </c>
    </row>
    <row r="265" spans="1:44" x14ac:dyDescent="0.2">
      <c r="A265" s="4" t="s">
        <v>97</v>
      </c>
      <c r="B265" s="4" t="s">
        <v>188</v>
      </c>
      <c r="C265">
        <v>3</v>
      </c>
      <c r="F265">
        <v>0</v>
      </c>
      <c r="I265" s="4" t="s">
        <v>2582</v>
      </c>
      <c r="J265" s="4" t="s">
        <v>47</v>
      </c>
      <c r="K265" s="4" t="s">
        <v>2951</v>
      </c>
      <c r="L265" s="4" t="s">
        <v>47</v>
      </c>
      <c r="M265">
        <v>50000</v>
      </c>
      <c r="N265" s="4" t="s">
        <v>2952</v>
      </c>
      <c r="O265" s="4" t="s">
        <v>47</v>
      </c>
      <c r="P265" s="4" t="s">
        <v>651</v>
      </c>
      <c r="Q265" s="9">
        <v>38898</v>
      </c>
      <c r="R265" s="4" t="s">
        <v>638</v>
      </c>
      <c r="S265" s="4" t="s">
        <v>47</v>
      </c>
      <c r="T265" s="4" t="s">
        <v>47</v>
      </c>
      <c r="U265" s="4" t="s">
        <v>92</v>
      </c>
      <c r="V265">
        <v>2006</v>
      </c>
      <c r="W265" s="4" t="s">
        <v>2953</v>
      </c>
      <c r="X265" s="4" t="s">
        <v>47</v>
      </c>
      <c r="Y265" s="4" t="s">
        <v>2954</v>
      </c>
      <c r="Z265" s="4" t="s">
        <v>47</v>
      </c>
      <c r="AA265" s="4" t="s">
        <v>47</v>
      </c>
      <c r="AB265" s="4" t="s">
        <v>47</v>
      </c>
      <c r="AC265" s="4" t="s">
        <v>47</v>
      </c>
      <c r="AD265" s="4" t="s">
        <v>47</v>
      </c>
      <c r="AE265" s="4" t="s">
        <v>47</v>
      </c>
      <c r="AF265" s="4" t="s">
        <v>47</v>
      </c>
      <c r="AG265" s="4" t="s">
        <v>47</v>
      </c>
      <c r="AH265" s="4" t="s">
        <v>47</v>
      </c>
      <c r="AI265" s="4" t="s">
        <v>47</v>
      </c>
      <c r="AJ265" s="4" t="s">
        <v>47</v>
      </c>
      <c r="AK265" s="4" t="s">
        <v>47</v>
      </c>
      <c r="AL265" s="4" t="s">
        <v>47</v>
      </c>
      <c r="AM265" s="4" t="s">
        <v>47</v>
      </c>
      <c r="AN265" s="4" t="s">
        <v>47</v>
      </c>
      <c r="AO265" s="4" t="s">
        <v>47</v>
      </c>
      <c r="AP265" s="4" t="s">
        <v>2955</v>
      </c>
      <c r="AQ265" s="4" t="s">
        <v>2956</v>
      </c>
      <c r="AR265" s="4" t="s">
        <v>2957</v>
      </c>
    </row>
    <row r="266" spans="1:44" x14ac:dyDescent="0.2">
      <c r="A266" s="4" t="s">
        <v>12</v>
      </c>
      <c r="B266" s="4" t="s">
        <v>264</v>
      </c>
      <c r="C266">
        <v>3</v>
      </c>
      <c r="F266">
        <v>0</v>
      </c>
      <c r="I266" s="4" t="s">
        <v>2646</v>
      </c>
      <c r="J266" s="4" t="s">
        <v>47</v>
      </c>
      <c r="K266" s="4" t="s">
        <v>2958</v>
      </c>
      <c r="L266" s="4" t="s">
        <v>47</v>
      </c>
      <c r="M266">
        <v>65000</v>
      </c>
      <c r="N266" s="4" t="s">
        <v>2912</v>
      </c>
      <c r="O266" s="4" t="s">
        <v>47</v>
      </c>
      <c r="P266" s="4" t="s">
        <v>714</v>
      </c>
      <c r="Q266" s="9">
        <v>38895</v>
      </c>
      <c r="R266" s="4" t="s">
        <v>638</v>
      </c>
      <c r="S266" s="4" t="s">
        <v>47</v>
      </c>
      <c r="T266" s="4" t="s">
        <v>47</v>
      </c>
      <c r="U266" s="4" t="s">
        <v>92</v>
      </c>
      <c r="V266">
        <v>2006</v>
      </c>
      <c r="W266" s="4" t="s">
        <v>2959</v>
      </c>
      <c r="X266" s="4" t="s">
        <v>47</v>
      </c>
      <c r="Y266" s="4" t="s">
        <v>2960</v>
      </c>
      <c r="Z266" s="4" t="s">
        <v>47</v>
      </c>
      <c r="AA266" s="4" t="s">
        <v>47</v>
      </c>
      <c r="AB266" s="4" t="s">
        <v>47</v>
      </c>
      <c r="AC266" s="4" t="s">
        <v>47</v>
      </c>
      <c r="AD266" s="4" t="s">
        <v>47</v>
      </c>
      <c r="AE266" s="4" t="s">
        <v>47</v>
      </c>
      <c r="AF266" s="4" t="s">
        <v>47</v>
      </c>
      <c r="AG266" s="4" t="s">
        <v>47</v>
      </c>
      <c r="AH266" s="4" t="s">
        <v>47</v>
      </c>
      <c r="AI266" s="4" t="s">
        <v>47</v>
      </c>
      <c r="AJ266" s="4" t="s">
        <v>47</v>
      </c>
      <c r="AK266" s="4" t="s">
        <v>47</v>
      </c>
      <c r="AL266" s="4" t="s">
        <v>47</v>
      </c>
      <c r="AM266" s="4" t="s">
        <v>47</v>
      </c>
      <c r="AN266" s="4" t="s">
        <v>47</v>
      </c>
      <c r="AO266" s="4" t="s">
        <v>2961</v>
      </c>
      <c r="AP266" s="4" t="s">
        <v>2962</v>
      </c>
      <c r="AQ266" s="4" t="s">
        <v>2963</v>
      </c>
      <c r="AR266" s="4" t="s">
        <v>2964</v>
      </c>
    </row>
    <row r="267" spans="1:44" x14ac:dyDescent="0.2">
      <c r="A267" s="4" t="s">
        <v>20</v>
      </c>
      <c r="B267" s="4" t="s">
        <v>87</v>
      </c>
      <c r="C267">
        <v>1</v>
      </c>
      <c r="F267">
        <v>3</v>
      </c>
      <c r="I267" s="4" t="s">
        <v>2965</v>
      </c>
      <c r="J267" s="4" t="s">
        <v>47</v>
      </c>
      <c r="K267" s="4" t="s">
        <v>2645</v>
      </c>
      <c r="L267" s="4" t="s">
        <v>47</v>
      </c>
      <c r="M267">
        <v>43000</v>
      </c>
      <c r="N267" s="4" t="s">
        <v>2966</v>
      </c>
      <c r="O267" s="4" t="s">
        <v>47</v>
      </c>
      <c r="P267" s="4" t="s">
        <v>714</v>
      </c>
      <c r="Q267" s="9">
        <v>38895</v>
      </c>
      <c r="R267" s="4" t="s">
        <v>1098</v>
      </c>
      <c r="S267" s="4" t="s">
        <v>47</v>
      </c>
      <c r="T267" s="4" t="s">
        <v>47</v>
      </c>
      <c r="U267" s="4" t="s">
        <v>92</v>
      </c>
      <c r="V267">
        <v>2006</v>
      </c>
      <c r="W267" s="4" t="s">
        <v>47</v>
      </c>
      <c r="X267" s="4" t="s">
        <v>2967</v>
      </c>
      <c r="Y267" s="4" t="s">
        <v>47</v>
      </c>
      <c r="Z267" s="4" t="s">
        <v>2968</v>
      </c>
      <c r="AA267" s="4" t="s">
        <v>47</v>
      </c>
      <c r="AB267" s="4" t="s">
        <v>47</v>
      </c>
      <c r="AC267" s="4" t="s">
        <v>2969</v>
      </c>
      <c r="AD267" s="4" t="s">
        <v>47</v>
      </c>
      <c r="AE267" s="4" t="s">
        <v>47</v>
      </c>
      <c r="AF267" s="4" t="s">
        <v>47</v>
      </c>
      <c r="AG267" s="4" t="s">
        <v>47</v>
      </c>
      <c r="AH267" s="4" t="s">
        <v>47</v>
      </c>
      <c r="AI267" s="4" t="s">
        <v>47</v>
      </c>
      <c r="AJ267" s="4" t="s">
        <v>47</v>
      </c>
      <c r="AK267" s="4" t="s">
        <v>47</v>
      </c>
      <c r="AL267" s="4" t="s">
        <v>47</v>
      </c>
      <c r="AM267" s="4" t="s">
        <v>47</v>
      </c>
      <c r="AN267" s="4" t="s">
        <v>47</v>
      </c>
      <c r="AO267" s="4" t="s">
        <v>2970</v>
      </c>
      <c r="AP267" s="4" t="s">
        <v>2971</v>
      </c>
      <c r="AQ267" s="4" t="s">
        <v>2972</v>
      </c>
      <c r="AR267" s="4" t="s">
        <v>2973</v>
      </c>
    </row>
    <row r="268" spans="1:44" x14ac:dyDescent="0.2">
      <c r="A268" s="4" t="s">
        <v>97</v>
      </c>
      <c r="B268" s="4" t="s">
        <v>179</v>
      </c>
      <c r="C268">
        <v>1</v>
      </c>
      <c r="F268">
        <v>0</v>
      </c>
      <c r="I268" s="4" t="s">
        <v>2582</v>
      </c>
      <c r="J268" s="4" t="s">
        <v>47</v>
      </c>
      <c r="K268" s="4" t="s">
        <v>2974</v>
      </c>
      <c r="L268" s="4" t="s">
        <v>47</v>
      </c>
      <c r="M268">
        <v>46000</v>
      </c>
      <c r="N268" s="4" t="s">
        <v>2975</v>
      </c>
      <c r="O268" s="4" t="s">
        <v>47</v>
      </c>
      <c r="P268" s="4" t="s">
        <v>714</v>
      </c>
      <c r="Q268" s="9">
        <v>38894</v>
      </c>
      <c r="R268" s="4" t="s">
        <v>652</v>
      </c>
      <c r="S268" s="4" t="s">
        <v>47</v>
      </c>
      <c r="T268" s="4" t="s">
        <v>47</v>
      </c>
      <c r="U268" s="4" t="s">
        <v>92</v>
      </c>
      <c r="V268">
        <v>2006</v>
      </c>
      <c r="W268" s="4" t="s">
        <v>47</v>
      </c>
      <c r="X268" s="4" t="s">
        <v>47</v>
      </c>
      <c r="Y268" s="4" t="s">
        <v>47</v>
      </c>
      <c r="Z268" s="4" t="s">
        <v>47</v>
      </c>
      <c r="AA268" s="4" t="s">
        <v>47</v>
      </c>
      <c r="AB268" s="4" t="s">
        <v>47</v>
      </c>
      <c r="AC268" s="4" t="s">
        <v>2976</v>
      </c>
      <c r="AD268" s="4" t="s">
        <v>47</v>
      </c>
      <c r="AE268" s="4" t="s">
        <v>47</v>
      </c>
      <c r="AF268" s="4" t="s">
        <v>47</v>
      </c>
      <c r="AG268" s="4" t="s">
        <v>47</v>
      </c>
      <c r="AH268" s="4" t="s">
        <v>47</v>
      </c>
      <c r="AI268" s="4" t="s">
        <v>47</v>
      </c>
      <c r="AJ268" s="4" t="s">
        <v>47</v>
      </c>
      <c r="AK268" s="4" t="s">
        <v>2977</v>
      </c>
      <c r="AL268" s="4" t="s">
        <v>47</v>
      </c>
      <c r="AM268" s="4" t="s">
        <v>47</v>
      </c>
      <c r="AN268" s="4" t="s">
        <v>47</v>
      </c>
      <c r="AO268" s="4" t="s">
        <v>2978</v>
      </c>
      <c r="AP268" s="4" t="s">
        <v>2979</v>
      </c>
      <c r="AQ268" s="4" t="s">
        <v>2980</v>
      </c>
      <c r="AR268" s="4" t="s">
        <v>2981</v>
      </c>
    </row>
    <row r="269" spans="1:44" x14ac:dyDescent="0.2">
      <c r="A269" s="4" t="s">
        <v>118</v>
      </c>
      <c r="B269" s="4" t="s">
        <v>188</v>
      </c>
      <c r="C269">
        <v>0</v>
      </c>
      <c r="E269">
        <v>0</v>
      </c>
      <c r="F269">
        <v>0</v>
      </c>
      <c r="H269">
        <v>3</v>
      </c>
      <c r="I269" s="4" t="s">
        <v>2982</v>
      </c>
      <c r="J269" s="4" t="s">
        <v>47</v>
      </c>
      <c r="K269" s="4" t="s">
        <v>2951</v>
      </c>
      <c r="L269" s="4" t="s">
        <v>47</v>
      </c>
      <c r="M269">
        <v>45000</v>
      </c>
      <c r="N269" s="4" t="s">
        <v>2983</v>
      </c>
      <c r="O269" s="4" t="s">
        <v>47</v>
      </c>
      <c r="P269" s="4" t="s">
        <v>714</v>
      </c>
      <c r="Q269" s="9">
        <v>38894</v>
      </c>
      <c r="R269" s="4" t="s">
        <v>2984</v>
      </c>
      <c r="S269" s="4" t="s">
        <v>47</v>
      </c>
      <c r="T269" s="4" t="s">
        <v>2985</v>
      </c>
      <c r="U269" s="4" t="s">
        <v>92</v>
      </c>
      <c r="V269">
        <v>2006</v>
      </c>
      <c r="W269" s="4" t="s">
        <v>47</v>
      </c>
      <c r="X269" s="4" t="s">
        <v>47</v>
      </c>
      <c r="Y269" s="4" t="s">
        <v>47</v>
      </c>
      <c r="Z269" s="4" t="s">
        <v>47</v>
      </c>
      <c r="AA269" s="4" t="s">
        <v>47</v>
      </c>
      <c r="AB269" s="4" t="s">
        <v>47</v>
      </c>
      <c r="AC269" s="4" t="s">
        <v>47</v>
      </c>
      <c r="AD269" s="4" t="s">
        <v>47</v>
      </c>
      <c r="AE269" s="4" t="s">
        <v>47</v>
      </c>
      <c r="AF269" s="4" t="s">
        <v>47</v>
      </c>
      <c r="AG269" s="4" t="s">
        <v>47</v>
      </c>
      <c r="AH269" s="4" t="s">
        <v>2986</v>
      </c>
      <c r="AI269" s="4" t="s">
        <v>2987</v>
      </c>
      <c r="AJ269" s="4" t="s">
        <v>2988</v>
      </c>
      <c r="AK269" s="4" t="s">
        <v>47</v>
      </c>
      <c r="AL269" s="4" t="s">
        <v>47</v>
      </c>
      <c r="AM269" s="4" t="s">
        <v>47</v>
      </c>
      <c r="AN269" s="4" t="s">
        <v>47</v>
      </c>
      <c r="AO269" s="4" t="s">
        <v>2989</v>
      </c>
      <c r="AP269" s="4" t="s">
        <v>47</v>
      </c>
      <c r="AQ269" s="4" t="s">
        <v>2990</v>
      </c>
      <c r="AR269" s="4" t="s">
        <v>2991</v>
      </c>
    </row>
    <row r="270" spans="1:44" x14ac:dyDescent="0.2">
      <c r="A270" s="4" t="s">
        <v>52</v>
      </c>
      <c r="B270" s="4" t="s">
        <v>171</v>
      </c>
      <c r="C270">
        <v>1</v>
      </c>
      <c r="F270">
        <v>0</v>
      </c>
      <c r="I270" s="4" t="s">
        <v>2558</v>
      </c>
      <c r="J270" s="4" t="s">
        <v>47</v>
      </c>
      <c r="K270" s="4" t="s">
        <v>874</v>
      </c>
      <c r="L270" s="4" t="s">
        <v>47</v>
      </c>
      <c r="M270">
        <v>52000</v>
      </c>
      <c r="N270" s="4" t="s">
        <v>2896</v>
      </c>
      <c r="O270" s="4" t="s">
        <v>47</v>
      </c>
      <c r="P270" s="4" t="s">
        <v>714</v>
      </c>
      <c r="Q270" s="9">
        <v>38893</v>
      </c>
      <c r="R270" s="4" t="s">
        <v>652</v>
      </c>
      <c r="S270" s="4" t="s">
        <v>47</v>
      </c>
      <c r="T270" s="4" t="s">
        <v>47</v>
      </c>
      <c r="U270" s="4" t="s">
        <v>92</v>
      </c>
      <c r="V270">
        <v>2006</v>
      </c>
      <c r="W270" s="4" t="s">
        <v>2992</v>
      </c>
      <c r="X270" s="4" t="s">
        <v>47</v>
      </c>
      <c r="Y270" s="4" t="s">
        <v>2993</v>
      </c>
      <c r="Z270" s="4" t="s">
        <v>47</v>
      </c>
      <c r="AA270" s="4" t="s">
        <v>47</v>
      </c>
      <c r="AB270" s="4" t="s">
        <v>47</v>
      </c>
      <c r="AC270" s="4" t="s">
        <v>47</v>
      </c>
      <c r="AD270" s="4" t="s">
        <v>47</v>
      </c>
      <c r="AE270" s="4" t="s">
        <v>47</v>
      </c>
      <c r="AF270" s="4" t="s">
        <v>47</v>
      </c>
      <c r="AG270" s="4" t="s">
        <v>47</v>
      </c>
      <c r="AH270" s="4" t="s">
        <v>47</v>
      </c>
      <c r="AI270" s="4" t="s">
        <v>47</v>
      </c>
      <c r="AJ270" s="4" t="s">
        <v>47</v>
      </c>
      <c r="AK270" s="4" t="s">
        <v>47</v>
      </c>
      <c r="AL270" s="4" t="s">
        <v>47</v>
      </c>
      <c r="AM270" s="4" t="s">
        <v>47</v>
      </c>
      <c r="AN270" s="4" t="s">
        <v>47</v>
      </c>
      <c r="AO270" s="4" t="s">
        <v>2994</v>
      </c>
      <c r="AP270" s="4" t="s">
        <v>2995</v>
      </c>
      <c r="AQ270" s="4" t="s">
        <v>2996</v>
      </c>
      <c r="AR270" s="4" t="s">
        <v>2997</v>
      </c>
    </row>
    <row r="271" spans="1:44" x14ac:dyDescent="0.2">
      <c r="A271" s="4" t="s">
        <v>141</v>
      </c>
      <c r="B271" s="4" t="s">
        <v>95</v>
      </c>
      <c r="C271">
        <v>1</v>
      </c>
      <c r="F271">
        <v>0</v>
      </c>
      <c r="I271" s="4" t="s">
        <v>1857</v>
      </c>
      <c r="J271" s="4" t="s">
        <v>47</v>
      </c>
      <c r="K271" s="4" t="s">
        <v>2998</v>
      </c>
      <c r="L271" s="4" t="s">
        <v>47</v>
      </c>
      <c r="M271">
        <v>41000</v>
      </c>
      <c r="N271" s="4" t="s">
        <v>2999</v>
      </c>
      <c r="O271" s="4" t="s">
        <v>47</v>
      </c>
      <c r="P271" s="4" t="s">
        <v>714</v>
      </c>
      <c r="Q271" s="9">
        <v>38893</v>
      </c>
      <c r="R271" s="4" t="s">
        <v>652</v>
      </c>
      <c r="S271" s="4" t="s">
        <v>47</v>
      </c>
      <c r="T271" s="4" t="s">
        <v>47</v>
      </c>
      <c r="U271" s="4" t="s">
        <v>92</v>
      </c>
      <c r="V271">
        <v>2006</v>
      </c>
      <c r="W271" s="4" t="s">
        <v>3000</v>
      </c>
      <c r="X271" s="4" t="s">
        <v>47</v>
      </c>
      <c r="Y271" s="4" t="s">
        <v>3001</v>
      </c>
      <c r="Z271" s="4" t="s">
        <v>47</v>
      </c>
      <c r="AA271" s="4" t="s">
        <v>47</v>
      </c>
      <c r="AB271" s="4" t="s">
        <v>47</v>
      </c>
      <c r="AC271" s="4" t="s">
        <v>47</v>
      </c>
      <c r="AD271" s="4" t="s">
        <v>47</v>
      </c>
      <c r="AE271" s="4" t="s">
        <v>47</v>
      </c>
      <c r="AF271" s="4" t="s">
        <v>47</v>
      </c>
      <c r="AG271" s="4" t="s">
        <v>47</v>
      </c>
      <c r="AH271" s="4" t="s">
        <v>47</v>
      </c>
      <c r="AI271" s="4" t="s">
        <v>47</v>
      </c>
      <c r="AJ271" s="4" t="s">
        <v>47</v>
      </c>
      <c r="AK271" s="4" t="s">
        <v>47</v>
      </c>
      <c r="AL271" s="4" t="s">
        <v>47</v>
      </c>
      <c r="AM271" s="4" t="s">
        <v>3002</v>
      </c>
      <c r="AN271" s="4" t="s">
        <v>3003</v>
      </c>
      <c r="AO271" s="4" t="s">
        <v>3004</v>
      </c>
      <c r="AP271" s="4" t="s">
        <v>3005</v>
      </c>
      <c r="AQ271" s="4" t="s">
        <v>3006</v>
      </c>
      <c r="AR271" s="4" t="s">
        <v>3007</v>
      </c>
    </row>
    <row r="272" spans="1:44" x14ac:dyDescent="0.2">
      <c r="A272" s="4" t="s">
        <v>92</v>
      </c>
      <c r="B272" s="4" t="s">
        <v>116</v>
      </c>
      <c r="C272">
        <v>2</v>
      </c>
      <c r="F272">
        <v>0</v>
      </c>
      <c r="I272" s="4" t="s">
        <v>1934</v>
      </c>
      <c r="J272" s="4" t="s">
        <v>47</v>
      </c>
      <c r="K272" s="4" t="s">
        <v>2655</v>
      </c>
      <c r="L272" s="4" t="s">
        <v>47</v>
      </c>
      <c r="M272">
        <v>66000</v>
      </c>
      <c r="N272" s="4" t="s">
        <v>2906</v>
      </c>
      <c r="O272" s="4" t="s">
        <v>47</v>
      </c>
      <c r="P272" s="4" t="s">
        <v>714</v>
      </c>
      <c r="Q272" s="9">
        <v>38892</v>
      </c>
      <c r="R272" s="4" t="s">
        <v>630</v>
      </c>
      <c r="S272" s="4" t="s">
        <v>47</v>
      </c>
      <c r="T272" s="4" t="s">
        <v>47</v>
      </c>
      <c r="U272" s="4" t="s">
        <v>92</v>
      </c>
      <c r="V272">
        <v>2006</v>
      </c>
      <c r="W272" s="4" t="s">
        <v>3008</v>
      </c>
      <c r="X272" s="4" t="s">
        <v>47</v>
      </c>
      <c r="Y272" s="4" t="s">
        <v>3009</v>
      </c>
      <c r="Z272" s="4" t="s">
        <v>47</v>
      </c>
      <c r="AA272" s="4" t="s">
        <v>47</v>
      </c>
      <c r="AB272" s="4" t="s">
        <v>47</v>
      </c>
      <c r="AC272" s="4" t="s">
        <v>47</v>
      </c>
      <c r="AD272" s="4" t="s">
        <v>47</v>
      </c>
      <c r="AE272" s="4" t="s">
        <v>47</v>
      </c>
      <c r="AF272" s="4" t="s">
        <v>47</v>
      </c>
      <c r="AG272" s="4" t="s">
        <v>47</v>
      </c>
      <c r="AH272" s="4" t="s">
        <v>47</v>
      </c>
      <c r="AI272" s="4" t="s">
        <v>47</v>
      </c>
      <c r="AJ272" s="4" t="s">
        <v>47</v>
      </c>
      <c r="AK272" s="4" t="s">
        <v>47</v>
      </c>
      <c r="AL272" s="4" t="s">
        <v>47</v>
      </c>
      <c r="AM272" s="4" t="s">
        <v>47</v>
      </c>
      <c r="AN272" s="4" t="s">
        <v>3010</v>
      </c>
      <c r="AO272" s="4" t="s">
        <v>3011</v>
      </c>
      <c r="AP272" s="4" t="s">
        <v>3012</v>
      </c>
      <c r="AQ272" s="4" t="s">
        <v>3013</v>
      </c>
      <c r="AR272" s="4" t="s">
        <v>3014</v>
      </c>
    </row>
    <row r="273" spans="1:44" x14ac:dyDescent="0.2">
      <c r="A273" s="4" t="s">
        <v>26</v>
      </c>
      <c r="B273" s="4" t="s">
        <v>106</v>
      </c>
      <c r="C273">
        <v>2</v>
      </c>
      <c r="F273">
        <v>1</v>
      </c>
      <c r="I273" s="4" t="s">
        <v>2938</v>
      </c>
      <c r="J273" s="4" t="s">
        <v>47</v>
      </c>
      <c r="K273" s="4" t="s">
        <v>3015</v>
      </c>
      <c r="L273" s="4" t="s">
        <v>47</v>
      </c>
      <c r="M273">
        <v>43000</v>
      </c>
      <c r="N273" s="4" t="s">
        <v>3016</v>
      </c>
      <c r="O273" s="4" t="s">
        <v>47</v>
      </c>
      <c r="P273" s="4" t="s">
        <v>714</v>
      </c>
      <c r="Q273" s="9">
        <v>38892</v>
      </c>
      <c r="R273" s="4" t="s">
        <v>617</v>
      </c>
      <c r="S273" s="4" t="s">
        <v>47</v>
      </c>
      <c r="T273" s="4" t="s">
        <v>1258</v>
      </c>
      <c r="U273" s="4" t="s">
        <v>92</v>
      </c>
      <c r="V273">
        <v>2006</v>
      </c>
      <c r="W273" s="4" t="s">
        <v>3017</v>
      </c>
      <c r="X273" s="4" t="s">
        <v>3018</v>
      </c>
      <c r="Y273" s="4" t="s">
        <v>3019</v>
      </c>
      <c r="Z273" s="4" t="s">
        <v>3020</v>
      </c>
      <c r="AA273" s="4" t="s">
        <v>47</v>
      </c>
      <c r="AB273" s="4" t="s">
        <v>47</v>
      </c>
      <c r="AC273" s="4" t="s">
        <v>47</v>
      </c>
      <c r="AD273" s="4" t="s">
        <v>47</v>
      </c>
      <c r="AE273" s="4" t="s">
        <v>47</v>
      </c>
      <c r="AF273" s="4" t="s">
        <v>47</v>
      </c>
      <c r="AG273" s="4" t="s">
        <v>47</v>
      </c>
      <c r="AH273" s="4" t="s">
        <v>47</v>
      </c>
      <c r="AI273" s="4" t="s">
        <v>47</v>
      </c>
      <c r="AJ273" s="4" t="s">
        <v>47</v>
      </c>
      <c r="AK273" s="4" t="s">
        <v>47</v>
      </c>
      <c r="AL273" s="4" t="s">
        <v>47</v>
      </c>
      <c r="AM273" s="4" t="s">
        <v>47</v>
      </c>
      <c r="AN273" s="4" t="s">
        <v>47</v>
      </c>
      <c r="AO273" s="4" t="s">
        <v>3021</v>
      </c>
      <c r="AP273" s="4" t="s">
        <v>3022</v>
      </c>
      <c r="AQ273" s="4" t="s">
        <v>3023</v>
      </c>
      <c r="AR273" s="4" t="s">
        <v>3024</v>
      </c>
    </row>
    <row r="274" spans="1:44" x14ac:dyDescent="0.2">
      <c r="A274" s="4" t="s">
        <v>240</v>
      </c>
      <c r="B274" s="4" t="s">
        <v>20</v>
      </c>
      <c r="C274">
        <v>0</v>
      </c>
      <c r="F274">
        <v>1</v>
      </c>
      <c r="I274" s="4" t="s">
        <v>3025</v>
      </c>
      <c r="J274" s="4" t="s">
        <v>47</v>
      </c>
      <c r="K274" s="4" t="s">
        <v>2965</v>
      </c>
      <c r="L274" s="4" t="s">
        <v>47</v>
      </c>
      <c r="M274">
        <v>46000</v>
      </c>
      <c r="N274" s="4" t="s">
        <v>2975</v>
      </c>
      <c r="O274" s="4" t="s">
        <v>47</v>
      </c>
      <c r="P274" s="4" t="s">
        <v>811</v>
      </c>
      <c r="Q274" s="9">
        <v>38891</v>
      </c>
      <c r="R274" s="4" t="s">
        <v>963</v>
      </c>
      <c r="S274" s="4" t="s">
        <v>47</v>
      </c>
      <c r="T274" s="4" t="s">
        <v>47</v>
      </c>
      <c r="U274" s="4" t="s">
        <v>92</v>
      </c>
      <c r="V274">
        <v>2006</v>
      </c>
      <c r="W274" s="4" t="s">
        <v>47</v>
      </c>
      <c r="X274" s="4" t="s">
        <v>3026</v>
      </c>
      <c r="Y274" s="4" t="s">
        <v>47</v>
      </c>
      <c r="Z274" s="4" t="s">
        <v>3027</v>
      </c>
      <c r="AA274" s="4" t="s">
        <v>47</v>
      </c>
      <c r="AB274" s="4" t="s">
        <v>47</v>
      </c>
      <c r="AC274" s="4" t="s">
        <v>47</v>
      </c>
      <c r="AD274" s="4" t="s">
        <v>47</v>
      </c>
      <c r="AE274" s="4" t="s">
        <v>47</v>
      </c>
      <c r="AF274" s="4" t="s">
        <v>47</v>
      </c>
      <c r="AG274" s="4" t="s">
        <v>47</v>
      </c>
      <c r="AH274" s="4" t="s">
        <v>47</v>
      </c>
      <c r="AI274" s="4" t="s">
        <v>47</v>
      </c>
      <c r="AJ274" s="4" t="s">
        <v>47</v>
      </c>
      <c r="AK274" s="4" t="s">
        <v>47</v>
      </c>
      <c r="AL274" s="4" t="s">
        <v>47</v>
      </c>
      <c r="AM274" s="4" t="s">
        <v>47</v>
      </c>
      <c r="AN274" s="4" t="s">
        <v>47</v>
      </c>
      <c r="AO274" s="4" t="s">
        <v>3028</v>
      </c>
      <c r="AP274" s="4" t="s">
        <v>3029</v>
      </c>
      <c r="AQ274" s="4" t="s">
        <v>3030</v>
      </c>
      <c r="AR274" s="4" t="s">
        <v>3031</v>
      </c>
    </row>
    <row r="275" spans="1:44" x14ac:dyDescent="0.2">
      <c r="A275" s="4" t="s">
        <v>188</v>
      </c>
      <c r="B275" s="4" t="s">
        <v>213</v>
      </c>
      <c r="C275">
        <v>1</v>
      </c>
      <c r="F275">
        <v>0</v>
      </c>
      <c r="I275" s="4" t="s">
        <v>2951</v>
      </c>
      <c r="J275" s="4" t="s">
        <v>47</v>
      </c>
      <c r="K275" s="4" t="s">
        <v>3032</v>
      </c>
      <c r="L275" s="4" t="s">
        <v>47</v>
      </c>
      <c r="M275">
        <v>72000</v>
      </c>
      <c r="N275" s="4" t="s">
        <v>2883</v>
      </c>
      <c r="O275" s="4" t="s">
        <v>47</v>
      </c>
      <c r="P275" s="4" t="s">
        <v>811</v>
      </c>
      <c r="Q275" s="9">
        <v>38891</v>
      </c>
      <c r="R275" s="4" t="s">
        <v>652</v>
      </c>
      <c r="S275" s="4" t="s">
        <v>47</v>
      </c>
      <c r="T275" s="4" t="s">
        <v>47</v>
      </c>
      <c r="U275" s="4" t="s">
        <v>92</v>
      </c>
      <c r="V275">
        <v>2006</v>
      </c>
      <c r="W275" s="4" t="s">
        <v>47</v>
      </c>
      <c r="X275" s="4" t="s">
        <v>47</v>
      </c>
      <c r="Y275" s="4" t="s">
        <v>47</v>
      </c>
      <c r="Z275" s="4" t="s">
        <v>47</v>
      </c>
      <c r="AA275" s="4" t="s">
        <v>47</v>
      </c>
      <c r="AB275" s="4" t="s">
        <v>47</v>
      </c>
      <c r="AC275" s="4" t="s">
        <v>3033</v>
      </c>
      <c r="AD275" s="4" t="s">
        <v>47</v>
      </c>
      <c r="AE275" s="4" t="s">
        <v>47</v>
      </c>
      <c r="AF275" s="4" t="s">
        <v>47</v>
      </c>
      <c r="AG275" s="4" t="s">
        <v>47</v>
      </c>
      <c r="AH275" s="4" t="s">
        <v>47</v>
      </c>
      <c r="AI275" s="4" t="s">
        <v>47</v>
      </c>
      <c r="AJ275" s="4" t="s">
        <v>47</v>
      </c>
      <c r="AK275" s="4" t="s">
        <v>47</v>
      </c>
      <c r="AL275" s="4" t="s">
        <v>47</v>
      </c>
      <c r="AM275" s="4" t="s">
        <v>47</v>
      </c>
      <c r="AN275" s="4" t="s">
        <v>3034</v>
      </c>
      <c r="AO275" s="4" t="s">
        <v>3035</v>
      </c>
      <c r="AP275" s="4" t="s">
        <v>3036</v>
      </c>
      <c r="AQ275" s="4" t="s">
        <v>3037</v>
      </c>
      <c r="AR275" s="4" t="s">
        <v>3038</v>
      </c>
    </row>
    <row r="276" spans="1:44" x14ac:dyDescent="0.2">
      <c r="A276" s="4" t="s">
        <v>361</v>
      </c>
      <c r="B276" s="4" t="s">
        <v>87</v>
      </c>
      <c r="C276">
        <v>0</v>
      </c>
      <c r="F276">
        <v>2</v>
      </c>
      <c r="I276" s="4" t="s">
        <v>3039</v>
      </c>
      <c r="J276" s="4" t="s">
        <v>47</v>
      </c>
      <c r="K276" s="4" t="s">
        <v>2645</v>
      </c>
      <c r="L276" s="4" t="s">
        <v>47</v>
      </c>
      <c r="M276">
        <v>45000</v>
      </c>
      <c r="N276" s="4" t="s">
        <v>2983</v>
      </c>
      <c r="O276" s="4" t="s">
        <v>47</v>
      </c>
      <c r="P276" s="4" t="s">
        <v>811</v>
      </c>
      <c r="Q276" s="9">
        <v>38891</v>
      </c>
      <c r="R276" s="4" t="s">
        <v>824</v>
      </c>
      <c r="S276" s="4" t="s">
        <v>47</v>
      </c>
      <c r="T276" s="4" t="s">
        <v>47</v>
      </c>
      <c r="U276" s="4" t="s">
        <v>92</v>
      </c>
      <c r="V276">
        <v>2006</v>
      </c>
      <c r="W276" s="4" t="s">
        <v>47</v>
      </c>
      <c r="X276" s="4" t="s">
        <v>3040</v>
      </c>
      <c r="Y276" s="4" t="s">
        <v>47</v>
      </c>
      <c r="Z276" s="4" t="s">
        <v>3041</v>
      </c>
      <c r="AA276" s="4" t="s">
        <v>47</v>
      </c>
      <c r="AB276" s="4" t="s">
        <v>47</v>
      </c>
      <c r="AC276" s="4" t="s">
        <v>47</v>
      </c>
      <c r="AD276" s="4" t="s">
        <v>47</v>
      </c>
      <c r="AE276" s="4" t="s">
        <v>47</v>
      </c>
      <c r="AF276" s="4" t="s">
        <v>47</v>
      </c>
      <c r="AG276" s="4" t="s">
        <v>47</v>
      </c>
      <c r="AH276" s="4" t="s">
        <v>47</v>
      </c>
      <c r="AI276" s="4" t="s">
        <v>47</v>
      </c>
      <c r="AJ276" s="4" t="s">
        <v>47</v>
      </c>
      <c r="AK276" s="4" t="s">
        <v>47</v>
      </c>
      <c r="AL276" s="4" t="s">
        <v>47</v>
      </c>
      <c r="AM276" s="4" t="s">
        <v>47</v>
      </c>
      <c r="AN276" s="4" t="s">
        <v>47</v>
      </c>
      <c r="AO276" s="4" t="s">
        <v>3042</v>
      </c>
      <c r="AP276" s="4" t="s">
        <v>3043</v>
      </c>
      <c r="AQ276" s="4" t="s">
        <v>3044</v>
      </c>
      <c r="AR276" s="4" t="s">
        <v>3045</v>
      </c>
    </row>
    <row r="277" spans="1:44" x14ac:dyDescent="0.2">
      <c r="A277" s="4" t="s">
        <v>118</v>
      </c>
      <c r="B277" s="4" t="s">
        <v>175</v>
      </c>
      <c r="C277">
        <v>2</v>
      </c>
      <c r="F277">
        <v>0</v>
      </c>
      <c r="I277" s="4" t="s">
        <v>2982</v>
      </c>
      <c r="J277" s="4" t="s">
        <v>47</v>
      </c>
      <c r="K277" s="4" t="s">
        <v>3046</v>
      </c>
      <c r="L277" s="4" t="s">
        <v>47</v>
      </c>
      <c r="M277">
        <v>43000</v>
      </c>
      <c r="N277" s="4" t="s">
        <v>2966</v>
      </c>
      <c r="O277" s="4" t="s">
        <v>47</v>
      </c>
      <c r="P277" s="4" t="s">
        <v>811</v>
      </c>
      <c r="Q277" s="9">
        <v>38891</v>
      </c>
      <c r="R277" s="4" t="s">
        <v>630</v>
      </c>
      <c r="S277" s="4" t="s">
        <v>47</v>
      </c>
      <c r="T277" s="4" t="s">
        <v>47</v>
      </c>
      <c r="U277" s="4" t="s">
        <v>92</v>
      </c>
      <c r="V277">
        <v>2006</v>
      </c>
      <c r="W277" s="4" t="s">
        <v>3047</v>
      </c>
      <c r="X277" s="4" t="s">
        <v>47</v>
      </c>
      <c r="Y277" s="4" t="s">
        <v>3048</v>
      </c>
      <c r="Z277" s="4" t="s">
        <v>47</v>
      </c>
      <c r="AA277" s="4" t="s">
        <v>47</v>
      </c>
      <c r="AB277" s="4" t="s">
        <v>47</v>
      </c>
      <c r="AC277" s="4" t="s">
        <v>47</v>
      </c>
      <c r="AD277" s="4" t="s">
        <v>47</v>
      </c>
      <c r="AE277" s="4" t="s">
        <v>47</v>
      </c>
      <c r="AF277" s="4" t="s">
        <v>47</v>
      </c>
      <c r="AG277" s="4" t="s">
        <v>47</v>
      </c>
      <c r="AH277" s="4" t="s">
        <v>47</v>
      </c>
      <c r="AI277" s="4" t="s">
        <v>47</v>
      </c>
      <c r="AJ277" s="4" t="s">
        <v>47</v>
      </c>
      <c r="AK277" s="4" t="s">
        <v>47</v>
      </c>
      <c r="AL277" s="4" t="s">
        <v>47</v>
      </c>
      <c r="AM277" s="4" t="s">
        <v>47</v>
      </c>
      <c r="AN277" s="4" t="s">
        <v>47</v>
      </c>
      <c r="AO277" s="4" t="s">
        <v>3049</v>
      </c>
      <c r="AP277" s="4" t="s">
        <v>3050</v>
      </c>
      <c r="AQ277" s="4" t="s">
        <v>3051</v>
      </c>
      <c r="AR277" s="4" t="s">
        <v>3052</v>
      </c>
    </row>
    <row r="278" spans="1:44" x14ac:dyDescent="0.2">
      <c r="A278" s="4" t="s">
        <v>264</v>
      </c>
      <c r="B278" s="4" t="s">
        <v>102</v>
      </c>
      <c r="C278">
        <v>2</v>
      </c>
      <c r="F278">
        <v>1</v>
      </c>
      <c r="I278" s="4" t="s">
        <v>2958</v>
      </c>
      <c r="J278" s="4" t="s">
        <v>47</v>
      </c>
      <c r="K278" s="4" t="s">
        <v>3053</v>
      </c>
      <c r="L278" s="4" t="s">
        <v>47</v>
      </c>
      <c r="M278">
        <v>41000</v>
      </c>
      <c r="N278" s="4" t="s">
        <v>2999</v>
      </c>
      <c r="O278" s="4" t="s">
        <v>47</v>
      </c>
      <c r="P278" s="4" t="s">
        <v>811</v>
      </c>
      <c r="Q278" s="9">
        <v>38890</v>
      </c>
      <c r="R278" s="4" t="s">
        <v>617</v>
      </c>
      <c r="S278" s="4" t="s">
        <v>47</v>
      </c>
      <c r="T278" s="4" t="s">
        <v>47</v>
      </c>
      <c r="U278" s="4" t="s">
        <v>92</v>
      </c>
      <c r="V278">
        <v>2006</v>
      </c>
      <c r="W278" s="4" t="s">
        <v>3054</v>
      </c>
      <c r="X278" s="4" t="s">
        <v>3055</v>
      </c>
      <c r="Y278" s="4" t="s">
        <v>3056</v>
      </c>
      <c r="Z278" s="4" t="s">
        <v>3057</v>
      </c>
      <c r="AA278" s="4" t="s">
        <v>47</v>
      </c>
      <c r="AB278" s="4" t="s">
        <v>47</v>
      </c>
      <c r="AC278" s="4" t="s">
        <v>3058</v>
      </c>
      <c r="AD278" s="4" t="s">
        <v>47</v>
      </c>
      <c r="AE278" s="4" t="s">
        <v>47</v>
      </c>
      <c r="AF278" s="4" t="s">
        <v>47</v>
      </c>
      <c r="AG278" s="4" t="s">
        <v>47</v>
      </c>
      <c r="AH278" s="4" t="s">
        <v>47</v>
      </c>
      <c r="AI278" s="4" t="s">
        <v>47</v>
      </c>
      <c r="AJ278" s="4" t="s">
        <v>47</v>
      </c>
      <c r="AK278" s="4" t="s">
        <v>47</v>
      </c>
      <c r="AL278" s="4" t="s">
        <v>47</v>
      </c>
      <c r="AM278" s="4" t="s">
        <v>47</v>
      </c>
      <c r="AN278" s="4" t="s">
        <v>47</v>
      </c>
      <c r="AO278" s="4" t="s">
        <v>3059</v>
      </c>
      <c r="AP278" s="4" t="s">
        <v>3060</v>
      </c>
      <c r="AQ278" s="4" t="s">
        <v>3061</v>
      </c>
      <c r="AR278" s="4" t="s">
        <v>3062</v>
      </c>
    </row>
    <row r="279" spans="1:44" x14ac:dyDescent="0.2">
      <c r="A279" s="4" t="s">
        <v>3063</v>
      </c>
      <c r="B279" s="4" t="s">
        <v>97</v>
      </c>
      <c r="C279">
        <v>0</v>
      </c>
      <c r="F279">
        <v>2</v>
      </c>
      <c r="I279" s="4" t="s">
        <v>3064</v>
      </c>
      <c r="J279" s="4" t="s">
        <v>47</v>
      </c>
      <c r="K279" s="4" t="s">
        <v>2582</v>
      </c>
      <c r="L279" s="4" t="s">
        <v>47</v>
      </c>
      <c r="M279">
        <v>50000</v>
      </c>
      <c r="N279" s="4" t="s">
        <v>2952</v>
      </c>
      <c r="O279" s="4" t="s">
        <v>47</v>
      </c>
      <c r="P279" s="4" t="s">
        <v>811</v>
      </c>
      <c r="Q279" s="9">
        <v>38890</v>
      </c>
      <c r="R279" s="4" t="s">
        <v>824</v>
      </c>
      <c r="S279" s="4" t="s">
        <v>47</v>
      </c>
      <c r="T279" s="4" t="s">
        <v>47</v>
      </c>
      <c r="U279" s="4" t="s">
        <v>92</v>
      </c>
      <c r="V279">
        <v>2006</v>
      </c>
      <c r="W279" s="4" t="s">
        <v>47</v>
      </c>
      <c r="X279" s="4" t="s">
        <v>3065</v>
      </c>
      <c r="Y279" s="4" t="s">
        <v>47</v>
      </c>
      <c r="Z279" s="4" t="s">
        <v>3066</v>
      </c>
      <c r="AA279" s="4" t="s">
        <v>47</v>
      </c>
      <c r="AB279" s="4" t="s">
        <v>47</v>
      </c>
      <c r="AC279" s="4" t="s">
        <v>47</v>
      </c>
      <c r="AD279" s="4" t="s">
        <v>47</v>
      </c>
      <c r="AE279" s="4" t="s">
        <v>47</v>
      </c>
      <c r="AF279" s="4" t="s">
        <v>47</v>
      </c>
      <c r="AG279" s="4" t="s">
        <v>47</v>
      </c>
      <c r="AH279" s="4" t="s">
        <v>47</v>
      </c>
      <c r="AI279" s="4" t="s">
        <v>47</v>
      </c>
      <c r="AJ279" s="4" t="s">
        <v>47</v>
      </c>
      <c r="AK279" s="4" t="s">
        <v>47</v>
      </c>
      <c r="AL279" s="4" t="s">
        <v>47</v>
      </c>
      <c r="AM279" s="4" t="s">
        <v>3067</v>
      </c>
      <c r="AN279" s="4" t="s">
        <v>47</v>
      </c>
      <c r="AO279" s="4" t="s">
        <v>3068</v>
      </c>
      <c r="AP279" s="4" t="s">
        <v>3069</v>
      </c>
      <c r="AQ279" s="4" t="s">
        <v>3070</v>
      </c>
      <c r="AR279" s="4" t="s">
        <v>3071</v>
      </c>
    </row>
    <row r="280" spans="1:44" x14ac:dyDescent="0.2">
      <c r="A280" s="4" t="s">
        <v>161</v>
      </c>
      <c r="B280" s="4" t="s">
        <v>12</v>
      </c>
      <c r="C280">
        <v>1</v>
      </c>
      <c r="F280">
        <v>4</v>
      </c>
      <c r="I280" s="4" t="s">
        <v>3072</v>
      </c>
      <c r="J280" s="4" t="s">
        <v>47</v>
      </c>
      <c r="K280" s="4" t="s">
        <v>2646</v>
      </c>
      <c r="L280" s="4" t="s">
        <v>47</v>
      </c>
      <c r="M280">
        <v>65000</v>
      </c>
      <c r="N280" s="4" t="s">
        <v>2912</v>
      </c>
      <c r="O280" s="4" t="s">
        <v>47</v>
      </c>
      <c r="P280" s="4" t="s">
        <v>811</v>
      </c>
      <c r="Q280" s="9">
        <v>38890</v>
      </c>
      <c r="R280" s="4" t="s">
        <v>2101</v>
      </c>
      <c r="S280" s="4" t="s">
        <v>47</v>
      </c>
      <c r="T280" s="4" t="s">
        <v>47</v>
      </c>
      <c r="U280" s="4" t="s">
        <v>92</v>
      </c>
      <c r="V280">
        <v>2006</v>
      </c>
      <c r="W280" s="4" t="s">
        <v>3073</v>
      </c>
      <c r="X280" s="4" t="s">
        <v>3074</v>
      </c>
      <c r="Y280" s="4" t="s">
        <v>3075</v>
      </c>
      <c r="Z280" s="4" t="s">
        <v>3076</v>
      </c>
      <c r="AA280" s="4" t="s">
        <v>47</v>
      </c>
      <c r="AB280" s="4" t="s">
        <v>47</v>
      </c>
      <c r="AC280" s="4" t="s">
        <v>47</v>
      </c>
      <c r="AD280" s="4" t="s">
        <v>47</v>
      </c>
      <c r="AE280" s="4" t="s">
        <v>47</v>
      </c>
      <c r="AF280" s="4" t="s">
        <v>47</v>
      </c>
      <c r="AG280" s="4" t="s">
        <v>47</v>
      </c>
      <c r="AH280" s="4" t="s">
        <v>47</v>
      </c>
      <c r="AI280" s="4" t="s">
        <v>47</v>
      </c>
      <c r="AJ280" s="4" t="s">
        <v>47</v>
      </c>
      <c r="AK280" s="4" t="s">
        <v>47</v>
      </c>
      <c r="AL280" s="4" t="s">
        <v>47</v>
      </c>
      <c r="AM280" s="4" t="s">
        <v>47</v>
      </c>
      <c r="AN280" s="4" t="s">
        <v>47</v>
      </c>
      <c r="AO280" s="4" t="s">
        <v>3077</v>
      </c>
      <c r="AP280" s="4" t="s">
        <v>3078</v>
      </c>
      <c r="AQ280" s="4" t="s">
        <v>3079</v>
      </c>
      <c r="AR280" s="4" t="s">
        <v>3080</v>
      </c>
    </row>
    <row r="281" spans="1:44" x14ac:dyDescent="0.2">
      <c r="A281" s="4" t="s">
        <v>90</v>
      </c>
      <c r="B281" s="4" t="s">
        <v>179</v>
      </c>
      <c r="C281">
        <v>2</v>
      </c>
      <c r="F281">
        <v>2</v>
      </c>
      <c r="I281" s="4" t="s">
        <v>3081</v>
      </c>
      <c r="J281" s="4" t="s">
        <v>47</v>
      </c>
      <c r="K281" s="4" t="s">
        <v>2974</v>
      </c>
      <c r="L281" s="4" t="s">
        <v>47</v>
      </c>
      <c r="M281">
        <v>52000</v>
      </c>
      <c r="N281" s="4" t="s">
        <v>2896</v>
      </c>
      <c r="O281" s="4" t="s">
        <v>47</v>
      </c>
      <c r="P281" s="4" t="s">
        <v>811</v>
      </c>
      <c r="Q281" s="9">
        <v>38890</v>
      </c>
      <c r="R281" s="4" t="s">
        <v>1487</v>
      </c>
      <c r="S281" s="4" t="s">
        <v>47</v>
      </c>
      <c r="T281" s="4" t="s">
        <v>47</v>
      </c>
      <c r="U281" s="4" t="s">
        <v>92</v>
      </c>
      <c r="V281">
        <v>2006</v>
      </c>
      <c r="W281" s="4" t="s">
        <v>3082</v>
      </c>
      <c r="X281" s="4" t="s">
        <v>3083</v>
      </c>
      <c r="Y281" s="4" t="s">
        <v>3084</v>
      </c>
      <c r="Z281" s="4" t="s">
        <v>3085</v>
      </c>
      <c r="AA281" s="4" t="s">
        <v>47</v>
      </c>
      <c r="AB281" s="4" t="s">
        <v>47</v>
      </c>
      <c r="AC281" s="4" t="s">
        <v>47</v>
      </c>
      <c r="AD281" s="4" t="s">
        <v>3086</v>
      </c>
      <c r="AE281" s="4" t="s">
        <v>47</v>
      </c>
      <c r="AF281" s="4" t="s">
        <v>47</v>
      </c>
      <c r="AG281" s="4" t="s">
        <v>47</v>
      </c>
      <c r="AH281" s="4" t="s">
        <v>47</v>
      </c>
      <c r="AI281" s="4" t="s">
        <v>47</v>
      </c>
      <c r="AJ281" s="4" t="s">
        <v>47</v>
      </c>
      <c r="AK281" s="4" t="s">
        <v>47</v>
      </c>
      <c r="AL281" s="4" t="s">
        <v>47</v>
      </c>
      <c r="AM281" s="4" t="s">
        <v>3087</v>
      </c>
      <c r="AN281" s="4" t="s">
        <v>3088</v>
      </c>
      <c r="AO281" s="4" t="s">
        <v>3089</v>
      </c>
      <c r="AP281" s="4" t="s">
        <v>3090</v>
      </c>
      <c r="AQ281" s="4" t="s">
        <v>3091</v>
      </c>
      <c r="AR281" s="4" t="s">
        <v>3092</v>
      </c>
    </row>
    <row r="282" spans="1:44" x14ac:dyDescent="0.2">
      <c r="A282" s="4" t="s">
        <v>141</v>
      </c>
      <c r="B282" s="4" t="s">
        <v>106</v>
      </c>
      <c r="C282">
        <v>2</v>
      </c>
      <c r="F282">
        <v>1</v>
      </c>
      <c r="I282" s="4" t="s">
        <v>1857</v>
      </c>
      <c r="J282" s="4" t="s">
        <v>47</v>
      </c>
      <c r="K282" s="4" t="s">
        <v>3015</v>
      </c>
      <c r="L282" s="4" t="s">
        <v>47</v>
      </c>
      <c r="M282">
        <v>52000</v>
      </c>
      <c r="N282" s="4" t="s">
        <v>2919</v>
      </c>
      <c r="O282" s="4" t="s">
        <v>47</v>
      </c>
      <c r="P282" s="4" t="s">
        <v>811</v>
      </c>
      <c r="Q282" s="9">
        <v>38889</v>
      </c>
      <c r="R282" s="4" t="s">
        <v>617</v>
      </c>
      <c r="S282" s="4" t="s">
        <v>47</v>
      </c>
      <c r="T282" s="4" t="s">
        <v>47</v>
      </c>
      <c r="U282" s="4" t="s">
        <v>92</v>
      </c>
      <c r="V282">
        <v>2006</v>
      </c>
      <c r="W282" s="4" t="s">
        <v>3093</v>
      </c>
      <c r="X282" s="4" t="s">
        <v>3094</v>
      </c>
      <c r="Y282" s="4" t="s">
        <v>3095</v>
      </c>
      <c r="Z282" s="4" t="s">
        <v>3096</v>
      </c>
      <c r="AA282" s="4" t="s">
        <v>47</v>
      </c>
      <c r="AB282" s="4" t="s">
        <v>47</v>
      </c>
      <c r="AC282" s="4" t="s">
        <v>3097</v>
      </c>
      <c r="AD282" s="4" t="s">
        <v>47</v>
      </c>
      <c r="AE282" s="4" t="s">
        <v>47</v>
      </c>
      <c r="AF282" s="4" t="s">
        <v>47</v>
      </c>
      <c r="AG282" s="4" t="s">
        <v>47</v>
      </c>
      <c r="AH282" s="4" t="s">
        <v>47</v>
      </c>
      <c r="AI282" s="4" t="s">
        <v>47</v>
      </c>
      <c r="AJ282" s="4" t="s">
        <v>47</v>
      </c>
      <c r="AK282" s="4" t="s">
        <v>47</v>
      </c>
      <c r="AL282" s="4" t="s">
        <v>47</v>
      </c>
      <c r="AM282" s="4" t="s">
        <v>47</v>
      </c>
      <c r="AN282" s="4" t="s">
        <v>3098</v>
      </c>
      <c r="AO282" s="4" t="s">
        <v>3099</v>
      </c>
      <c r="AP282" s="4" t="s">
        <v>3100</v>
      </c>
      <c r="AQ282" s="4" t="s">
        <v>3101</v>
      </c>
      <c r="AR282" s="4" t="s">
        <v>3102</v>
      </c>
    </row>
    <row r="283" spans="1:44" x14ac:dyDescent="0.2">
      <c r="A283" s="4" t="s">
        <v>165</v>
      </c>
      <c r="B283" s="4" t="s">
        <v>297</v>
      </c>
      <c r="C283">
        <v>1</v>
      </c>
      <c r="F283">
        <v>1</v>
      </c>
      <c r="I283" s="4" t="s">
        <v>3103</v>
      </c>
      <c r="J283" s="4" t="s">
        <v>47</v>
      </c>
      <c r="K283" s="4" t="s">
        <v>3104</v>
      </c>
      <c r="L283" s="4" t="s">
        <v>47</v>
      </c>
      <c r="M283">
        <v>38000</v>
      </c>
      <c r="N283" s="4" t="s">
        <v>3016</v>
      </c>
      <c r="O283" s="4" t="s">
        <v>47</v>
      </c>
      <c r="P283" s="4" t="s">
        <v>811</v>
      </c>
      <c r="Q283" s="9">
        <v>38889</v>
      </c>
      <c r="R283" s="4" t="s">
        <v>1046</v>
      </c>
      <c r="S283" s="4" t="s">
        <v>47</v>
      </c>
      <c r="T283" s="4" t="s">
        <v>47</v>
      </c>
      <c r="U283" s="4" t="s">
        <v>92</v>
      </c>
      <c r="V283">
        <v>2006</v>
      </c>
      <c r="W283" s="4" t="s">
        <v>3105</v>
      </c>
      <c r="X283" s="4" t="s">
        <v>3106</v>
      </c>
      <c r="Y283" s="4" t="s">
        <v>3107</v>
      </c>
      <c r="Z283" s="4" t="s">
        <v>3108</v>
      </c>
      <c r="AA283" s="4" t="s">
        <v>47</v>
      </c>
      <c r="AB283" s="4" t="s">
        <v>47</v>
      </c>
      <c r="AC283" s="4" t="s">
        <v>47</v>
      </c>
      <c r="AD283" s="4" t="s">
        <v>47</v>
      </c>
      <c r="AE283" s="4" t="s">
        <v>47</v>
      </c>
      <c r="AF283" s="4" t="s">
        <v>47</v>
      </c>
      <c r="AG283" s="4" t="s">
        <v>47</v>
      </c>
      <c r="AH283" s="4" t="s">
        <v>47</v>
      </c>
      <c r="AI283" s="4" t="s">
        <v>47</v>
      </c>
      <c r="AJ283" s="4" t="s">
        <v>47</v>
      </c>
      <c r="AK283" s="4" t="s">
        <v>47</v>
      </c>
      <c r="AL283" s="4" t="s">
        <v>47</v>
      </c>
      <c r="AM283" s="4" t="s">
        <v>47</v>
      </c>
      <c r="AN283" s="4" t="s">
        <v>47</v>
      </c>
      <c r="AO283" s="4" t="s">
        <v>3109</v>
      </c>
      <c r="AP283" s="4" t="s">
        <v>3110</v>
      </c>
      <c r="AQ283" s="4" t="s">
        <v>3111</v>
      </c>
      <c r="AR283" s="4" t="s">
        <v>3112</v>
      </c>
    </row>
    <row r="284" spans="1:44" x14ac:dyDescent="0.2">
      <c r="A284" s="4" t="s">
        <v>190</v>
      </c>
      <c r="B284" s="4" t="s">
        <v>3113</v>
      </c>
      <c r="C284">
        <v>3</v>
      </c>
      <c r="F284">
        <v>2</v>
      </c>
      <c r="I284" s="4" t="s">
        <v>3114</v>
      </c>
      <c r="J284" s="4" t="s">
        <v>47</v>
      </c>
      <c r="K284" s="4" t="s">
        <v>3115</v>
      </c>
      <c r="L284" s="4" t="s">
        <v>47</v>
      </c>
      <c r="M284">
        <v>66000</v>
      </c>
      <c r="N284" s="4" t="s">
        <v>2906</v>
      </c>
      <c r="O284" s="4" t="s">
        <v>47</v>
      </c>
      <c r="P284" s="4" t="s">
        <v>811</v>
      </c>
      <c r="Q284" s="9">
        <v>38889</v>
      </c>
      <c r="R284" s="4" t="s">
        <v>1130</v>
      </c>
      <c r="S284" s="4" t="s">
        <v>47</v>
      </c>
      <c r="T284" s="4" t="s">
        <v>47</v>
      </c>
      <c r="U284" s="4" t="s">
        <v>92</v>
      </c>
      <c r="V284">
        <v>2006</v>
      </c>
      <c r="W284" s="4" t="s">
        <v>3116</v>
      </c>
      <c r="X284" s="4" t="s">
        <v>3117</v>
      </c>
      <c r="Y284" s="4" t="s">
        <v>3118</v>
      </c>
      <c r="Z284" s="4" t="s">
        <v>3119</v>
      </c>
      <c r="AA284" s="4" t="s">
        <v>47</v>
      </c>
      <c r="AB284" s="4" t="s">
        <v>47</v>
      </c>
      <c r="AC284" s="4" t="s">
        <v>3120</v>
      </c>
      <c r="AD284" s="4" t="s">
        <v>47</v>
      </c>
      <c r="AE284" s="4" t="s">
        <v>47</v>
      </c>
      <c r="AF284" s="4" t="s">
        <v>47</v>
      </c>
      <c r="AG284" s="4" t="s">
        <v>47</v>
      </c>
      <c r="AH284" s="4" t="s">
        <v>47</v>
      </c>
      <c r="AI284" s="4" t="s">
        <v>47</v>
      </c>
      <c r="AJ284" s="4" t="s">
        <v>47</v>
      </c>
      <c r="AK284" s="4" t="s">
        <v>47</v>
      </c>
      <c r="AL284" s="4" t="s">
        <v>47</v>
      </c>
      <c r="AM284" s="4" t="s">
        <v>3121</v>
      </c>
      <c r="AN284" s="4" t="s">
        <v>3122</v>
      </c>
      <c r="AO284" s="4" t="s">
        <v>3123</v>
      </c>
      <c r="AP284" s="4" t="s">
        <v>3124</v>
      </c>
      <c r="AQ284" s="4" t="s">
        <v>3125</v>
      </c>
      <c r="AR284" s="4" t="s">
        <v>3126</v>
      </c>
    </row>
    <row r="285" spans="1:44" x14ac:dyDescent="0.2">
      <c r="A285" s="4" t="s">
        <v>95</v>
      </c>
      <c r="B285" s="4" t="s">
        <v>26</v>
      </c>
      <c r="C285">
        <v>0</v>
      </c>
      <c r="F285">
        <v>0</v>
      </c>
      <c r="I285" s="4" t="s">
        <v>2998</v>
      </c>
      <c r="J285" s="4" t="s">
        <v>47</v>
      </c>
      <c r="K285" s="4" t="s">
        <v>2938</v>
      </c>
      <c r="L285" s="4" t="s">
        <v>47</v>
      </c>
      <c r="M285">
        <v>48000</v>
      </c>
      <c r="N285" s="4" t="s">
        <v>2931</v>
      </c>
      <c r="O285" s="4" t="s">
        <v>47</v>
      </c>
      <c r="P285" s="4" t="s">
        <v>811</v>
      </c>
      <c r="Q285" s="9">
        <v>38889</v>
      </c>
      <c r="R285" s="4" t="s">
        <v>869</v>
      </c>
      <c r="S285" s="4" t="s">
        <v>47</v>
      </c>
      <c r="T285" s="4" t="s">
        <v>47</v>
      </c>
      <c r="U285" s="4" t="s">
        <v>92</v>
      </c>
      <c r="V285">
        <v>2006</v>
      </c>
      <c r="W285" s="4" t="s">
        <v>47</v>
      </c>
      <c r="X285" s="4" t="s">
        <v>47</v>
      </c>
      <c r="Y285" s="4" t="s">
        <v>47</v>
      </c>
      <c r="Z285" s="4" t="s">
        <v>47</v>
      </c>
      <c r="AA285" s="4" t="s">
        <v>47</v>
      </c>
      <c r="AB285" s="4" t="s">
        <v>47</v>
      </c>
      <c r="AC285" s="4" t="s">
        <v>47</v>
      </c>
      <c r="AD285" s="4" t="s">
        <v>47</v>
      </c>
      <c r="AE285" s="4" t="s">
        <v>47</v>
      </c>
      <c r="AF285" s="4" t="s">
        <v>47</v>
      </c>
      <c r="AG285" s="4" t="s">
        <v>47</v>
      </c>
      <c r="AH285" s="4" t="s">
        <v>47</v>
      </c>
      <c r="AI285" s="4" t="s">
        <v>47</v>
      </c>
      <c r="AJ285" s="4" t="s">
        <v>47</v>
      </c>
      <c r="AK285" s="4" t="s">
        <v>47</v>
      </c>
      <c r="AL285" s="4" t="s">
        <v>47</v>
      </c>
      <c r="AM285" s="4" t="s">
        <v>47</v>
      </c>
      <c r="AN285" s="4" t="s">
        <v>47</v>
      </c>
      <c r="AO285" s="4" t="s">
        <v>3127</v>
      </c>
      <c r="AP285" s="4" t="s">
        <v>3128</v>
      </c>
      <c r="AQ285" s="4" t="s">
        <v>3129</v>
      </c>
      <c r="AR285" s="4" t="s">
        <v>3130</v>
      </c>
    </row>
    <row r="286" spans="1:44" x14ac:dyDescent="0.2">
      <c r="A286" s="4" t="s">
        <v>225</v>
      </c>
      <c r="B286" s="4" t="s">
        <v>195</v>
      </c>
      <c r="C286">
        <v>1</v>
      </c>
      <c r="F286">
        <v>2</v>
      </c>
      <c r="I286" s="4" t="s">
        <v>3131</v>
      </c>
      <c r="J286" s="4" t="s">
        <v>47</v>
      </c>
      <c r="K286" s="4" t="s">
        <v>3132</v>
      </c>
      <c r="L286" s="4" t="s">
        <v>47</v>
      </c>
      <c r="M286">
        <v>43000</v>
      </c>
      <c r="N286" s="4" t="s">
        <v>2966</v>
      </c>
      <c r="O286" s="4" t="s">
        <v>47</v>
      </c>
      <c r="P286" s="4" t="s">
        <v>811</v>
      </c>
      <c r="Q286" s="9">
        <v>38888</v>
      </c>
      <c r="R286" s="4" t="s">
        <v>664</v>
      </c>
      <c r="S286" s="4" t="s">
        <v>47</v>
      </c>
      <c r="T286" s="4" t="s">
        <v>47</v>
      </c>
      <c r="U286" s="4" t="s">
        <v>92</v>
      </c>
      <c r="V286">
        <v>2006</v>
      </c>
      <c r="W286" s="4" t="s">
        <v>3133</v>
      </c>
      <c r="X286" s="4" t="s">
        <v>3134</v>
      </c>
      <c r="Y286" s="4" t="s">
        <v>3135</v>
      </c>
      <c r="Z286" s="4" t="s">
        <v>3136</v>
      </c>
      <c r="AA286" s="4" t="s">
        <v>47</v>
      </c>
      <c r="AB286" s="4" t="s">
        <v>47</v>
      </c>
      <c r="AC286" s="4" t="s">
        <v>47</v>
      </c>
      <c r="AD286" s="4" t="s">
        <v>47</v>
      </c>
      <c r="AE286" s="4" t="s">
        <v>47</v>
      </c>
      <c r="AF286" s="4" t="s">
        <v>47</v>
      </c>
      <c r="AG286" s="4" t="s">
        <v>47</v>
      </c>
      <c r="AH286" s="4" t="s">
        <v>47</v>
      </c>
      <c r="AI286" s="4" t="s">
        <v>47</v>
      </c>
      <c r="AJ286" s="4" t="s">
        <v>47</v>
      </c>
      <c r="AK286" s="4" t="s">
        <v>47</v>
      </c>
      <c r="AL286" s="4" t="s">
        <v>47</v>
      </c>
      <c r="AM286" s="4" t="s">
        <v>47</v>
      </c>
      <c r="AN286" s="4" t="s">
        <v>47</v>
      </c>
      <c r="AO286" s="4" t="s">
        <v>3137</v>
      </c>
      <c r="AP286" s="4" t="s">
        <v>3138</v>
      </c>
      <c r="AQ286" s="4" t="s">
        <v>3139</v>
      </c>
      <c r="AR286" s="4" t="s">
        <v>3140</v>
      </c>
    </row>
    <row r="287" spans="1:44" x14ac:dyDescent="0.2">
      <c r="A287" s="4" t="s">
        <v>171</v>
      </c>
      <c r="B287" s="4" t="s">
        <v>92</v>
      </c>
      <c r="C287">
        <v>0</v>
      </c>
      <c r="F287">
        <v>3</v>
      </c>
      <c r="I287" s="4" t="s">
        <v>874</v>
      </c>
      <c r="J287" s="4" t="s">
        <v>47</v>
      </c>
      <c r="K287" s="4" t="s">
        <v>1934</v>
      </c>
      <c r="L287" s="4" t="s">
        <v>47</v>
      </c>
      <c r="M287">
        <v>72000</v>
      </c>
      <c r="N287" s="4" t="s">
        <v>2883</v>
      </c>
      <c r="O287" s="4" t="s">
        <v>47</v>
      </c>
      <c r="P287" s="4" t="s">
        <v>811</v>
      </c>
      <c r="Q287" s="9">
        <v>38888</v>
      </c>
      <c r="R287" s="4" t="s">
        <v>973</v>
      </c>
      <c r="S287" s="4" t="s">
        <v>47</v>
      </c>
      <c r="T287" s="4" t="s">
        <v>47</v>
      </c>
      <c r="U287" s="4" t="s">
        <v>92</v>
      </c>
      <c r="V287">
        <v>2006</v>
      </c>
      <c r="W287" s="4" t="s">
        <v>47</v>
      </c>
      <c r="X287" s="4" t="s">
        <v>3141</v>
      </c>
      <c r="Y287" s="4" t="s">
        <v>47</v>
      </c>
      <c r="Z287" s="4" t="s">
        <v>3142</v>
      </c>
      <c r="AA287" s="4" t="s">
        <v>47</v>
      </c>
      <c r="AB287" s="4" t="s">
        <v>47</v>
      </c>
      <c r="AC287" s="4" t="s">
        <v>47</v>
      </c>
      <c r="AD287" s="4" t="s">
        <v>47</v>
      </c>
      <c r="AE287" s="4" t="s">
        <v>47</v>
      </c>
      <c r="AF287" s="4" t="s">
        <v>47</v>
      </c>
      <c r="AG287" s="4" t="s">
        <v>47</v>
      </c>
      <c r="AH287" s="4" t="s">
        <v>47</v>
      </c>
      <c r="AI287" s="4" t="s">
        <v>47</v>
      </c>
      <c r="AJ287" s="4" t="s">
        <v>47</v>
      </c>
      <c r="AK287" s="4" t="s">
        <v>47</v>
      </c>
      <c r="AL287" s="4" t="s">
        <v>47</v>
      </c>
      <c r="AM287" s="4" t="s">
        <v>47</v>
      </c>
      <c r="AN287" s="4" t="s">
        <v>47</v>
      </c>
      <c r="AO287" s="4" t="s">
        <v>3143</v>
      </c>
      <c r="AP287" s="4" t="s">
        <v>3144</v>
      </c>
      <c r="AQ287" s="4" t="s">
        <v>3145</v>
      </c>
      <c r="AR287" s="4" t="s">
        <v>3146</v>
      </c>
    </row>
    <row r="288" spans="1:44" x14ac:dyDescent="0.2">
      <c r="A288" s="4" t="s">
        <v>202</v>
      </c>
      <c r="B288" s="4" t="s">
        <v>323</v>
      </c>
      <c r="C288">
        <v>2</v>
      </c>
      <c r="F288">
        <v>0</v>
      </c>
      <c r="I288" s="4" t="s">
        <v>3147</v>
      </c>
      <c r="J288" s="4" t="s">
        <v>47</v>
      </c>
      <c r="K288" s="4" t="s">
        <v>3148</v>
      </c>
      <c r="L288" s="4" t="s">
        <v>47</v>
      </c>
      <c r="M288">
        <v>46000</v>
      </c>
      <c r="N288" s="4" t="s">
        <v>2975</v>
      </c>
      <c r="O288" s="4" t="s">
        <v>47</v>
      </c>
      <c r="P288" s="4" t="s">
        <v>811</v>
      </c>
      <c r="Q288" s="9">
        <v>38888</v>
      </c>
      <c r="R288" s="4" t="s">
        <v>630</v>
      </c>
      <c r="S288" s="4" t="s">
        <v>47</v>
      </c>
      <c r="T288" s="4" t="s">
        <v>47</v>
      </c>
      <c r="U288" s="4" t="s">
        <v>92</v>
      </c>
      <c r="V288">
        <v>2006</v>
      </c>
      <c r="W288" s="4" t="s">
        <v>3149</v>
      </c>
      <c r="X288" s="4" t="s">
        <v>47</v>
      </c>
      <c r="Y288" s="4" t="s">
        <v>3150</v>
      </c>
      <c r="Z288" s="4" t="s">
        <v>47</v>
      </c>
      <c r="AA288" s="4" t="s">
        <v>3151</v>
      </c>
      <c r="AB288" s="4" t="s">
        <v>47</v>
      </c>
      <c r="AC288" s="4" t="s">
        <v>47</v>
      </c>
      <c r="AD288" s="4" t="s">
        <v>47</v>
      </c>
      <c r="AE288" s="4" t="s">
        <v>47</v>
      </c>
      <c r="AF288" s="4" t="s">
        <v>47</v>
      </c>
      <c r="AG288" s="4" t="s">
        <v>47</v>
      </c>
      <c r="AH288" s="4" t="s">
        <v>47</v>
      </c>
      <c r="AI288" s="4" t="s">
        <v>47</v>
      </c>
      <c r="AJ288" s="4" t="s">
        <v>47</v>
      </c>
      <c r="AK288" s="4" t="s">
        <v>47</v>
      </c>
      <c r="AL288" s="4" t="s">
        <v>47</v>
      </c>
      <c r="AM288" s="4" t="s">
        <v>47</v>
      </c>
      <c r="AN288" s="4" t="s">
        <v>47</v>
      </c>
      <c r="AO288" s="4" t="s">
        <v>3152</v>
      </c>
      <c r="AP288" s="4" t="s">
        <v>3153</v>
      </c>
      <c r="AQ288" s="4" t="s">
        <v>3154</v>
      </c>
      <c r="AR288" s="4" t="s">
        <v>3155</v>
      </c>
    </row>
    <row r="289" spans="1:44" x14ac:dyDescent="0.2">
      <c r="A289" s="4" t="s">
        <v>116</v>
      </c>
      <c r="B289" s="4" t="s">
        <v>52</v>
      </c>
      <c r="C289">
        <v>2</v>
      </c>
      <c r="F289">
        <v>2</v>
      </c>
      <c r="I289" s="4" t="s">
        <v>2655</v>
      </c>
      <c r="J289" s="4" t="s">
        <v>47</v>
      </c>
      <c r="K289" s="4" t="s">
        <v>2558</v>
      </c>
      <c r="L289" s="4" t="s">
        <v>47</v>
      </c>
      <c r="M289">
        <v>45000</v>
      </c>
      <c r="N289" s="4" t="s">
        <v>2983</v>
      </c>
      <c r="O289" s="4" t="s">
        <v>47</v>
      </c>
      <c r="P289" s="4" t="s">
        <v>811</v>
      </c>
      <c r="Q289" s="9">
        <v>38888</v>
      </c>
      <c r="R289" s="4" t="s">
        <v>1487</v>
      </c>
      <c r="S289" s="4" t="s">
        <v>47</v>
      </c>
      <c r="T289" s="4" t="s">
        <v>47</v>
      </c>
      <c r="U289" s="4" t="s">
        <v>92</v>
      </c>
      <c r="V289">
        <v>2006</v>
      </c>
      <c r="W289" s="4" t="s">
        <v>3156</v>
      </c>
      <c r="X289" s="4" t="s">
        <v>3157</v>
      </c>
      <c r="Y289" s="4" t="s">
        <v>3158</v>
      </c>
      <c r="Z289" s="4" t="s">
        <v>3159</v>
      </c>
      <c r="AA289" s="4" t="s">
        <v>47</v>
      </c>
      <c r="AB289" s="4" t="s">
        <v>47</v>
      </c>
      <c r="AC289" s="4" t="s">
        <v>47</v>
      </c>
      <c r="AD289" s="4" t="s">
        <v>47</v>
      </c>
      <c r="AE289" s="4" t="s">
        <v>47</v>
      </c>
      <c r="AF289" s="4" t="s">
        <v>47</v>
      </c>
      <c r="AG289" s="4" t="s">
        <v>47</v>
      </c>
      <c r="AH289" s="4" t="s">
        <v>47</v>
      </c>
      <c r="AI289" s="4" t="s">
        <v>47</v>
      </c>
      <c r="AJ289" s="4" t="s">
        <v>47</v>
      </c>
      <c r="AK289" s="4" t="s">
        <v>47</v>
      </c>
      <c r="AL289" s="4" t="s">
        <v>47</v>
      </c>
      <c r="AM289" s="4" t="s">
        <v>47</v>
      </c>
      <c r="AN289" s="4" t="s">
        <v>47</v>
      </c>
      <c r="AO289" s="4" t="s">
        <v>3160</v>
      </c>
      <c r="AP289" s="4" t="s">
        <v>3161</v>
      </c>
      <c r="AQ289" s="4" t="s">
        <v>3162</v>
      </c>
      <c r="AR289" s="4" t="s">
        <v>3163</v>
      </c>
    </row>
    <row r="290" spans="1:44" x14ac:dyDescent="0.2">
      <c r="A290" s="4" t="s">
        <v>361</v>
      </c>
      <c r="B290" s="4" t="s">
        <v>118</v>
      </c>
      <c r="C290">
        <v>0</v>
      </c>
      <c r="F290">
        <v>2</v>
      </c>
      <c r="I290" s="4" t="s">
        <v>3039</v>
      </c>
      <c r="J290" s="4" t="s">
        <v>47</v>
      </c>
      <c r="K290" s="4" t="s">
        <v>2982</v>
      </c>
      <c r="L290" s="4" t="s">
        <v>47</v>
      </c>
      <c r="M290">
        <v>65000</v>
      </c>
      <c r="N290" s="4" t="s">
        <v>2912</v>
      </c>
      <c r="O290" s="4" t="s">
        <v>47</v>
      </c>
      <c r="P290" s="4" t="s">
        <v>811</v>
      </c>
      <c r="Q290" s="9">
        <v>38887</v>
      </c>
      <c r="R290" s="4" t="s">
        <v>824</v>
      </c>
      <c r="S290" s="4" t="s">
        <v>47</v>
      </c>
      <c r="T290" s="4" t="s">
        <v>47</v>
      </c>
      <c r="U290" s="4" t="s">
        <v>92</v>
      </c>
      <c r="V290">
        <v>2006</v>
      </c>
      <c r="W290" s="4" t="s">
        <v>47</v>
      </c>
      <c r="X290" s="4" t="s">
        <v>3164</v>
      </c>
      <c r="Y290" s="4" t="s">
        <v>47</v>
      </c>
      <c r="Z290" s="4" t="s">
        <v>3165</v>
      </c>
      <c r="AA290" s="4" t="s">
        <v>47</v>
      </c>
      <c r="AB290" s="4" t="s">
        <v>47</v>
      </c>
      <c r="AC290" s="4" t="s">
        <v>47</v>
      </c>
      <c r="AD290" s="4" t="s">
        <v>47</v>
      </c>
      <c r="AE290" s="4" t="s">
        <v>47</v>
      </c>
      <c r="AF290" s="4" t="s">
        <v>47</v>
      </c>
      <c r="AG290" s="4" t="s">
        <v>47</v>
      </c>
      <c r="AH290" s="4" t="s">
        <v>47</v>
      </c>
      <c r="AI290" s="4" t="s">
        <v>47</v>
      </c>
      <c r="AJ290" s="4" t="s">
        <v>47</v>
      </c>
      <c r="AK290" s="4" t="s">
        <v>47</v>
      </c>
      <c r="AL290" s="4" t="s">
        <v>47</v>
      </c>
      <c r="AM290" s="4" t="s">
        <v>47</v>
      </c>
      <c r="AN290" s="4" t="s">
        <v>47</v>
      </c>
      <c r="AO290" s="4" t="s">
        <v>3166</v>
      </c>
      <c r="AP290" s="4" t="s">
        <v>47</v>
      </c>
      <c r="AQ290" s="4" t="s">
        <v>3167</v>
      </c>
      <c r="AR290" s="4" t="s">
        <v>3168</v>
      </c>
    </row>
    <row r="291" spans="1:44" x14ac:dyDescent="0.2">
      <c r="A291" s="4" t="s">
        <v>240</v>
      </c>
      <c r="B291" s="4" t="s">
        <v>188</v>
      </c>
      <c r="C291">
        <v>0</v>
      </c>
      <c r="F291">
        <v>4</v>
      </c>
      <c r="I291" s="4" t="s">
        <v>3025</v>
      </c>
      <c r="J291" s="4" t="s">
        <v>47</v>
      </c>
      <c r="K291" s="4" t="s">
        <v>2951</v>
      </c>
      <c r="L291" s="4" t="s">
        <v>47</v>
      </c>
      <c r="M291">
        <v>50000</v>
      </c>
      <c r="N291" s="4" t="s">
        <v>2952</v>
      </c>
      <c r="O291" s="4" t="s">
        <v>47</v>
      </c>
      <c r="P291" s="4" t="s">
        <v>811</v>
      </c>
      <c r="Q291" s="9">
        <v>38887</v>
      </c>
      <c r="R291" s="4" t="s">
        <v>2269</v>
      </c>
      <c r="S291" s="4" t="s">
        <v>47</v>
      </c>
      <c r="T291" s="4" t="s">
        <v>47</v>
      </c>
      <c r="U291" s="4" t="s">
        <v>92</v>
      </c>
      <c r="V291">
        <v>2006</v>
      </c>
      <c r="W291" s="4" t="s">
        <v>47</v>
      </c>
      <c r="X291" s="4" t="s">
        <v>3169</v>
      </c>
      <c r="Y291" s="4" t="s">
        <v>47</v>
      </c>
      <c r="Z291" s="4" t="s">
        <v>3170</v>
      </c>
      <c r="AA291" s="4" t="s">
        <v>47</v>
      </c>
      <c r="AB291" s="4" t="s">
        <v>47</v>
      </c>
      <c r="AC291" s="4" t="s">
        <v>47</v>
      </c>
      <c r="AD291" s="4" t="s">
        <v>47</v>
      </c>
      <c r="AE291" s="4" t="s">
        <v>47</v>
      </c>
      <c r="AF291" s="4" t="s">
        <v>47</v>
      </c>
      <c r="AG291" s="4" t="s">
        <v>47</v>
      </c>
      <c r="AH291" s="4" t="s">
        <v>47</v>
      </c>
      <c r="AI291" s="4" t="s">
        <v>47</v>
      </c>
      <c r="AJ291" s="4" t="s">
        <v>47</v>
      </c>
      <c r="AK291" s="4" t="s">
        <v>47</v>
      </c>
      <c r="AL291" s="4" t="s">
        <v>47</v>
      </c>
      <c r="AM291" s="4" t="s">
        <v>47</v>
      </c>
      <c r="AN291" s="4" t="s">
        <v>47</v>
      </c>
      <c r="AO291" s="4" t="s">
        <v>3171</v>
      </c>
      <c r="AP291" s="4" t="s">
        <v>3172</v>
      </c>
      <c r="AQ291" s="4" t="s">
        <v>3173</v>
      </c>
      <c r="AR291" s="4" t="s">
        <v>3174</v>
      </c>
    </row>
    <row r="292" spans="1:44" x14ac:dyDescent="0.2">
      <c r="A292" s="4" t="s">
        <v>20</v>
      </c>
      <c r="B292" s="4" t="s">
        <v>213</v>
      </c>
      <c r="C292">
        <v>3</v>
      </c>
      <c r="F292">
        <v>1</v>
      </c>
      <c r="I292" s="4" t="s">
        <v>2965</v>
      </c>
      <c r="J292" s="4" t="s">
        <v>47</v>
      </c>
      <c r="K292" s="4" t="s">
        <v>3032</v>
      </c>
      <c r="L292" s="4" t="s">
        <v>47</v>
      </c>
      <c r="M292">
        <v>52000</v>
      </c>
      <c r="N292" s="4" t="s">
        <v>2896</v>
      </c>
      <c r="O292" s="4" t="s">
        <v>47</v>
      </c>
      <c r="P292" s="4" t="s">
        <v>811</v>
      </c>
      <c r="Q292" s="9">
        <v>38887</v>
      </c>
      <c r="R292" s="4" t="s">
        <v>770</v>
      </c>
      <c r="S292" s="4" t="s">
        <v>47</v>
      </c>
      <c r="T292" s="4" t="s">
        <v>47</v>
      </c>
      <c r="U292" s="4" t="s">
        <v>92</v>
      </c>
      <c r="V292">
        <v>2006</v>
      </c>
      <c r="W292" s="4" t="s">
        <v>3175</v>
      </c>
      <c r="X292" s="4" t="s">
        <v>3176</v>
      </c>
      <c r="Y292" s="4" t="s">
        <v>3177</v>
      </c>
      <c r="Z292" s="4" t="s">
        <v>3178</v>
      </c>
      <c r="AA292" s="4" t="s">
        <v>47</v>
      </c>
      <c r="AB292" s="4" t="s">
        <v>47</v>
      </c>
      <c r="AC292" s="4" t="s">
        <v>3179</v>
      </c>
      <c r="AD292" s="4" t="s">
        <v>47</v>
      </c>
      <c r="AE292" s="4" t="s">
        <v>47</v>
      </c>
      <c r="AF292" s="4" t="s">
        <v>47</v>
      </c>
      <c r="AG292" s="4" t="s">
        <v>47</v>
      </c>
      <c r="AH292" s="4" t="s">
        <v>47</v>
      </c>
      <c r="AI292" s="4" t="s">
        <v>47</v>
      </c>
      <c r="AJ292" s="4" t="s">
        <v>47</v>
      </c>
      <c r="AK292" s="4" t="s">
        <v>47</v>
      </c>
      <c r="AL292" s="4" t="s">
        <v>47</v>
      </c>
      <c r="AM292" s="4" t="s">
        <v>47</v>
      </c>
      <c r="AN292" s="4" t="s">
        <v>47</v>
      </c>
      <c r="AO292" s="4" t="s">
        <v>3180</v>
      </c>
      <c r="AP292" s="4" t="s">
        <v>3181</v>
      </c>
      <c r="AQ292" s="4" t="s">
        <v>3182</v>
      </c>
      <c r="AR292" s="4" t="s">
        <v>3183</v>
      </c>
    </row>
    <row r="293" spans="1:44" x14ac:dyDescent="0.2">
      <c r="A293" s="4" t="s">
        <v>161</v>
      </c>
      <c r="B293" s="4" t="s">
        <v>90</v>
      </c>
      <c r="C293">
        <v>0</v>
      </c>
      <c r="F293">
        <v>0</v>
      </c>
      <c r="I293" s="4" t="s">
        <v>3072</v>
      </c>
      <c r="J293" s="4" t="s">
        <v>47</v>
      </c>
      <c r="K293" s="4" t="s">
        <v>3081</v>
      </c>
      <c r="L293" s="4" t="s">
        <v>47</v>
      </c>
      <c r="M293">
        <v>41000</v>
      </c>
      <c r="N293" s="4" t="s">
        <v>2999</v>
      </c>
      <c r="O293" s="4" t="s">
        <v>47</v>
      </c>
      <c r="P293" s="4" t="s">
        <v>811</v>
      </c>
      <c r="Q293" s="9">
        <v>38886</v>
      </c>
      <c r="R293" s="4" t="s">
        <v>869</v>
      </c>
      <c r="S293" s="4" t="s">
        <v>47</v>
      </c>
      <c r="T293" s="4" t="s">
        <v>47</v>
      </c>
      <c r="U293" s="4" t="s">
        <v>92</v>
      </c>
      <c r="V293">
        <v>2006</v>
      </c>
      <c r="W293" s="4" t="s">
        <v>47</v>
      </c>
      <c r="X293" s="4" t="s">
        <v>47</v>
      </c>
      <c r="Y293" s="4" t="s">
        <v>47</v>
      </c>
      <c r="Z293" s="4" t="s">
        <v>47</v>
      </c>
      <c r="AA293" s="4" t="s">
        <v>47</v>
      </c>
      <c r="AB293" s="4" t="s">
        <v>47</v>
      </c>
      <c r="AC293" s="4" t="s">
        <v>47</v>
      </c>
      <c r="AD293" s="4" t="s">
        <v>47</v>
      </c>
      <c r="AE293" s="4" t="s">
        <v>47</v>
      </c>
      <c r="AF293" s="4" t="s">
        <v>47</v>
      </c>
      <c r="AG293" s="4" t="s">
        <v>47</v>
      </c>
      <c r="AH293" s="4" t="s">
        <v>47</v>
      </c>
      <c r="AI293" s="4" t="s">
        <v>47</v>
      </c>
      <c r="AJ293" s="4" t="s">
        <v>47</v>
      </c>
      <c r="AK293" s="4" t="s">
        <v>47</v>
      </c>
      <c r="AL293" s="4" t="s">
        <v>47</v>
      </c>
      <c r="AM293" s="4" t="s">
        <v>47</v>
      </c>
      <c r="AN293" s="4" t="s">
        <v>47</v>
      </c>
      <c r="AO293" s="4" t="s">
        <v>3184</v>
      </c>
      <c r="AP293" s="4" t="s">
        <v>3185</v>
      </c>
      <c r="AQ293" s="4" t="s">
        <v>3186</v>
      </c>
      <c r="AR293" s="4" t="s">
        <v>3187</v>
      </c>
    </row>
    <row r="294" spans="1:44" x14ac:dyDescent="0.2">
      <c r="A294" s="4" t="s">
        <v>12</v>
      </c>
      <c r="B294" s="4" t="s">
        <v>179</v>
      </c>
      <c r="C294">
        <v>2</v>
      </c>
      <c r="F294">
        <v>0</v>
      </c>
      <c r="I294" s="4" t="s">
        <v>2646</v>
      </c>
      <c r="J294" s="4" t="s">
        <v>47</v>
      </c>
      <c r="K294" s="4" t="s">
        <v>2974</v>
      </c>
      <c r="L294" s="4" t="s">
        <v>47</v>
      </c>
      <c r="M294">
        <v>66000</v>
      </c>
      <c r="N294" s="4" t="s">
        <v>2906</v>
      </c>
      <c r="O294" s="4" t="s">
        <v>47</v>
      </c>
      <c r="P294" s="4" t="s">
        <v>811</v>
      </c>
      <c r="Q294" s="9">
        <v>38886</v>
      </c>
      <c r="R294" s="4" t="s">
        <v>630</v>
      </c>
      <c r="S294" s="4" t="s">
        <v>47</v>
      </c>
      <c r="T294" s="4" t="s">
        <v>47</v>
      </c>
      <c r="U294" s="4" t="s">
        <v>92</v>
      </c>
      <c r="V294">
        <v>2006</v>
      </c>
      <c r="W294" s="4" t="s">
        <v>3188</v>
      </c>
      <c r="X294" s="4" t="s">
        <v>47</v>
      </c>
      <c r="Y294" s="4" t="s">
        <v>3189</v>
      </c>
      <c r="Z294" s="4" t="s">
        <v>47</v>
      </c>
      <c r="AA294" s="4" t="s">
        <v>47</v>
      </c>
      <c r="AB294" s="4" t="s">
        <v>47</v>
      </c>
      <c r="AC294" s="4" t="s">
        <v>47</v>
      </c>
      <c r="AD294" s="4" t="s">
        <v>47</v>
      </c>
      <c r="AE294" s="4" t="s">
        <v>47</v>
      </c>
      <c r="AF294" s="4" t="s">
        <v>47</v>
      </c>
      <c r="AG294" s="4" t="s">
        <v>47</v>
      </c>
      <c r="AH294" s="4" t="s">
        <v>47</v>
      </c>
      <c r="AI294" s="4" t="s">
        <v>47</v>
      </c>
      <c r="AJ294" s="4" t="s">
        <v>47</v>
      </c>
      <c r="AK294" s="4" t="s">
        <v>47</v>
      </c>
      <c r="AL294" s="4" t="s">
        <v>47</v>
      </c>
      <c r="AM294" s="4" t="s">
        <v>47</v>
      </c>
      <c r="AN294" s="4" t="s">
        <v>47</v>
      </c>
      <c r="AO294" s="4" t="s">
        <v>3190</v>
      </c>
      <c r="AP294" s="4" t="s">
        <v>3191</v>
      </c>
      <c r="AQ294" s="4" t="s">
        <v>3192</v>
      </c>
      <c r="AR294" s="4" t="s">
        <v>3193</v>
      </c>
    </row>
    <row r="295" spans="1:44" x14ac:dyDescent="0.2">
      <c r="A295" s="4" t="s">
        <v>87</v>
      </c>
      <c r="B295" s="4" t="s">
        <v>175</v>
      </c>
      <c r="C295">
        <v>1</v>
      </c>
      <c r="F295">
        <v>1</v>
      </c>
      <c r="I295" s="4" t="s">
        <v>2645</v>
      </c>
      <c r="J295" s="4" t="s">
        <v>47</v>
      </c>
      <c r="K295" s="4" t="s">
        <v>3046</v>
      </c>
      <c r="L295" s="4" t="s">
        <v>47</v>
      </c>
      <c r="M295">
        <v>43000</v>
      </c>
      <c r="N295" s="4" t="s">
        <v>3016</v>
      </c>
      <c r="O295" s="4" t="s">
        <v>47</v>
      </c>
      <c r="P295" s="4" t="s">
        <v>811</v>
      </c>
      <c r="Q295" s="9">
        <v>38886</v>
      </c>
      <c r="R295" s="4" t="s">
        <v>1046</v>
      </c>
      <c r="S295" s="4" t="s">
        <v>47</v>
      </c>
      <c r="T295" s="4" t="s">
        <v>47</v>
      </c>
      <c r="U295" s="4" t="s">
        <v>92</v>
      </c>
      <c r="V295">
        <v>2006</v>
      </c>
      <c r="W295" s="4" t="s">
        <v>3194</v>
      </c>
      <c r="X295" s="4" t="s">
        <v>3195</v>
      </c>
      <c r="Y295" s="4" t="s">
        <v>3196</v>
      </c>
      <c r="Z295" s="4" t="s">
        <v>3197</v>
      </c>
      <c r="AA295" s="4" t="s">
        <v>47</v>
      </c>
      <c r="AB295" s="4" t="s">
        <v>47</v>
      </c>
      <c r="AC295" s="4" t="s">
        <v>47</v>
      </c>
      <c r="AD295" s="4" t="s">
        <v>47</v>
      </c>
      <c r="AE295" s="4" t="s">
        <v>47</v>
      </c>
      <c r="AF295" s="4" t="s">
        <v>47</v>
      </c>
      <c r="AG295" s="4" t="s">
        <v>47</v>
      </c>
      <c r="AH295" s="4" t="s">
        <v>47</v>
      </c>
      <c r="AI295" s="4" t="s">
        <v>47</v>
      </c>
      <c r="AJ295" s="4" t="s">
        <v>47</v>
      </c>
      <c r="AK295" s="4" t="s">
        <v>47</v>
      </c>
      <c r="AL295" s="4" t="s">
        <v>47</v>
      </c>
      <c r="AM295" s="4" t="s">
        <v>47</v>
      </c>
      <c r="AN295" s="4" t="s">
        <v>47</v>
      </c>
      <c r="AO295" s="4" t="s">
        <v>3198</v>
      </c>
      <c r="AP295" s="4" t="s">
        <v>3199</v>
      </c>
      <c r="AQ295" s="4" t="s">
        <v>3200</v>
      </c>
      <c r="AR295" s="4" t="s">
        <v>3201</v>
      </c>
    </row>
    <row r="296" spans="1:44" x14ac:dyDescent="0.2">
      <c r="A296" s="4" t="s">
        <v>141</v>
      </c>
      <c r="B296" s="4" t="s">
        <v>165</v>
      </c>
      <c r="C296">
        <v>2</v>
      </c>
      <c r="F296">
        <v>0</v>
      </c>
      <c r="I296" s="4" t="s">
        <v>1857</v>
      </c>
      <c r="J296" s="4" t="s">
        <v>47</v>
      </c>
      <c r="K296" s="4" t="s">
        <v>3103</v>
      </c>
      <c r="L296" s="4" t="s">
        <v>47</v>
      </c>
      <c r="M296">
        <v>48000</v>
      </c>
      <c r="N296" s="4" t="s">
        <v>2931</v>
      </c>
      <c r="O296" s="4" t="s">
        <v>47</v>
      </c>
      <c r="P296" s="4" t="s">
        <v>811</v>
      </c>
      <c r="Q296" s="9">
        <v>38885</v>
      </c>
      <c r="R296" s="4" t="s">
        <v>630</v>
      </c>
      <c r="S296" s="4" t="s">
        <v>47</v>
      </c>
      <c r="T296" s="4" t="s">
        <v>47</v>
      </c>
      <c r="U296" s="4" t="s">
        <v>92</v>
      </c>
      <c r="V296">
        <v>2006</v>
      </c>
      <c r="W296" s="4" t="s">
        <v>3202</v>
      </c>
      <c r="X296" s="4" t="s">
        <v>47</v>
      </c>
      <c r="Y296" s="4" t="s">
        <v>3203</v>
      </c>
      <c r="Z296" s="4" t="s">
        <v>47</v>
      </c>
      <c r="AA296" s="4" t="s">
        <v>47</v>
      </c>
      <c r="AB296" s="4" t="s">
        <v>47</v>
      </c>
      <c r="AC296" s="4" t="s">
        <v>3204</v>
      </c>
      <c r="AD296" s="4" t="s">
        <v>47</v>
      </c>
      <c r="AE296" s="4" t="s">
        <v>47</v>
      </c>
      <c r="AF296" s="4" t="s">
        <v>47</v>
      </c>
      <c r="AG296" s="4" t="s">
        <v>47</v>
      </c>
      <c r="AH296" s="4" t="s">
        <v>47</v>
      </c>
      <c r="AI296" s="4" t="s">
        <v>47</v>
      </c>
      <c r="AJ296" s="4" t="s">
        <v>47</v>
      </c>
      <c r="AK296" s="4" t="s">
        <v>47</v>
      </c>
      <c r="AL296" s="4" t="s">
        <v>47</v>
      </c>
      <c r="AM296" s="4" t="s">
        <v>47</v>
      </c>
      <c r="AN296" s="4" t="s">
        <v>47</v>
      </c>
      <c r="AO296" s="4" t="s">
        <v>3205</v>
      </c>
      <c r="AP296" s="4" t="s">
        <v>3206</v>
      </c>
      <c r="AQ296" s="4" t="s">
        <v>3207</v>
      </c>
      <c r="AR296" s="4" t="s">
        <v>3208</v>
      </c>
    </row>
    <row r="297" spans="1:44" x14ac:dyDescent="0.2">
      <c r="A297" s="4" t="s">
        <v>3063</v>
      </c>
      <c r="B297" s="4" t="s">
        <v>264</v>
      </c>
      <c r="C297">
        <v>0</v>
      </c>
      <c r="F297">
        <v>2</v>
      </c>
      <c r="I297" s="4" t="s">
        <v>3064</v>
      </c>
      <c r="J297" s="4" t="s">
        <v>47</v>
      </c>
      <c r="K297" s="4" t="s">
        <v>2958</v>
      </c>
      <c r="L297" s="4" t="s">
        <v>47</v>
      </c>
      <c r="M297">
        <v>45000</v>
      </c>
      <c r="N297" s="4" t="s">
        <v>2983</v>
      </c>
      <c r="O297" s="4" t="s">
        <v>47</v>
      </c>
      <c r="P297" s="4" t="s">
        <v>811</v>
      </c>
      <c r="Q297" s="9">
        <v>38885</v>
      </c>
      <c r="R297" s="4" t="s">
        <v>824</v>
      </c>
      <c r="S297" s="4" t="s">
        <v>47</v>
      </c>
      <c r="T297" s="4" t="s">
        <v>47</v>
      </c>
      <c r="U297" s="4" t="s">
        <v>92</v>
      </c>
      <c r="V297">
        <v>2006</v>
      </c>
      <c r="W297" s="4" t="s">
        <v>47</v>
      </c>
      <c r="X297" s="4" t="s">
        <v>3209</v>
      </c>
      <c r="Y297" s="4" t="s">
        <v>47</v>
      </c>
      <c r="Z297" s="4" t="s">
        <v>3210</v>
      </c>
      <c r="AA297" s="4" t="s">
        <v>47</v>
      </c>
      <c r="AB297" s="4" t="s">
        <v>47</v>
      </c>
      <c r="AC297" s="4" t="s">
        <v>47</v>
      </c>
      <c r="AD297" s="4" t="s">
        <v>47</v>
      </c>
      <c r="AE297" s="4" t="s">
        <v>47</v>
      </c>
      <c r="AF297" s="4" t="s">
        <v>47</v>
      </c>
      <c r="AG297" s="4" t="s">
        <v>47</v>
      </c>
      <c r="AH297" s="4" t="s">
        <v>47</v>
      </c>
      <c r="AI297" s="4" t="s">
        <v>47</v>
      </c>
      <c r="AJ297" s="4" t="s">
        <v>47</v>
      </c>
      <c r="AK297" s="4" t="s">
        <v>3211</v>
      </c>
      <c r="AL297" s="4" t="s">
        <v>47</v>
      </c>
      <c r="AM297" s="4" t="s">
        <v>47</v>
      </c>
      <c r="AN297" s="4" t="s">
        <v>47</v>
      </c>
      <c r="AO297" s="4" t="s">
        <v>3212</v>
      </c>
      <c r="AP297" s="4" t="s">
        <v>3213</v>
      </c>
      <c r="AQ297" s="4" t="s">
        <v>3214</v>
      </c>
      <c r="AR297" s="4" t="s">
        <v>3215</v>
      </c>
    </row>
    <row r="298" spans="1:44" x14ac:dyDescent="0.2">
      <c r="A298" s="4" t="s">
        <v>97</v>
      </c>
      <c r="B298" s="4" t="s">
        <v>102</v>
      </c>
      <c r="C298">
        <v>1</v>
      </c>
      <c r="F298">
        <v>1</v>
      </c>
      <c r="I298" s="4" t="s">
        <v>2582</v>
      </c>
      <c r="J298" s="4" t="s">
        <v>47</v>
      </c>
      <c r="K298" s="4" t="s">
        <v>3053</v>
      </c>
      <c r="L298" s="4" t="s">
        <v>47</v>
      </c>
      <c r="M298">
        <v>46000</v>
      </c>
      <c r="N298" s="4" t="s">
        <v>2975</v>
      </c>
      <c r="O298" s="4" t="s">
        <v>47</v>
      </c>
      <c r="P298" s="4" t="s">
        <v>811</v>
      </c>
      <c r="Q298" s="9">
        <v>38885</v>
      </c>
      <c r="R298" s="4" t="s">
        <v>1046</v>
      </c>
      <c r="S298" s="4" t="s">
        <v>47</v>
      </c>
      <c r="T298" s="4" t="s">
        <v>47</v>
      </c>
      <c r="U298" s="4" t="s">
        <v>92</v>
      </c>
      <c r="V298">
        <v>2006</v>
      </c>
      <c r="W298" s="4" t="s">
        <v>3216</v>
      </c>
      <c r="X298" s="4" t="s">
        <v>47</v>
      </c>
      <c r="Y298" s="4" t="s">
        <v>3217</v>
      </c>
      <c r="Z298" s="4" t="s">
        <v>47</v>
      </c>
      <c r="AA298" s="4" t="s">
        <v>47</v>
      </c>
      <c r="AB298" s="4" t="s">
        <v>3218</v>
      </c>
      <c r="AC298" s="4" t="s">
        <v>47</v>
      </c>
      <c r="AD298" s="4" t="s">
        <v>47</v>
      </c>
      <c r="AE298" s="4" t="s">
        <v>47</v>
      </c>
      <c r="AF298" s="4" t="s">
        <v>47</v>
      </c>
      <c r="AG298" s="4" t="s">
        <v>47</v>
      </c>
      <c r="AH298" s="4" t="s">
        <v>47</v>
      </c>
      <c r="AI298" s="4" t="s">
        <v>47</v>
      </c>
      <c r="AJ298" s="4" t="s">
        <v>47</v>
      </c>
      <c r="AK298" s="4" t="s">
        <v>3219</v>
      </c>
      <c r="AL298" s="4" t="s">
        <v>3220</v>
      </c>
      <c r="AM298" s="4" t="s">
        <v>47</v>
      </c>
      <c r="AN298" s="4" t="s">
        <v>3221</v>
      </c>
      <c r="AO298" s="4" t="s">
        <v>3222</v>
      </c>
      <c r="AP298" s="4" t="s">
        <v>3223</v>
      </c>
      <c r="AQ298" s="4" t="s">
        <v>3224</v>
      </c>
      <c r="AR298" s="4" t="s">
        <v>3225</v>
      </c>
    </row>
    <row r="299" spans="1:44" x14ac:dyDescent="0.2">
      <c r="A299" s="4" t="s">
        <v>26</v>
      </c>
      <c r="B299" s="4" t="s">
        <v>3113</v>
      </c>
      <c r="C299">
        <v>6</v>
      </c>
      <c r="F299">
        <v>0</v>
      </c>
      <c r="I299" s="4" t="s">
        <v>2938</v>
      </c>
      <c r="J299" s="4" t="s">
        <v>47</v>
      </c>
      <c r="K299" s="4" t="s">
        <v>3115</v>
      </c>
      <c r="L299" s="4" t="s">
        <v>47</v>
      </c>
      <c r="M299">
        <v>52000</v>
      </c>
      <c r="N299" s="4" t="s">
        <v>2919</v>
      </c>
      <c r="O299" s="4" t="s">
        <v>47</v>
      </c>
      <c r="P299" s="4" t="s">
        <v>811</v>
      </c>
      <c r="Q299" s="9">
        <v>38884</v>
      </c>
      <c r="R299" s="4" t="s">
        <v>3226</v>
      </c>
      <c r="S299" s="4" t="s">
        <v>47</v>
      </c>
      <c r="T299" s="4" t="s">
        <v>47</v>
      </c>
      <c r="U299" s="4" t="s">
        <v>92</v>
      </c>
      <c r="V299">
        <v>2006</v>
      </c>
      <c r="W299" s="4" t="s">
        <v>3227</v>
      </c>
      <c r="X299" s="4" t="s">
        <v>47</v>
      </c>
      <c r="Y299" s="4" t="s">
        <v>3228</v>
      </c>
      <c r="Z299" s="4" t="s">
        <v>47</v>
      </c>
      <c r="AA299" s="4" t="s">
        <v>47</v>
      </c>
      <c r="AB299" s="4" t="s">
        <v>47</v>
      </c>
      <c r="AC299" s="4" t="s">
        <v>47</v>
      </c>
      <c r="AD299" s="4" t="s">
        <v>47</v>
      </c>
      <c r="AE299" s="4" t="s">
        <v>47</v>
      </c>
      <c r="AF299" s="4" t="s">
        <v>47</v>
      </c>
      <c r="AG299" s="4" t="s">
        <v>47</v>
      </c>
      <c r="AH299" s="4" t="s">
        <v>47</v>
      </c>
      <c r="AI299" s="4" t="s">
        <v>47</v>
      </c>
      <c r="AJ299" s="4" t="s">
        <v>47</v>
      </c>
      <c r="AK299" s="4" t="s">
        <v>47</v>
      </c>
      <c r="AL299" s="4" t="s">
        <v>3229</v>
      </c>
      <c r="AM299" s="4" t="s">
        <v>47</v>
      </c>
      <c r="AN299" s="4" t="s">
        <v>47</v>
      </c>
      <c r="AO299" s="4" t="s">
        <v>3230</v>
      </c>
      <c r="AP299" s="4" t="s">
        <v>3231</v>
      </c>
      <c r="AQ299" s="4" t="s">
        <v>3232</v>
      </c>
      <c r="AR299" s="4" t="s">
        <v>3233</v>
      </c>
    </row>
    <row r="300" spans="1:44" x14ac:dyDescent="0.2">
      <c r="A300" s="4" t="s">
        <v>95</v>
      </c>
      <c r="B300" s="4" t="s">
        <v>190</v>
      </c>
      <c r="C300">
        <v>2</v>
      </c>
      <c r="F300">
        <v>1</v>
      </c>
      <c r="I300" s="4" t="s">
        <v>2998</v>
      </c>
      <c r="J300" s="4" t="s">
        <v>47</v>
      </c>
      <c r="K300" s="4" t="s">
        <v>3114</v>
      </c>
      <c r="L300" s="4" t="s">
        <v>47</v>
      </c>
      <c r="M300">
        <v>52000</v>
      </c>
      <c r="N300" s="4" t="s">
        <v>2896</v>
      </c>
      <c r="O300" s="4" t="s">
        <v>47</v>
      </c>
      <c r="P300" s="4" t="s">
        <v>811</v>
      </c>
      <c r="Q300" s="9">
        <v>38884</v>
      </c>
      <c r="R300" s="4" t="s">
        <v>617</v>
      </c>
      <c r="S300" s="4" t="s">
        <v>47</v>
      </c>
      <c r="T300" s="4" t="s">
        <v>47</v>
      </c>
      <c r="U300" s="4" t="s">
        <v>92</v>
      </c>
      <c r="V300">
        <v>2006</v>
      </c>
      <c r="W300" s="4" t="s">
        <v>3234</v>
      </c>
      <c r="X300" s="4" t="s">
        <v>3235</v>
      </c>
      <c r="Y300" s="4" t="s">
        <v>3236</v>
      </c>
      <c r="Z300" s="4" t="s">
        <v>3237</v>
      </c>
      <c r="AA300" s="4" t="s">
        <v>47</v>
      </c>
      <c r="AB300" s="4" t="s">
        <v>47</v>
      </c>
      <c r="AC300" s="4" t="s">
        <v>47</v>
      </c>
      <c r="AD300" s="4" t="s">
        <v>47</v>
      </c>
      <c r="AE300" s="4" t="s">
        <v>47</v>
      </c>
      <c r="AF300" s="4" t="s">
        <v>47</v>
      </c>
      <c r="AG300" s="4" t="s">
        <v>47</v>
      </c>
      <c r="AH300" s="4" t="s">
        <v>47</v>
      </c>
      <c r="AI300" s="4" t="s">
        <v>47</v>
      </c>
      <c r="AJ300" s="4" t="s">
        <v>47</v>
      </c>
      <c r="AK300" s="4" t="s">
        <v>47</v>
      </c>
      <c r="AL300" s="4" t="s">
        <v>47</v>
      </c>
      <c r="AM300" s="4" t="s">
        <v>47</v>
      </c>
      <c r="AN300" s="4" t="s">
        <v>47</v>
      </c>
      <c r="AO300" s="4" t="s">
        <v>3238</v>
      </c>
      <c r="AP300" s="4" t="s">
        <v>3239</v>
      </c>
      <c r="AQ300" s="4" t="s">
        <v>3240</v>
      </c>
      <c r="AR300" s="4" t="s">
        <v>3241</v>
      </c>
    </row>
    <row r="301" spans="1:44" x14ac:dyDescent="0.2">
      <c r="A301" s="4" t="s">
        <v>106</v>
      </c>
      <c r="B301" s="4" t="s">
        <v>297</v>
      </c>
      <c r="C301">
        <v>0</v>
      </c>
      <c r="F301">
        <v>0</v>
      </c>
      <c r="I301" s="4" t="s">
        <v>3015</v>
      </c>
      <c r="J301" s="4" t="s">
        <v>47</v>
      </c>
      <c r="K301" s="4" t="s">
        <v>3104</v>
      </c>
      <c r="L301" s="4" t="s">
        <v>47</v>
      </c>
      <c r="M301">
        <v>43000</v>
      </c>
      <c r="N301" s="4" t="s">
        <v>2966</v>
      </c>
      <c r="O301" s="4" t="s">
        <v>47</v>
      </c>
      <c r="P301" s="4" t="s">
        <v>811</v>
      </c>
      <c r="Q301" s="9">
        <v>38884</v>
      </c>
      <c r="R301" s="4" t="s">
        <v>869</v>
      </c>
      <c r="S301" s="4" t="s">
        <v>47</v>
      </c>
      <c r="T301" s="4" t="s">
        <v>47</v>
      </c>
      <c r="U301" s="4" t="s">
        <v>92</v>
      </c>
      <c r="V301">
        <v>2006</v>
      </c>
      <c r="W301" s="4" t="s">
        <v>47</v>
      </c>
      <c r="X301" s="4" t="s">
        <v>47</v>
      </c>
      <c r="Y301" s="4" t="s">
        <v>47</v>
      </c>
      <c r="Z301" s="4" t="s">
        <v>47</v>
      </c>
      <c r="AA301" s="4" t="s">
        <v>47</v>
      </c>
      <c r="AB301" s="4" t="s">
        <v>47</v>
      </c>
      <c r="AC301" s="4" t="s">
        <v>47</v>
      </c>
      <c r="AD301" s="4" t="s">
        <v>47</v>
      </c>
      <c r="AE301" s="4" t="s">
        <v>47</v>
      </c>
      <c r="AF301" s="4" t="s">
        <v>47</v>
      </c>
      <c r="AG301" s="4" t="s">
        <v>47</v>
      </c>
      <c r="AH301" s="4" t="s">
        <v>47</v>
      </c>
      <c r="AI301" s="4" t="s">
        <v>47</v>
      </c>
      <c r="AJ301" s="4" t="s">
        <v>47</v>
      </c>
      <c r="AK301" s="4" t="s">
        <v>47</v>
      </c>
      <c r="AL301" s="4" t="s">
        <v>47</v>
      </c>
      <c r="AM301" s="4" t="s">
        <v>47</v>
      </c>
      <c r="AN301" s="4" t="s">
        <v>3242</v>
      </c>
      <c r="AO301" s="4" t="s">
        <v>3243</v>
      </c>
      <c r="AP301" s="4" t="s">
        <v>3244</v>
      </c>
      <c r="AQ301" s="4" t="s">
        <v>3245</v>
      </c>
      <c r="AR301" s="4" t="s">
        <v>3246</v>
      </c>
    </row>
    <row r="302" spans="1:44" x14ac:dyDescent="0.2">
      <c r="A302" s="4" t="s">
        <v>171</v>
      </c>
      <c r="B302" s="4" t="s">
        <v>225</v>
      </c>
      <c r="C302">
        <v>3</v>
      </c>
      <c r="F302">
        <v>0</v>
      </c>
      <c r="I302" s="4" t="s">
        <v>874</v>
      </c>
      <c r="J302" s="4" t="s">
        <v>47</v>
      </c>
      <c r="K302" s="4" t="s">
        <v>3131</v>
      </c>
      <c r="L302" s="4" t="s">
        <v>47</v>
      </c>
      <c r="M302">
        <v>50000</v>
      </c>
      <c r="N302" s="4" t="s">
        <v>2919</v>
      </c>
      <c r="O302" s="4" t="s">
        <v>47</v>
      </c>
      <c r="P302" s="4" t="s">
        <v>811</v>
      </c>
      <c r="Q302" s="9">
        <v>38883</v>
      </c>
      <c r="R302" s="4" t="s">
        <v>638</v>
      </c>
      <c r="S302" s="4" t="s">
        <v>47</v>
      </c>
      <c r="T302" s="4" t="s">
        <v>47</v>
      </c>
      <c r="U302" s="4" t="s">
        <v>92</v>
      </c>
      <c r="V302">
        <v>2006</v>
      </c>
      <c r="W302" s="4" t="s">
        <v>3247</v>
      </c>
      <c r="X302" s="4" t="s">
        <v>47</v>
      </c>
      <c r="Y302" s="4" t="s">
        <v>3248</v>
      </c>
      <c r="Z302" s="4" t="s">
        <v>47</v>
      </c>
      <c r="AA302" s="4" t="s">
        <v>47</v>
      </c>
      <c r="AB302" s="4" t="s">
        <v>47</v>
      </c>
      <c r="AC302" s="4" t="s">
        <v>47</v>
      </c>
      <c r="AD302" s="4" t="s">
        <v>47</v>
      </c>
      <c r="AE302" s="4" t="s">
        <v>47</v>
      </c>
      <c r="AF302" s="4" t="s">
        <v>47</v>
      </c>
      <c r="AG302" s="4" t="s">
        <v>47</v>
      </c>
      <c r="AH302" s="4" t="s">
        <v>47</v>
      </c>
      <c r="AI302" s="4" t="s">
        <v>47</v>
      </c>
      <c r="AJ302" s="4" t="s">
        <v>47</v>
      </c>
      <c r="AK302" s="4" t="s">
        <v>47</v>
      </c>
      <c r="AL302" s="4" t="s">
        <v>47</v>
      </c>
      <c r="AM302" s="4" t="s">
        <v>47</v>
      </c>
      <c r="AN302" s="4" t="s">
        <v>47</v>
      </c>
      <c r="AO302" s="4" t="s">
        <v>3249</v>
      </c>
      <c r="AP302" s="4" t="s">
        <v>3250</v>
      </c>
      <c r="AQ302" s="4" t="s">
        <v>3251</v>
      </c>
      <c r="AR302" s="4" t="s">
        <v>3252</v>
      </c>
    </row>
    <row r="303" spans="1:44" x14ac:dyDescent="0.2">
      <c r="A303" s="4" t="s">
        <v>52</v>
      </c>
      <c r="B303" s="4" t="s">
        <v>323</v>
      </c>
      <c r="C303">
        <v>2</v>
      </c>
      <c r="F303">
        <v>0</v>
      </c>
      <c r="I303" s="4" t="s">
        <v>2558</v>
      </c>
      <c r="J303" s="4" t="s">
        <v>47</v>
      </c>
      <c r="K303" s="4" t="s">
        <v>3148</v>
      </c>
      <c r="L303" s="4" t="s">
        <v>47</v>
      </c>
      <c r="M303">
        <v>41000</v>
      </c>
      <c r="N303" s="4" t="s">
        <v>2999</v>
      </c>
      <c r="O303" s="4" t="s">
        <v>47</v>
      </c>
      <c r="P303" s="4" t="s">
        <v>811</v>
      </c>
      <c r="Q303" s="9">
        <v>38883</v>
      </c>
      <c r="R303" s="4" t="s">
        <v>630</v>
      </c>
      <c r="S303" s="4" t="s">
        <v>47</v>
      </c>
      <c r="T303" s="4" t="s">
        <v>47</v>
      </c>
      <c r="U303" s="4" t="s">
        <v>92</v>
      </c>
      <c r="V303">
        <v>2006</v>
      </c>
      <c r="W303" s="4" t="s">
        <v>3253</v>
      </c>
      <c r="X303" s="4" t="s">
        <v>47</v>
      </c>
      <c r="Y303" s="4" t="s">
        <v>3254</v>
      </c>
      <c r="Z303" s="4" t="s">
        <v>47</v>
      </c>
      <c r="AA303" s="4" t="s">
        <v>47</v>
      </c>
      <c r="AB303" s="4" t="s">
        <v>47</v>
      </c>
      <c r="AC303" s="4" t="s">
        <v>47</v>
      </c>
      <c r="AD303" s="4" t="s">
        <v>47</v>
      </c>
      <c r="AE303" s="4" t="s">
        <v>47</v>
      </c>
      <c r="AF303" s="4" t="s">
        <v>47</v>
      </c>
      <c r="AG303" s="4" t="s">
        <v>47</v>
      </c>
      <c r="AH303" s="4" t="s">
        <v>47</v>
      </c>
      <c r="AI303" s="4" t="s">
        <v>47</v>
      </c>
      <c r="AJ303" s="4" t="s">
        <v>47</v>
      </c>
      <c r="AK303" s="4" t="s">
        <v>47</v>
      </c>
      <c r="AL303" s="4" t="s">
        <v>47</v>
      </c>
      <c r="AM303" s="4" t="s">
        <v>47</v>
      </c>
      <c r="AN303" s="4" t="s">
        <v>47</v>
      </c>
      <c r="AO303" s="4" t="s">
        <v>3255</v>
      </c>
      <c r="AP303" s="4" t="s">
        <v>3256</v>
      </c>
      <c r="AQ303" s="4" t="s">
        <v>3257</v>
      </c>
      <c r="AR303" s="4" t="s">
        <v>3258</v>
      </c>
    </row>
    <row r="304" spans="1:44" x14ac:dyDescent="0.2">
      <c r="A304" s="4" t="s">
        <v>116</v>
      </c>
      <c r="B304" s="4" t="s">
        <v>202</v>
      </c>
      <c r="C304">
        <v>1</v>
      </c>
      <c r="F304">
        <v>0</v>
      </c>
      <c r="I304" s="4" t="s">
        <v>2655</v>
      </c>
      <c r="J304" s="4" t="s">
        <v>47</v>
      </c>
      <c r="K304" s="4" t="s">
        <v>3147</v>
      </c>
      <c r="L304" s="4" t="s">
        <v>47</v>
      </c>
      <c r="M304">
        <v>72000</v>
      </c>
      <c r="N304" s="4" t="s">
        <v>2883</v>
      </c>
      <c r="O304" s="4" t="s">
        <v>47</v>
      </c>
      <c r="P304" s="4" t="s">
        <v>811</v>
      </c>
      <c r="Q304" s="9">
        <v>38883</v>
      </c>
      <c r="R304" s="4" t="s">
        <v>652</v>
      </c>
      <c r="S304" s="4" t="s">
        <v>47</v>
      </c>
      <c r="T304" s="4" t="s">
        <v>47</v>
      </c>
      <c r="U304" s="4" t="s">
        <v>92</v>
      </c>
      <c r="V304">
        <v>2006</v>
      </c>
      <c r="W304" s="4" t="s">
        <v>3259</v>
      </c>
      <c r="X304" s="4" t="s">
        <v>47</v>
      </c>
      <c r="Y304" s="4" t="s">
        <v>3260</v>
      </c>
      <c r="Z304" s="4" t="s">
        <v>47</v>
      </c>
      <c r="AA304" s="4" t="s">
        <v>47</v>
      </c>
      <c r="AB304" s="4" t="s">
        <v>47</v>
      </c>
      <c r="AC304" s="4" t="s">
        <v>47</v>
      </c>
      <c r="AD304" s="4" t="s">
        <v>47</v>
      </c>
      <c r="AE304" s="4" t="s">
        <v>47</v>
      </c>
      <c r="AF304" s="4" t="s">
        <v>47</v>
      </c>
      <c r="AG304" s="4" t="s">
        <v>47</v>
      </c>
      <c r="AH304" s="4" t="s">
        <v>47</v>
      </c>
      <c r="AI304" s="4" t="s">
        <v>47</v>
      </c>
      <c r="AJ304" s="4" t="s">
        <v>47</v>
      </c>
      <c r="AK304" s="4" t="s">
        <v>47</v>
      </c>
      <c r="AL304" s="4" t="s">
        <v>47</v>
      </c>
      <c r="AM304" s="4" t="s">
        <v>47</v>
      </c>
      <c r="AN304" s="4" t="s">
        <v>47</v>
      </c>
      <c r="AO304" s="4" t="s">
        <v>3261</v>
      </c>
      <c r="AP304" s="4" t="s">
        <v>3262</v>
      </c>
      <c r="AQ304" s="4" t="s">
        <v>3263</v>
      </c>
      <c r="AR304" s="4" t="s">
        <v>3264</v>
      </c>
    </row>
    <row r="305" spans="1:44" x14ac:dyDescent="0.2">
      <c r="A305" s="4" t="s">
        <v>20</v>
      </c>
      <c r="B305" s="4" t="s">
        <v>188</v>
      </c>
      <c r="C305">
        <v>4</v>
      </c>
      <c r="F305">
        <v>0</v>
      </c>
      <c r="I305" s="4" t="s">
        <v>2965</v>
      </c>
      <c r="J305" s="4" t="s">
        <v>47</v>
      </c>
      <c r="K305" s="4" t="s">
        <v>2951</v>
      </c>
      <c r="L305" s="4" t="s">
        <v>47</v>
      </c>
      <c r="M305">
        <v>43000</v>
      </c>
      <c r="N305" s="4" t="s">
        <v>3016</v>
      </c>
      <c r="O305" s="4" t="s">
        <v>47</v>
      </c>
      <c r="P305" s="4" t="s">
        <v>811</v>
      </c>
      <c r="Q305" s="9">
        <v>38882</v>
      </c>
      <c r="R305" s="4" t="s">
        <v>2300</v>
      </c>
      <c r="S305" s="4" t="s">
        <v>47</v>
      </c>
      <c r="T305" s="4" t="s">
        <v>47</v>
      </c>
      <c r="U305" s="4" t="s">
        <v>92</v>
      </c>
      <c r="V305">
        <v>2006</v>
      </c>
      <c r="W305" s="4" t="s">
        <v>3265</v>
      </c>
      <c r="X305" s="4" t="s">
        <v>47</v>
      </c>
      <c r="Y305" s="4" t="s">
        <v>3266</v>
      </c>
      <c r="Z305" s="4" t="s">
        <v>47</v>
      </c>
      <c r="AA305" s="4" t="s">
        <v>47</v>
      </c>
      <c r="AB305" s="4" t="s">
        <v>47</v>
      </c>
      <c r="AC305" s="4" t="s">
        <v>3267</v>
      </c>
      <c r="AD305" s="4" t="s">
        <v>47</v>
      </c>
      <c r="AE305" s="4" t="s">
        <v>47</v>
      </c>
      <c r="AF305" s="4" t="s">
        <v>47</v>
      </c>
      <c r="AG305" s="4" t="s">
        <v>47</v>
      </c>
      <c r="AH305" s="4" t="s">
        <v>47</v>
      </c>
      <c r="AI305" s="4" t="s">
        <v>47</v>
      </c>
      <c r="AJ305" s="4" t="s">
        <v>47</v>
      </c>
      <c r="AK305" s="4" t="s">
        <v>47</v>
      </c>
      <c r="AL305" s="4" t="s">
        <v>3268</v>
      </c>
      <c r="AM305" s="4" t="s">
        <v>47</v>
      </c>
      <c r="AN305" s="4" t="s">
        <v>47</v>
      </c>
      <c r="AO305" s="4" t="s">
        <v>47</v>
      </c>
      <c r="AP305" s="4" t="s">
        <v>3269</v>
      </c>
      <c r="AQ305" s="4" t="s">
        <v>3270</v>
      </c>
      <c r="AR305" s="4" t="s">
        <v>3271</v>
      </c>
    </row>
    <row r="306" spans="1:44" x14ac:dyDescent="0.2">
      <c r="A306" s="4" t="s">
        <v>213</v>
      </c>
      <c r="B306" s="4" t="s">
        <v>240</v>
      </c>
      <c r="C306">
        <v>2</v>
      </c>
      <c r="F306">
        <v>2</v>
      </c>
      <c r="I306" s="4" t="s">
        <v>3032</v>
      </c>
      <c r="J306" s="4" t="s">
        <v>47</v>
      </c>
      <c r="K306" s="4" t="s">
        <v>3025</v>
      </c>
      <c r="L306" s="4" t="s">
        <v>47</v>
      </c>
      <c r="M306">
        <v>66000</v>
      </c>
      <c r="N306" s="4" t="s">
        <v>2906</v>
      </c>
      <c r="O306" s="4" t="s">
        <v>47</v>
      </c>
      <c r="P306" s="4" t="s">
        <v>811</v>
      </c>
      <c r="Q306" s="9">
        <v>38882</v>
      </c>
      <c r="R306" s="4" t="s">
        <v>1487</v>
      </c>
      <c r="S306" s="4" t="s">
        <v>47</v>
      </c>
      <c r="T306" s="4" t="s">
        <v>47</v>
      </c>
      <c r="U306" s="4" t="s">
        <v>92</v>
      </c>
      <c r="V306">
        <v>2006</v>
      </c>
      <c r="W306" s="4" t="s">
        <v>3272</v>
      </c>
      <c r="X306" s="4" t="s">
        <v>3273</v>
      </c>
      <c r="Y306" s="4" t="s">
        <v>3274</v>
      </c>
      <c r="Z306" s="4" t="s">
        <v>3275</v>
      </c>
      <c r="AA306" s="4" t="s">
        <v>47</v>
      </c>
      <c r="AB306" s="4" t="s">
        <v>47</v>
      </c>
      <c r="AC306" s="4" t="s">
        <v>47</v>
      </c>
      <c r="AD306" s="4" t="s">
        <v>47</v>
      </c>
      <c r="AE306" s="4" t="s">
        <v>47</v>
      </c>
      <c r="AF306" s="4" t="s">
        <v>47</v>
      </c>
      <c r="AG306" s="4" t="s">
        <v>47</v>
      </c>
      <c r="AH306" s="4" t="s">
        <v>47</v>
      </c>
      <c r="AI306" s="4" t="s">
        <v>47</v>
      </c>
      <c r="AJ306" s="4" t="s">
        <v>47</v>
      </c>
      <c r="AK306" s="4" t="s">
        <v>47</v>
      </c>
      <c r="AL306" s="4" t="s">
        <v>47</v>
      </c>
      <c r="AM306" s="4" t="s">
        <v>47</v>
      </c>
      <c r="AN306" s="4" t="s">
        <v>47</v>
      </c>
      <c r="AO306" s="4" t="s">
        <v>3276</v>
      </c>
      <c r="AP306" s="4" t="s">
        <v>47</v>
      </c>
      <c r="AQ306" s="4" t="s">
        <v>3277</v>
      </c>
      <c r="AR306" s="4" t="s">
        <v>3278</v>
      </c>
    </row>
    <row r="307" spans="1:44" x14ac:dyDescent="0.2">
      <c r="A307" s="4" t="s">
        <v>92</v>
      </c>
      <c r="B307" s="4" t="s">
        <v>195</v>
      </c>
      <c r="C307">
        <v>1</v>
      </c>
      <c r="F307">
        <v>0</v>
      </c>
      <c r="I307" s="4" t="s">
        <v>1934</v>
      </c>
      <c r="J307" s="4" t="s">
        <v>47</v>
      </c>
      <c r="K307" s="4" t="s">
        <v>3132</v>
      </c>
      <c r="L307" s="4" t="s">
        <v>47</v>
      </c>
      <c r="M307">
        <v>65000</v>
      </c>
      <c r="N307" s="4" t="s">
        <v>2912</v>
      </c>
      <c r="O307" s="4" t="s">
        <v>47</v>
      </c>
      <c r="P307" s="4" t="s">
        <v>811</v>
      </c>
      <c r="Q307" s="9">
        <v>38882</v>
      </c>
      <c r="R307" s="4" t="s">
        <v>652</v>
      </c>
      <c r="S307" s="4" t="s">
        <v>47</v>
      </c>
      <c r="T307" s="4" t="s">
        <v>47</v>
      </c>
      <c r="U307" s="4" t="s">
        <v>92</v>
      </c>
      <c r="V307">
        <v>2006</v>
      </c>
      <c r="W307" s="4" t="s">
        <v>3279</v>
      </c>
      <c r="X307" s="4" t="s">
        <v>47</v>
      </c>
      <c r="Y307" s="4" t="s">
        <v>3280</v>
      </c>
      <c r="Z307" s="4" t="s">
        <v>47</v>
      </c>
      <c r="AA307" s="4" t="s">
        <v>47</v>
      </c>
      <c r="AB307" s="4" t="s">
        <v>47</v>
      </c>
      <c r="AC307" s="4" t="s">
        <v>47</v>
      </c>
      <c r="AD307" s="4" t="s">
        <v>47</v>
      </c>
      <c r="AE307" s="4" t="s">
        <v>47</v>
      </c>
      <c r="AF307" s="4" t="s">
        <v>47</v>
      </c>
      <c r="AG307" s="4" t="s">
        <v>47</v>
      </c>
      <c r="AH307" s="4" t="s">
        <v>47</v>
      </c>
      <c r="AI307" s="4" t="s">
        <v>47</v>
      </c>
      <c r="AJ307" s="4" t="s">
        <v>47</v>
      </c>
      <c r="AK307" s="4" t="s">
        <v>47</v>
      </c>
      <c r="AL307" s="4" t="s">
        <v>47</v>
      </c>
      <c r="AM307" s="4" t="s">
        <v>47</v>
      </c>
      <c r="AN307" s="4" t="s">
        <v>3281</v>
      </c>
      <c r="AO307" s="4" t="s">
        <v>3282</v>
      </c>
      <c r="AP307" s="4" t="s">
        <v>3283</v>
      </c>
      <c r="AQ307" s="4" t="s">
        <v>3284</v>
      </c>
      <c r="AR307" s="4" t="s">
        <v>3285</v>
      </c>
    </row>
    <row r="308" spans="1:44" x14ac:dyDescent="0.2">
      <c r="A308" s="4" t="s">
        <v>175</v>
      </c>
      <c r="B308" s="4" t="s">
        <v>361</v>
      </c>
      <c r="C308">
        <v>2</v>
      </c>
      <c r="F308">
        <v>1</v>
      </c>
      <c r="I308" s="4" t="s">
        <v>3046</v>
      </c>
      <c r="J308" s="4" t="s">
        <v>47</v>
      </c>
      <c r="K308" s="4" t="s">
        <v>3039</v>
      </c>
      <c r="L308" s="4" t="s">
        <v>47</v>
      </c>
      <c r="M308">
        <v>48000</v>
      </c>
      <c r="N308" s="4" t="s">
        <v>2931</v>
      </c>
      <c r="O308" s="4" t="s">
        <v>47</v>
      </c>
      <c r="P308" s="4" t="s">
        <v>811</v>
      </c>
      <c r="Q308" s="9">
        <v>38881</v>
      </c>
      <c r="R308" s="4" t="s">
        <v>617</v>
      </c>
      <c r="S308" s="4" t="s">
        <v>47</v>
      </c>
      <c r="T308" s="4" t="s">
        <v>47</v>
      </c>
      <c r="U308" s="4" t="s">
        <v>92</v>
      </c>
      <c r="V308">
        <v>2006</v>
      </c>
      <c r="W308" s="4" t="s">
        <v>3286</v>
      </c>
      <c r="X308" s="4" t="s">
        <v>3287</v>
      </c>
      <c r="Y308" s="4" t="s">
        <v>3288</v>
      </c>
      <c r="Z308" s="4" t="s">
        <v>3289</v>
      </c>
      <c r="AA308" s="4" t="s">
        <v>47</v>
      </c>
      <c r="AB308" s="4" t="s">
        <v>47</v>
      </c>
      <c r="AC308" s="4" t="s">
        <v>47</v>
      </c>
      <c r="AD308" s="4" t="s">
        <v>47</v>
      </c>
      <c r="AE308" s="4" t="s">
        <v>47</v>
      </c>
      <c r="AF308" s="4" t="s">
        <v>47</v>
      </c>
      <c r="AG308" s="4" t="s">
        <v>47</v>
      </c>
      <c r="AH308" s="4" t="s">
        <v>47</v>
      </c>
      <c r="AI308" s="4" t="s">
        <v>47</v>
      </c>
      <c r="AJ308" s="4" t="s">
        <v>47</v>
      </c>
      <c r="AK308" s="4" t="s">
        <v>47</v>
      </c>
      <c r="AL308" s="4" t="s">
        <v>47</v>
      </c>
      <c r="AM308" s="4" t="s">
        <v>47</v>
      </c>
      <c r="AN308" s="4" t="s">
        <v>3290</v>
      </c>
      <c r="AO308" s="4" t="s">
        <v>3291</v>
      </c>
      <c r="AP308" s="4" t="s">
        <v>3292</v>
      </c>
      <c r="AQ308" s="4" t="s">
        <v>3293</v>
      </c>
      <c r="AR308" s="4" t="s">
        <v>3294</v>
      </c>
    </row>
    <row r="309" spans="1:44" x14ac:dyDescent="0.2">
      <c r="A309" s="4" t="s">
        <v>87</v>
      </c>
      <c r="B309" s="4" t="s">
        <v>118</v>
      </c>
      <c r="C309">
        <v>0</v>
      </c>
      <c r="F309">
        <v>0</v>
      </c>
      <c r="I309" s="4" t="s">
        <v>2645</v>
      </c>
      <c r="J309" s="4" t="s">
        <v>47</v>
      </c>
      <c r="K309" s="4" t="s">
        <v>2982</v>
      </c>
      <c r="L309" s="4" t="s">
        <v>47</v>
      </c>
      <c r="M309">
        <v>52000</v>
      </c>
      <c r="N309" s="4" t="s">
        <v>2896</v>
      </c>
      <c r="O309" s="4" t="s">
        <v>47</v>
      </c>
      <c r="P309" s="4" t="s">
        <v>811</v>
      </c>
      <c r="Q309" s="9">
        <v>38881</v>
      </c>
      <c r="R309" s="4" t="s">
        <v>869</v>
      </c>
      <c r="S309" s="4" t="s">
        <v>47</v>
      </c>
      <c r="T309" s="4" t="s">
        <v>47</v>
      </c>
      <c r="U309" s="4" t="s">
        <v>92</v>
      </c>
      <c r="V309">
        <v>2006</v>
      </c>
      <c r="W309" s="4" t="s">
        <v>47</v>
      </c>
      <c r="X309" s="4" t="s">
        <v>47</v>
      </c>
      <c r="Y309" s="4" t="s">
        <v>47</v>
      </c>
      <c r="Z309" s="4" t="s">
        <v>47</v>
      </c>
      <c r="AA309" s="4" t="s">
        <v>47</v>
      </c>
      <c r="AB309" s="4" t="s">
        <v>47</v>
      </c>
      <c r="AC309" s="4" t="s">
        <v>47</v>
      </c>
      <c r="AD309" s="4" t="s">
        <v>47</v>
      </c>
      <c r="AE309" s="4" t="s">
        <v>47</v>
      </c>
      <c r="AF309" s="4" t="s">
        <v>47</v>
      </c>
      <c r="AG309" s="4" t="s">
        <v>47</v>
      </c>
      <c r="AH309" s="4" t="s">
        <v>47</v>
      </c>
      <c r="AI309" s="4" t="s">
        <v>47</v>
      </c>
      <c r="AJ309" s="4" t="s">
        <v>47</v>
      </c>
      <c r="AK309" s="4" t="s">
        <v>47</v>
      </c>
      <c r="AL309" s="4" t="s">
        <v>47</v>
      </c>
      <c r="AM309" s="4" t="s">
        <v>47</v>
      </c>
      <c r="AN309" s="4" t="s">
        <v>47</v>
      </c>
      <c r="AO309" s="4" t="s">
        <v>3295</v>
      </c>
      <c r="AP309" s="4" t="s">
        <v>3296</v>
      </c>
      <c r="AQ309" s="4" t="s">
        <v>3297</v>
      </c>
      <c r="AR309" s="4" t="s">
        <v>3298</v>
      </c>
    </row>
    <row r="310" spans="1:44" x14ac:dyDescent="0.2">
      <c r="A310" s="4" t="s">
        <v>12</v>
      </c>
      <c r="B310" s="4" t="s">
        <v>90</v>
      </c>
      <c r="C310">
        <v>1</v>
      </c>
      <c r="F310">
        <v>0</v>
      </c>
      <c r="I310" s="4" t="s">
        <v>2646</v>
      </c>
      <c r="J310" s="4" t="s">
        <v>47</v>
      </c>
      <c r="K310" s="4" t="s">
        <v>3081</v>
      </c>
      <c r="L310" s="4" t="s">
        <v>47</v>
      </c>
      <c r="M310">
        <v>72000</v>
      </c>
      <c r="N310" s="4" t="s">
        <v>2883</v>
      </c>
      <c r="O310" s="4" t="s">
        <v>47</v>
      </c>
      <c r="P310" s="4" t="s">
        <v>811</v>
      </c>
      <c r="Q310" s="9">
        <v>38881</v>
      </c>
      <c r="R310" s="4" t="s">
        <v>652</v>
      </c>
      <c r="S310" s="4" t="s">
        <v>47</v>
      </c>
      <c r="T310" s="4" t="s">
        <v>47</v>
      </c>
      <c r="U310" s="4" t="s">
        <v>92</v>
      </c>
      <c r="V310">
        <v>2006</v>
      </c>
      <c r="W310" s="4" t="s">
        <v>3299</v>
      </c>
      <c r="X310" s="4" t="s">
        <v>47</v>
      </c>
      <c r="Y310" s="4" t="s">
        <v>3300</v>
      </c>
      <c r="Z310" s="4" t="s">
        <v>47</v>
      </c>
      <c r="AA310" s="4" t="s">
        <v>47</v>
      </c>
      <c r="AB310" s="4" t="s">
        <v>47</v>
      </c>
      <c r="AC310" s="4" t="s">
        <v>47</v>
      </c>
      <c r="AD310" s="4" t="s">
        <v>47</v>
      </c>
      <c r="AE310" s="4" t="s">
        <v>47</v>
      </c>
      <c r="AF310" s="4" t="s">
        <v>47</v>
      </c>
      <c r="AG310" s="4" t="s">
        <v>47</v>
      </c>
      <c r="AH310" s="4" t="s">
        <v>47</v>
      </c>
      <c r="AI310" s="4" t="s">
        <v>47</v>
      </c>
      <c r="AJ310" s="4" t="s">
        <v>47</v>
      </c>
      <c r="AK310" s="4" t="s">
        <v>47</v>
      </c>
      <c r="AL310" s="4" t="s">
        <v>47</v>
      </c>
      <c r="AM310" s="4" t="s">
        <v>47</v>
      </c>
      <c r="AN310" s="4" t="s">
        <v>47</v>
      </c>
      <c r="AO310" s="4" t="s">
        <v>3301</v>
      </c>
      <c r="AP310" s="4" t="s">
        <v>3302</v>
      </c>
      <c r="AQ310" s="4" t="s">
        <v>3303</v>
      </c>
      <c r="AR310" s="4" t="s">
        <v>3304</v>
      </c>
    </row>
    <row r="311" spans="1:44" x14ac:dyDescent="0.2">
      <c r="A311" s="4" t="s">
        <v>179</v>
      </c>
      <c r="B311" s="4" t="s">
        <v>161</v>
      </c>
      <c r="C311">
        <v>3</v>
      </c>
      <c r="F311">
        <v>1</v>
      </c>
      <c r="I311" s="4" t="s">
        <v>2974</v>
      </c>
      <c r="J311" s="4" t="s">
        <v>47</v>
      </c>
      <c r="K311" s="4" t="s">
        <v>3072</v>
      </c>
      <c r="L311" s="4" t="s">
        <v>47</v>
      </c>
      <c r="M311">
        <v>46000</v>
      </c>
      <c r="N311" s="4" t="s">
        <v>2975</v>
      </c>
      <c r="O311" s="4" t="s">
        <v>47</v>
      </c>
      <c r="P311" s="4" t="s">
        <v>811</v>
      </c>
      <c r="Q311" s="9">
        <v>38880</v>
      </c>
      <c r="R311" s="4" t="s">
        <v>770</v>
      </c>
      <c r="S311" s="4" t="s">
        <v>47</v>
      </c>
      <c r="T311" s="4" t="s">
        <v>47</v>
      </c>
      <c r="U311" s="4" t="s">
        <v>92</v>
      </c>
      <c r="V311">
        <v>2006</v>
      </c>
      <c r="W311" s="4" t="s">
        <v>3305</v>
      </c>
      <c r="X311" s="4" t="s">
        <v>3306</v>
      </c>
      <c r="Y311" s="4" t="s">
        <v>3307</v>
      </c>
      <c r="Z311" s="4" t="s">
        <v>3308</v>
      </c>
      <c r="AA311" s="4" t="s">
        <v>47</v>
      </c>
      <c r="AB311" s="4" t="s">
        <v>47</v>
      </c>
      <c r="AC311" s="4" t="s">
        <v>47</v>
      </c>
      <c r="AD311" s="4" t="s">
        <v>47</v>
      </c>
      <c r="AE311" s="4" t="s">
        <v>47</v>
      </c>
      <c r="AF311" s="4" t="s">
        <v>47</v>
      </c>
      <c r="AG311" s="4" t="s">
        <v>47</v>
      </c>
      <c r="AH311" s="4" t="s">
        <v>47</v>
      </c>
      <c r="AI311" s="4" t="s">
        <v>47</v>
      </c>
      <c r="AJ311" s="4" t="s">
        <v>47</v>
      </c>
      <c r="AK311" s="4" t="s">
        <v>47</v>
      </c>
      <c r="AL311" s="4" t="s">
        <v>47</v>
      </c>
      <c r="AM311" s="4" t="s">
        <v>47</v>
      </c>
      <c r="AN311" s="4" t="s">
        <v>47</v>
      </c>
      <c r="AO311" s="4" t="s">
        <v>3309</v>
      </c>
      <c r="AP311" s="4" t="s">
        <v>3310</v>
      </c>
      <c r="AQ311" s="4" t="s">
        <v>3311</v>
      </c>
      <c r="AR311" s="4" t="s">
        <v>3312</v>
      </c>
    </row>
    <row r="312" spans="1:44" x14ac:dyDescent="0.2">
      <c r="A312" s="4" t="s">
        <v>102</v>
      </c>
      <c r="B312" s="4" t="s">
        <v>3063</v>
      </c>
      <c r="C312">
        <v>0</v>
      </c>
      <c r="F312">
        <v>3</v>
      </c>
      <c r="I312" s="4" t="s">
        <v>3053</v>
      </c>
      <c r="J312" s="4" t="s">
        <v>47</v>
      </c>
      <c r="K312" s="4" t="s">
        <v>3064</v>
      </c>
      <c r="L312" s="4" t="s">
        <v>47</v>
      </c>
      <c r="M312">
        <v>52000</v>
      </c>
      <c r="N312" s="4" t="s">
        <v>2919</v>
      </c>
      <c r="O312" s="4" t="s">
        <v>47</v>
      </c>
      <c r="P312" s="4" t="s">
        <v>811</v>
      </c>
      <c r="Q312" s="9">
        <v>38880</v>
      </c>
      <c r="R312" s="4" t="s">
        <v>973</v>
      </c>
      <c r="S312" s="4" t="s">
        <v>47</v>
      </c>
      <c r="T312" s="4" t="s">
        <v>47</v>
      </c>
      <c r="U312" s="4" t="s">
        <v>92</v>
      </c>
      <c r="V312">
        <v>2006</v>
      </c>
      <c r="W312" s="4" t="s">
        <v>47</v>
      </c>
      <c r="X312" s="4" t="s">
        <v>3313</v>
      </c>
      <c r="Y312" s="4" t="s">
        <v>47</v>
      </c>
      <c r="Z312" s="4" t="s">
        <v>3314</v>
      </c>
      <c r="AA312" s="4" t="s">
        <v>47</v>
      </c>
      <c r="AB312" s="4" t="s">
        <v>47</v>
      </c>
      <c r="AC312" s="4" t="s">
        <v>47</v>
      </c>
      <c r="AD312" s="4" t="s">
        <v>47</v>
      </c>
      <c r="AE312" s="4" t="s">
        <v>47</v>
      </c>
      <c r="AF312" s="4" t="s">
        <v>47</v>
      </c>
      <c r="AG312" s="4" t="s">
        <v>47</v>
      </c>
      <c r="AH312" s="4" t="s">
        <v>47</v>
      </c>
      <c r="AI312" s="4" t="s">
        <v>47</v>
      </c>
      <c r="AJ312" s="4" t="s">
        <v>47</v>
      </c>
      <c r="AK312" s="4" t="s">
        <v>47</v>
      </c>
      <c r="AL312" s="4" t="s">
        <v>47</v>
      </c>
      <c r="AM312" s="4" t="s">
        <v>47</v>
      </c>
      <c r="AN312" s="4" t="s">
        <v>47</v>
      </c>
      <c r="AO312" s="4" t="s">
        <v>3315</v>
      </c>
      <c r="AP312" s="4" t="s">
        <v>3316</v>
      </c>
      <c r="AQ312" s="4" t="s">
        <v>3317</v>
      </c>
      <c r="AR312" s="4" t="s">
        <v>3318</v>
      </c>
    </row>
    <row r="313" spans="1:44" x14ac:dyDescent="0.2">
      <c r="A313" s="4" t="s">
        <v>97</v>
      </c>
      <c r="B313" s="4" t="s">
        <v>264</v>
      </c>
      <c r="C313">
        <v>2</v>
      </c>
      <c r="F313">
        <v>0</v>
      </c>
      <c r="I313" s="4" t="s">
        <v>2582</v>
      </c>
      <c r="J313" s="4" t="s">
        <v>47</v>
      </c>
      <c r="K313" s="4" t="s">
        <v>2958</v>
      </c>
      <c r="L313" s="4" t="s">
        <v>47</v>
      </c>
      <c r="M313">
        <v>43000</v>
      </c>
      <c r="N313" s="4" t="s">
        <v>2966</v>
      </c>
      <c r="O313" s="4" t="s">
        <v>47</v>
      </c>
      <c r="P313" s="4" t="s">
        <v>811</v>
      </c>
      <c r="Q313" s="9">
        <v>38880</v>
      </c>
      <c r="R313" s="4" t="s">
        <v>630</v>
      </c>
      <c r="S313" s="4" t="s">
        <v>47</v>
      </c>
      <c r="T313" s="4" t="s">
        <v>47</v>
      </c>
      <c r="U313" s="4" t="s">
        <v>92</v>
      </c>
      <c r="V313">
        <v>2006</v>
      </c>
      <c r="W313" s="4" t="s">
        <v>3319</v>
      </c>
      <c r="X313" s="4" t="s">
        <v>47</v>
      </c>
      <c r="Y313" s="4" t="s">
        <v>3320</v>
      </c>
      <c r="Z313" s="4" t="s">
        <v>47</v>
      </c>
      <c r="AA313" s="4" t="s">
        <v>47</v>
      </c>
      <c r="AB313" s="4" t="s">
        <v>47</v>
      </c>
      <c r="AC313" s="4" t="s">
        <v>47</v>
      </c>
      <c r="AD313" s="4" t="s">
        <v>47</v>
      </c>
      <c r="AE313" s="4" t="s">
        <v>47</v>
      </c>
      <c r="AF313" s="4" t="s">
        <v>47</v>
      </c>
      <c r="AG313" s="4" t="s">
        <v>47</v>
      </c>
      <c r="AH313" s="4" t="s">
        <v>47</v>
      </c>
      <c r="AI313" s="4" t="s">
        <v>47</v>
      </c>
      <c r="AJ313" s="4" t="s">
        <v>47</v>
      </c>
      <c r="AK313" s="4" t="s">
        <v>47</v>
      </c>
      <c r="AL313" s="4" t="s">
        <v>47</v>
      </c>
      <c r="AM313" s="4" t="s">
        <v>47</v>
      </c>
      <c r="AN313" s="4" t="s">
        <v>47</v>
      </c>
      <c r="AO313" s="4" t="s">
        <v>3321</v>
      </c>
      <c r="AP313" s="4" t="s">
        <v>3322</v>
      </c>
      <c r="AQ313" s="4" t="s">
        <v>3323</v>
      </c>
      <c r="AR313" s="4" t="s">
        <v>3324</v>
      </c>
    </row>
    <row r="314" spans="1:44" x14ac:dyDescent="0.2">
      <c r="A314" s="4" t="s">
        <v>3113</v>
      </c>
      <c r="B314" s="4" t="s">
        <v>95</v>
      </c>
      <c r="C314">
        <v>0</v>
      </c>
      <c r="F314">
        <v>1</v>
      </c>
      <c r="I314" s="4" t="s">
        <v>3115</v>
      </c>
      <c r="J314" s="4" t="s">
        <v>47</v>
      </c>
      <c r="K314" s="4" t="s">
        <v>2998</v>
      </c>
      <c r="L314" s="4" t="s">
        <v>47</v>
      </c>
      <c r="M314">
        <v>37216</v>
      </c>
      <c r="N314" s="4" t="s">
        <v>3016</v>
      </c>
      <c r="O314" s="4" t="s">
        <v>47</v>
      </c>
      <c r="P314" s="4" t="s">
        <v>811</v>
      </c>
      <c r="Q314" s="9">
        <v>38879</v>
      </c>
      <c r="R314" s="4" t="s">
        <v>963</v>
      </c>
      <c r="S314" s="4" t="s">
        <v>47</v>
      </c>
      <c r="T314" s="4" t="s">
        <v>47</v>
      </c>
      <c r="U314" s="4" t="s">
        <v>92</v>
      </c>
      <c r="V314">
        <v>2006</v>
      </c>
      <c r="W314" s="4" t="s">
        <v>47</v>
      </c>
      <c r="X314" s="4" t="s">
        <v>3325</v>
      </c>
      <c r="Y314" s="4" t="s">
        <v>47</v>
      </c>
      <c r="Z314" s="4" t="s">
        <v>3326</v>
      </c>
      <c r="AA314" s="4" t="s">
        <v>47</v>
      </c>
      <c r="AB314" s="4" t="s">
        <v>47</v>
      </c>
      <c r="AC314" s="4" t="s">
        <v>47</v>
      </c>
      <c r="AD314" s="4" t="s">
        <v>47</v>
      </c>
      <c r="AE314" s="4" t="s">
        <v>47</v>
      </c>
      <c r="AF314" s="4" t="s">
        <v>47</v>
      </c>
      <c r="AG314" s="4" t="s">
        <v>47</v>
      </c>
      <c r="AH314" s="4" t="s">
        <v>47</v>
      </c>
      <c r="AI314" s="4" t="s">
        <v>47</v>
      </c>
      <c r="AJ314" s="4" t="s">
        <v>47</v>
      </c>
      <c r="AK314" s="4" t="s">
        <v>47</v>
      </c>
      <c r="AL314" s="4" t="s">
        <v>47</v>
      </c>
      <c r="AM314" s="4" t="s">
        <v>47</v>
      </c>
      <c r="AN314" s="4" t="s">
        <v>47</v>
      </c>
      <c r="AO314" s="4" t="s">
        <v>3327</v>
      </c>
      <c r="AP314" s="4" t="s">
        <v>3328</v>
      </c>
      <c r="AQ314" s="4" t="s">
        <v>3329</v>
      </c>
      <c r="AR314" s="4" t="s">
        <v>3330</v>
      </c>
    </row>
    <row r="315" spans="1:44" x14ac:dyDescent="0.2">
      <c r="A315" s="4" t="s">
        <v>106</v>
      </c>
      <c r="B315" s="4" t="s">
        <v>165</v>
      </c>
      <c r="C315">
        <v>3</v>
      </c>
      <c r="F315">
        <v>1</v>
      </c>
      <c r="I315" s="4" t="s">
        <v>3015</v>
      </c>
      <c r="J315" s="4" t="s">
        <v>47</v>
      </c>
      <c r="K315" s="4" t="s">
        <v>3103</v>
      </c>
      <c r="L315" s="4" t="s">
        <v>47</v>
      </c>
      <c r="M315">
        <v>41000</v>
      </c>
      <c r="N315" s="4" t="s">
        <v>2999</v>
      </c>
      <c r="O315" s="4" t="s">
        <v>47</v>
      </c>
      <c r="P315" s="4" t="s">
        <v>811</v>
      </c>
      <c r="Q315" s="9">
        <v>38879</v>
      </c>
      <c r="R315" s="4" t="s">
        <v>770</v>
      </c>
      <c r="S315" s="4" t="s">
        <v>47</v>
      </c>
      <c r="T315" s="4" t="s">
        <v>47</v>
      </c>
      <c r="U315" s="4" t="s">
        <v>92</v>
      </c>
      <c r="V315">
        <v>2006</v>
      </c>
      <c r="W315" s="4" t="s">
        <v>3331</v>
      </c>
      <c r="X315" s="4" t="s">
        <v>3332</v>
      </c>
      <c r="Y315" s="4" t="s">
        <v>3333</v>
      </c>
      <c r="Z315" s="4" t="s">
        <v>3334</v>
      </c>
      <c r="AA315" s="4" t="s">
        <v>47</v>
      </c>
      <c r="AB315" s="4" t="s">
        <v>47</v>
      </c>
      <c r="AC315" s="4" t="s">
        <v>47</v>
      </c>
      <c r="AD315" s="4" t="s">
        <v>47</v>
      </c>
      <c r="AE315" s="4" t="s">
        <v>47</v>
      </c>
      <c r="AF315" s="4" t="s">
        <v>47</v>
      </c>
      <c r="AG315" s="4" t="s">
        <v>47</v>
      </c>
      <c r="AH315" s="4" t="s">
        <v>47</v>
      </c>
      <c r="AI315" s="4" t="s">
        <v>47</v>
      </c>
      <c r="AJ315" s="4" t="s">
        <v>47</v>
      </c>
      <c r="AK315" s="4" t="s">
        <v>47</v>
      </c>
      <c r="AL315" s="4" t="s">
        <v>47</v>
      </c>
      <c r="AM315" s="4" t="s">
        <v>47</v>
      </c>
      <c r="AN315" s="4" t="s">
        <v>47</v>
      </c>
      <c r="AO315" s="4" t="s">
        <v>3335</v>
      </c>
      <c r="AP315" s="4" t="s">
        <v>3336</v>
      </c>
      <c r="AQ315" s="4" t="s">
        <v>3337</v>
      </c>
      <c r="AR315" s="4" t="s">
        <v>3338</v>
      </c>
    </row>
    <row r="316" spans="1:44" x14ac:dyDescent="0.2">
      <c r="A316" s="4" t="s">
        <v>297</v>
      </c>
      <c r="B316" s="4" t="s">
        <v>141</v>
      </c>
      <c r="C316">
        <v>0</v>
      </c>
      <c r="F316">
        <v>1</v>
      </c>
      <c r="I316" s="4" t="s">
        <v>3104</v>
      </c>
      <c r="J316" s="4" t="s">
        <v>47</v>
      </c>
      <c r="K316" s="4" t="s">
        <v>1857</v>
      </c>
      <c r="L316" s="4" t="s">
        <v>47</v>
      </c>
      <c r="M316">
        <v>45000</v>
      </c>
      <c r="N316" s="4" t="s">
        <v>2983</v>
      </c>
      <c r="O316" s="4" t="s">
        <v>47</v>
      </c>
      <c r="P316" s="4" t="s">
        <v>811</v>
      </c>
      <c r="Q316" s="9">
        <v>38879</v>
      </c>
      <c r="R316" s="4" t="s">
        <v>963</v>
      </c>
      <c r="S316" s="4" t="s">
        <v>47</v>
      </c>
      <c r="T316" s="4" t="s">
        <v>47</v>
      </c>
      <c r="U316" s="4" t="s">
        <v>92</v>
      </c>
      <c r="V316">
        <v>2006</v>
      </c>
      <c r="W316" s="4" t="s">
        <v>47</v>
      </c>
      <c r="X316" s="4" t="s">
        <v>3339</v>
      </c>
      <c r="Y316" s="4" t="s">
        <v>47</v>
      </c>
      <c r="Z316" s="4" t="s">
        <v>3340</v>
      </c>
      <c r="AA316" s="4" t="s">
        <v>47</v>
      </c>
      <c r="AB316" s="4" t="s">
        <v>47</v>
      </c>
      <c r="AC316" s="4" t="s">
        <v>47</v>
      </c>
      <c r="AD316" s="4" t="s">
        <v>47</v>
      </c>
      <c r="AE316" s="4" t="s">
        <v>47</v>
      </c>
      <c r="AF316" s="4" t="s">
        <v>47</v>
      </c>
      <c r="AG316" s="4" t="s">
        <v>47</v>
      </c>
      <c r="AH316" s="4" t="s">
        <v>47</v>
      </c>
      <c r="AI316" s="4" t="s">
        <v>47</v>
      </c>
      <c r="AJ316" s="4" t="s">
        <v>47</v>
      </c>
      <c r="AK316" s="4" t="s">
        <v>47</v>
      </c>
      <c r="AL316" s="4" t="s">
        <v>47</v>
      </c>
      <c r="AM316" s="4" t="s">
        <v>47</v>
      </c>
      <c r="AN316" s="4" t="s">
        <v>47</v>
      </c>
      <c r="AO316" s="4" t="s">
        <v>3341</v>
      </c>
      <c r="AP316" s="4" t="s">
        <v>3342</v>
      </c>
      <c r="AQ316" s="4" t="s">
        <v>3343</v>
      </c>
      <c r="AR316" s="4" t="s">
        <v>3344</v>
      </c>
    </row>
    <row r="317" spans="1:44" x14ac:dyDescent="0.2">
      <c r="A317" s="4" t="s">
        <v>52</v>
      </c>
      <c r="B317" s="4" t="s">
        <v>202</v>
      </c>
      <c r="C317">
        <v>1</v>
      </c>
      <c r="F317">
        <v>0</v>
      </c>
      <c r="I317" s="4" t="s">
        <v>2558</v>
      </c>
      <c r="J317" s="4" t="s">
        <v>47</v>
      </c>
      <c r="K317" s="4" t="s">
        <v>3147</v>
      </c>
      <c r="L317" s="4" t="s">
        <v>47</v>
      </c>
      <c r="M317">
        <v>48000</v>
      </c>
      <c r="N317" s="4" t="s">
        <v>2931</v>
      </c>
      <c r="O317" s="4" t="s">
        <v>47</v>
      </c>
      <c r="P317" s="4" t="s">
        <v>811</v>
      </c>
      <c r="Q317" s="9">
        <v>38878</v>
      </c>
      <c r="R317" s="4" t="s">
        <v>652</v>
      </c>
      <c r="S317" s="4" t="s">
        <v>47</v>
      </c>
      <c r="T317" s="4" t="s">
        <v>47</v>
      </c>
      <c r="U317" s="4" t="s">
        <v>92</v>
      </c>
      <c r="V317">
        <v>2006</v>
      </c>
      <c r="W317" s="4" t="s">
        <v>47</v>
      </c>
      <c r="X317" s="4" t="s">
        <v>47</v>
      </c>
      <c r="Y317" s="4" t="s">
        <v>47</v>
      </c>
      <c r="Z317" s="4" t="s">
        <v>47</v>
      </c>
      <c r="AA317" s="4" t="s">
        <v>3345</v>
      </c>
      <c r="AB317" s="4" t="s">
        <v>47</v>
      </c>
      <c r="AC317" s="4" t="s">
        <v>47</v>
      </c>
      <c r="AD317" s="4" t="s">
        <v>47</v>
      </c>
      <c r="AE317" s="4" t="s">
        <v>47</v>
      </c>
      <c r="AF317" s="4" t="s">
        <v>47</v>
      </c>
      <c r="AG317" s="4" t="s">
        <v>47</v>
      </c>
      <c r="AH317" s="4" t="s">
        <v>47</v>
      </c>
      <c r="AI317" s="4" t="s">
        <v>47</v>
      </c>
      <c r="AJ317" s="4" t="s">
        <v>47</v>
      </c>
      <c r="AK317" s="4" t="s">
        <v>47</v>
      </c>
      <c r="AL317" s="4" t="s">
        <v>47</v>
      </c>
      <c r="AM317" s="4" t="s">
        <v>47</v>
      </c>
      <c r="AN317" s="4" t="s">
        <v>47</v>
      </c>
      <c r="AO317" s="4" t="s">
        <v>3346</v>
      </c>
      <c r="AP317" s="4" t="s">
        <v>3347</v>
      </c>
      <c r="AQ317" s="4" t="s">
        <v>3348</v>
      </c>
      <c r="AR317" s="4" t="s">
        <v>3349</v>
      </c>
    </row>
    <row r="318" spans="1:44" x14ac:dyDescent="0.2">
      <c r="A318" s="4" t="s">
        <v>323</v>
      </c>
      <c r="B318" s="4" t="s">
        <v>116</v>
      </c>
      <c r="C318">
        <v>0</v>
      </c>
      <c r="F318">
        <v>0</v>
      </c>
      <c r="I318" s="4" t="s">
        <v>3148</v>
      </c>
      <c r="J318" s="4" t="s">
        <v>47</v>
      </c>
      <c r="K318" s="4" t="s">
        <v>2655</v>
      </c>
      <c r="L318" s="4" t="s">
        <v>47</v>
      </c>
      <c r="M318">
        <v>62959</v>
      </c>
      <c r="N318" s="4" t="s">
        <v>2912</v>
      </c>
      <c r="O318" s="4" t="s">
        <v>47</v>
      </c>
      <c r="P318" s="4" t="s">
        <v>811</v>
      </c>
      <c r="Q318" s="9">
        <v>38878</v>
      </c>
      <c r="R318" s="4" t="s">
        <v>869</v>
      </c>
      <c r="S318" s="4" t="s">
        <v>47</v>
      </c>
      <c r="T318" s="4" t="s">
        <v>47</v>
      </c>
      <c r="U318" s="4" t="s">
        <v>92</v>
      </c>
      <c r="V318">
        <v>2006</v>
      </c>
      <c r="W318" s="4" t="s">
        <v>47</v>
      </c>
      <c r="X318" s="4" t="s">
        <v>47</v>
      </c>
      <c r="Y318" s="4" t="s">
        <v>47</v>
      </c>
      <c r="Z318" s="4" t="s">
        <v>47</v>
      </c>
      <c r="AA318" s="4" t="s">
        <v>47</v>
      </c>
      <c r="AB318" s="4" t="s">
        <v>47</v>
      </c>
      <c r="AC318" s="4" t="s">
        <v>47</v>
      </c>
      <c r="AD318" s="4" t="s">
        <v>47</v>
      </c>
      <c r="AE318" s="4" t="s">
        <v>47</v>
      </c>
      <c r="AF318" s="4" t="s">
        <v>47</v>
      </c>
      <c r="AG318" s="4" t="s">
        <v>47</v>
      </c>
      <c r="AH318" s="4" t="s">
        <v>47</v>
      </c>
      <c r="AI318" s="4" t="s">
        <v>47</v>
      </c>
      <c r="AJ318" s="4" t="s">
        <v>47</v>
      </c>
      <c r="AK318" s="4" t="s">
        <v>47</v>
      </c>
      <c r="AL318" s="4" t="s">
        <v>47</v>
      </c>
      <c r="AM318" s="4" t="s">
        <v>3350</v>
      </c>
      <c r="AN318" s="4" t="s">
        <v>47</v>
      </c>
      <c r="AO318" s="4" t="s">
        <v>3351</v>
      </c>
      <c r="AP318" s="4" t="s">
        <v>3352</v>
      </c>
      <c r="AQ318" s="4" t="s">
        <v>3353</v>
      </c>
      <c r="AR318" s="4" t="s">
        <v>3354</v>
      </c>
    </row>
    <row r="319" spans="1:44" x14ac:dyDescent="0.2">
      <c r="A319" s="4" t="s">
        <v>26</v>
      </c>
      <c r="B319" s="4" t="s">
        <v>190</v>
      </c>
      <c r="C319">
        <v>2</v>
      </c>
      <c r="F319">
        <v>1</v>
      </c>
      <c r="I319" s="4" t="s">
        <v>2938</v>
      </c>
      <c r="J319" s="4" t="s">
        <v>47</v>
      </c>
      <c r="K319" s="4" t="s">
        <v>3114</v>
      </c>
      <c r="L319" s="4" t="s">
        <v>47</v>
      </c>
      <c r="M319">
        <v>49480</v>
      </c>
      <c r="N319" s="4" t="s">
        <v>2952</v>
      </c>
      <c r="O319" s="4" t="s">
        <v>47</v>
      </c>
      <c r="P319" s="4" t="s">
        <v>811</v>
      </c>
      <c r="Q319" s="9">
        <v>38878</v>
      </c>
      <c r="R319" s="4" t="s">
        <v>617</v>
      </c>
      <c r="S319" s="4" t="s">
        <v>47</v>
      </c>
      <c r="T319" s="4" t="s">
        <v>47</v>
      </c>
      <c r="U319" s="4" t="s">
        <v>92</v>
      </c>
      <c r="V319">
        <v>2006</v>
      </c>
      <c r="W319" s="4" t="s">
        <v>3355</v>
      </c>
      <c r="X319" s="4" t="s">
        <v>3356</v>
      </c>
      <c r="Y319" s="4" t="s">
        <v>3357</v>
      </c>
      <c r="Z319" s="4" t="s">
        <v>3358</v>
      </c>
      <c r="AA319" s="4" t="s">
        <v>47</v>
      </c>
      <c r="AB319" s="4" t="s">
        <v>47</v>
      </c>
      <c r="AC319" s="4" t="s">
        <v>47</v>
      </c>
      <c r="AD319" s="4" t="s">
        <v>47</v>
      </c>
      <c r="AE319" s="4" t="s">
        <v>47</v>
      </c>
      <c r="AF319" s="4" t="s">
        <v>47</v>
      </c>
      <c r="AG319" s="4" t="s">
        <v>47</v>
      </c>
      <c r="AH319" s="4" t="s">
        <v>47</v>
      </c>
      <c r="AI319" s="4" t="s">
        <v>47</v>
      </c>
      <c r="AJ319" s="4" t="s">
        <v>47</v>
      </c>
      <c r="AK319" s="4" t="s">
        <v>47</v>
      </c>
      <c r="AL319" s="4" t="s">
        <v>47</v>
      </c>
      <c r="AM319" s="4" t="s">
        <v>47</v>
      </c>
      <c r="AN319" s="4" t="s">
        <v>47</v>
      </c>
      <c r="AO319" s="4" t="s">
        <v>3359</v>
      </c>
      <c r="AP319" s="4" t="s">
        <v>3360</v>
      </c>
      <c r="AQ319" s="4" t="s">
        <v>3361</v>
      </c>
      <c r="AR319" s="4" t="s">
        <v>3362</v>
      </c>
    </row>
    <row r="320" spans="1:44" x14ac:dyDescent="0.2">
      <c r="A320" s="4" t="s">
        <v>92</v>
      </c>
      <c r="B320" s="4" t="s">
        <v>225</v>
      </c>
      <c r="C320">
        <v>4</v>
      </c>
      <c r="F320">
        <v>2</v>
      </c>
      <c r="I320" s="4" t="s">
        <v>1934</v>
      </c>
      <c r="J320" s="4" t="s">
        <v>47</v>
      </c>
      <c r="K320" s="4" t="s">
        <v>3131</v>
      </c>
      <c r="L320" s="4" t="s">
        <v>47</v>
      </c>
      <c r="M320">
        <v>64950</v>
      </c>
      <c r="N320" s="4" t="s">
        <v>2906</v>
      </c>
      <c r="O320" s="4" t="s">
        <v>47</v>
      </c>
      <c r="P320" s="4" t="s">
        <v>811</v>
      </c>
      <c r="Q320" s="9">
        <v>38877</v>
      </c>
      <c r="R320" s="4" t="s">
        <v>1236</v>
      </c>
      <c r="S320" s="4" t="s">
        <v>47</v>
      </c>
      <c r="T320" s="4" t="s">
        <v>47</v>
      </c>
      <c r="U320" s="4" t="s">
        <v>92</v>
      </c>
      <c r="V320">
        <v>2006</v>
      </c>
      <c r="W320" s="4" t="s">
        <v>3363</v>
      </c>
      <c r="X320" s="4" t="s">
        <v>3364</v>
      </c>
      <c r="Y320" s="4" t="s">
        <v>3365</v>
      </c>
      <c r="Z320" s="4" t="s">
        <v>3366</v>
      </c>
      <c r="AA320" s="4" t="s">
        <v>47</v>
      </c>
      <c r="AB320" s="4" t="s">
        <v>47</v>
      </c>
      <c r="AC320" s="4" t="s">
        <v>47</v>
      </c>
      <c r="AD320" s="4" t="s">
        <v>47</v>
      </c>
      <c r="AE320" s="4" t="s">
        <v>47</v>
      </c>
      <c r="AF320" s="4" t="s">
        <v>47</v>
      </c>
      <c r="AG320" s="4" t="s">
        <v>47</v>
      </c>
      <c r="AH320" s="4" t="s">
        <v>47</v>
      </c>
      <c r="AI320" s="4" t="s">
        <v>47</v>
      </c>
      <c r="AJ320" s="4" t="s">
        <v>47</v>
      </c>
      <c r="AK320" s="4" t="s">
        <v>47</v>
      </c>
      <c r="AL320" s="4" t="s">
        <v>47</v>
      </c>
      <c r="AM320" s="4" t="s">
        <v>47</v>
      </c>
      <c r="AN320" s="4" t="s">
        <v>47</v>
      </c>
      <c r="AO320" s="4" t="s">
        <v>47</v>
      </c>
      <c r="AP320" s="4" t="s">
        <v>3367</v>
      </c>
      <c r="AQ320" s="4" t="s">
        <v>3368</v>
      </c>
      <c r="AR320" s="4" t="s">
        <v>3369</v>
      </c>
    </row>
    <row r="321" spans="1:44" x14ac:dyDescent="0.2">
      <c r="A321" s="4" t="s">
        <v>195</v>
      </c>
      <c r="B321" s="4" t="s">
        <v>171</v>
      </c>
      <c r="C321">
        <v>0</v>
      </c>
      <c r="F321">
        <v>2</v>
      </c>
      <c r="I321" s="4" t="s">
        <v>3132</v>
      </c>
      <c r="J321" s="4" t="s">
        <v>47</v>
      </c>
      <c r="K321" s="4" t="s">
        <v>874</v>
      </c>
      <c r="L321" s="4" t="s">
        <v>47</v>
      </c>
      <c r="M321">
        <v>52000</v>
      </c>
      <c r="N321" s="4" t="s">
        <v>2919</v>
      </c>
      <c r="O321" s="4" t="s">
        <v>47</v>
      </c>
      <c r="P321" s="4" t="s">
        <v>811</v>
      </c>
      <c r="Q321" s="9">
        <v>38877</v>
      </c>
      <c r="R321" s="4" t="s">
        <v>824</v>
      </c>
      <c r="S321" s="4" t="s">
        <v>47</v>
      </c>
      <c r="T321" s="4" t="s">
        <v>47</v>
      </c>
      <c r="U321" s="4" t="s">
        <v>92</v>
      </c>
      <c r="V321">
        <v>2006</v>
      </c>
      <c r="W321" s="4" t="s">
        <v>47</v>
      </c>
      <c r="X321" s="4" t="s">
        <v>3370</v>
      </c>
      <c r="Y321" s="4" t="s">
        <v>47</v>
      </c>
      <c r="Z321" s="4" t="s">
        <v>3371</v>
      </c>
      <c r="AA321" s="4" t="s">
        <v>47</v>
      </c>
      <c r="AB321" s="4" t="s">
        <v>47</v>
      </c>
      <c r="AC321" s="4" t="s">
        <v>47</v>
      </c>
      <c r="AD321" s="4" t="s">
        <v>47</v>
      </c>
      <c r="AE321" s="4" t="s">
        <v>47</v>
      </c>
      <c r="AF321" s="4" t="s">
        <v>47</v>
      </c>
      <c r="AG321" s="4" t="s">
        <v>47</v>
      </c>
      <c r="AH321" s="4" t="s">
        <v>47</v>
      </c>
      <c r="AI321" s="4" t="s">
        <v>47</v>
      </c>
      <c r="AJ321" s="4" t="s">
        <v>47</v>
      </c>
      <c r="AK321" s="4" t="s">
        <v>47</v>
      </c>
      <c r="AL321" s="4" t="s">
        <v>47</v>
      </c>
      <c r="AM321" s="4" t="s">
        <v>47</v>
      </c>
      <c r="AN321" s="4" t="s">
        <v>47</v>
      </c>
      <c r="AO321" s="4" t="s">
        <v>3372</v>
      </c>
      <c r="AP321" s="4" t="s">
        <v>3373</v>
      </c>
      <c r="AQ321" s="4" t="s">
        <v>3374</v>
      </c>
      <c r="AR321" s="4" t="s">
        <v>3375</v>
      </c>
    </row>
    <row r="322" spans="1:44" x14ac:dyDescent="0.2">
      <c r="A322" s="4" t="s">
        <v>92</v>
      </c>
      <c r="B322" s="4" t="s">
        <v>12</v>
      </c>
      <c r="C322">
        <v>0</v>
      </c>
      <c r="F322">
        <v>2</v>
      </c>
      <c r="I322" s="4" t="s">
        <v>3376</v>
      </c>
      <c r="J322" s="4" t="s">
        <v>47</v>
      </c>
      <c r="K322" s="4" t="s">
        <v>1857</v>
      </c>
      <c r="L322" s="4" t="s">
        <v>47</v>
      </c>
      <c r="M322">
        <v>69029</v>
      </c>
      <c r="N322" s="4" t="s">
        <v>3377</v>
      </c>
      <c r="O322" s="4" t="s">
        <v>47</v>
      </c>
      <c r="P322" s="4" t="s">
        <v>593</v>
      </c>
      <c r="Q322" s="9">
        <v>37437</v>
      </c>
      <c r="R322" s="4" t="s">
        <v>824</v>
      </c>
      <c r="S322" s="4" t="s">
        <v>47</v>
      </c>
      <c r="T322" s="4" t="s">
        <v>47</v>
      </c>
      <c r="U322" s="4" t="s">
        <v>99</v>
      </c>
      <c r="V322">
        <v>2002</v>
      </c>
      <c r="W322" s="4" t="s">
        <v>47</v>
      </c>
      <c r="X322" s="4" t="s">
        <v>3378</v>
      </c>
      <c r="Y322" s="4" t="s">
        <v>47</v>
      </c>
      <c r="Z322" s="4" t="s">
        <v>3379</v>
      </c>
      <c r="AA322" s="4" t="s">
        <v>47</v>
      </c>
      <c r="AB322" s="4" t="s">
        <v>47</v>
      </c>
      <c r="AC322" s="4" t="s">
        <v>47</v>
      </c>
      <c r="AD322" s="4" t="s">
        <v>47</v>
      </c>
      <c r="AE322" s="4" t="s">
        <v>47</v>
      </c>
      <c r="AF322" s="4" t="s">
        <v>47</v>
      </c>
      <c r="AG322" s="4" t="s">
        <v>47</v>
      </c>
      <c r="AH322" s="4" t="s">
        <v>47</v>
      </c>
      <c r="AI322" s="4" t="s">
        <v>47</v>
      </c>
      <c r="AJ322" s="4" t="s">
        <v>47</v>
      </c>
      <c r="AK322" s="4" t="s">
        <v>47</v>
      </c>
      <c r="AL322" s="4" t="s">
        <v>47</v>
      </c>
      <c r="AM322" s="4" t="s">
        <v>47</v>
      </c>
      <c r="AN322" s="4" t="s">
        <v>47</v>
      </c>
      <c r="AO322" s="4" t="s">
        <v>3380</v>
      </c>
      <c r="AP322" s="4" t="s">
        <v>3381</v>
      </c>
      <c r="AQ322" s="4" t="s">
        <v>3382</v>
      </c>
      <c r="AR322" s="4" t="s">
        <v>3383</v>
      </c>
    </row>
    <row r="323" spans="1:44" x14ac:dyDescent="0.2">
      <c r="A323" s="4" t="s">
        <v>175</v>
      </c>
      <c r="B323" s="4" t="s">
        <v>169</v>
      </c>
      <c r="C323">
        <v>2</v>
      </c>
      <c r="F323">
        <v>3</v>
      </c>
      <c r="I323" s="4" t="s">
        <v>2974</v>
      </c>
      <c r="J323" s="4" t="s">
        <v>47</v>
      </c>
      <c r="K323" s="4" t="s">
        <v>3384</v>
      </c>
      <c r="L323" s="4" t="s">
        <v>47</v>
      </c>
      <c r="M323">
        <v>63483</v>
      </c>
      <c r="N323" s="4" t="s">
        <v>3385</v>
      </c>
      <c r="O323" s="4" t="s">
        <v>47</v>
      </c>
      <c r="P323" s="4" t="s">
        <v>616</v>
      </c>
      <c r="Q323" s="9">
        <v>37436</v>
      </c>
      <c r="R323" s="4" t="s">
        <v>847</v>
      </c>
      <c r="S323" s="4" t="s">
        <v>47</v>
      </c>
      <c r="T323" s="4" t="s">
        <v>47</v>
      </c>
      <c r="U323" s="4" t="s">
        <v>99</v>
      </c>
      <c r="V323">
        <v>2002</v>
      </c>
      <c r="W323" s="4" t="s">
        <v>3386</v>
      </c>
      <c r="X323" s="4" t="s">
        <v>3387</v>
      </c>
      <c r="Y323" s="4" t="s">
        <v>3388</v>
      </c>
      <c r="Z323" s="4" t="s">
        <v>3389</v>
      </c>
      <c r="AA323" s="4" t="s">
        <v>47</v>
      </c>
      <c r="AB323" s="4" t="s">
        <v>47</v>
      </c>
      <c r="AC323" s="4" t="s">
        <v>47</v>
      </c>
      <c r="AD323" s="4" t="s">
        <v>47</v>
      </c>
      <c r="AE323" s="4" t="s">
        <v>47</v>
      </c>
      <c r="AF323" s="4" t="s">
        <v>47</v>
      </c>
      <c r="AG323" s="4" t="s">
        <v>47</v>
      </c>
      <c r="AH323" s="4" t="s">
        <v>47</v>
      </c>
      <c r="AI323" s="4" t="s">
        <v>47</v>
      </c>
      <c r="AJ323" s="4" t="s">
        <v>47</v>
      </c>
      <c r="AK323" s="4" t="s">
        <v>47</v>
      </c>
      <c r="AL323" s="4" t="s">
        <v>47</v>
      </c>
      <c r="AM323" s="4" t="s">
        <v>47</v>
      </c>
      <c r="AN323" s="4" t="s">
        <v>47</v>
      </c>
      <c r="AO323" s="4" t="s">
        <v>3390</v>
      </c>
      <c r="AP323" s="4" t="s">
        <v>3391</v>
      </c>
      <c r="AQ323" s="4" t="s">
        <v>3392</v>
      </c>
      <c r="AR323" s="4" t="s">
        <v>3393</v>
      </c>
    </row>
    <row r="324" spans="1:44" x14ac:dyDescent="0.2">
      <c r="A324" s="4" t="s">
        <v>12</v>
      </c>
      <c r="B324" s="4" t="s">
        <v>169</v>
      </c>
      <c r="C324">
        <v>1</v>
      </c>
      <c r="F324">
        <v>0</v>
      </c>
      <c r="I324" s="4" t="s">
        <v>1857</v>
      </c>
      <c r="J324" s="4" t="s">
        <v>47</v>
      </c>
      <c r="K324" s="4" t="s">
        <v>3384</v>
      </c>
      <c r="L324" s="4" t="s">
        <v>47</v>
      </c>
      <c r="M324">
        <v>61058</v>
      </c>
      <c r="N324" s="4" t="s">
        <v>3394</v>
      </c>
      <c r="O324" s="4" t="s">
        <v>47</v>
      </c>
      <c r="P324" s="4" t="s">
        <v>629</v>
      </c>
      <c r="Q324" s="9">
        <v>37433</v>
      </c>
      <c r="R324" s="4" t="s">
        <v>652</v>
      </c>
      <c r="S324" s="4" t="s">
        <v>47</v>
      </c>
      <c r="T324" s="4" t="s">
        <v>47</v>
      </c>
      <c r="U324" s="4" t="s">
        <v>99</v>
      </c>
      <c r="V324">
        <v>2002</v>
      </c>
      <c r="W324" s="4" t="s">
        <v>3395</v>
      </c>
      <c r="X324" s="4" t="s">
        <v>47</v>
      </c>
      <c r="Y324" s="4" t="s">
        <v>3396</v>
      </c>
      <c r="Z324" s="4" t="s">
        <v>47</v>
      </c>
      <c r="AA324" s="4" t="s">
        <v>47</v>
      </c>
      <c r="AB324" s="4" t="s">
        <v>47</v>
      </c>
      <c r="AC324" s="4" t="s">
        <v>47</v>
      </c>
      <c r="AD324" s="4" t="s">
        <v>47</v>
      </c>
      <c r="AE324" s="4" t="s">
        <v>47</v>
      </c>
      <c r="AF324" s="4" t="s">
        <v>47</v>
      </c>
      <c r="AG324" s="4" t="s">
        <v>47</v>
      </c>
      <c r="AH324" s="4" t="s">
        <v>47</v>
      </c>
      <c r="AI324" s="4" t="s">
        <v>47</v>
      </c>
      <c r="AJ324" s="4" t="s">
        <v>47</v>
      </c>
      <c r="AK324" s="4" t="s">
        <v>47</v>
      </c>
      <c r="AL324" s="4" t="s">
        <v>47</v>
      </c>
      <c r="AM324" s="4" t="s">
        <v>47</v>
      </c>
      <c r="AN324" s="4" t="s">
        <v>47</v>
      </c>
      <c r="AO324" s="4" t="s">
        <v>3397</v>
      </c>
      <c r="AP324" s="4" t="s">
        <v>3398</v>
      </c>
      <c r="AQ324" s="4" t="s">
        <v>3399</v>
      </c>
      <c r="AR324" s="4" t="s">
        <v>3400</v>
      </c>
    </row>
    <row r="325" spans="1:44" x14ac:dyDescent="0.2">
      <c r="A325" s="4" t="s">
        <v>92</v>
      </c>
      <c r="B325" s="4" t="s">
        <v>175</v>
      </c>
      <c r="C325">
        <v>1</v>
      </c>
      <c r="F325">
        <v>0</v>
      </c>
      <c r="I325" s="4" t="s">
        <v>3376</v>
      </c>
      <c r="J325" s="4" t="s">
        <v>47</v>
      </c>
      <c r="K325" s="4" t="s">
        <v>2974</v>
      </c>
      <c r="L325" s="4" t="s">
        <v>47</v>
      </c>
      <c r="M325">
        <v>65625</v>
      </c>
      <c r="N325" s="4" t="s">
        <v>3401</v>
      </c>
      <c r="O325" s="4" t="s">
        <v>47</v>
      </c>
      <c r="P325" s="4" t="s">
        <v>629</v>
      </c>
      <c r="Q325" s="9">
        <v>37432</v>
      </c>
      <c r="R325" s="4" t="s">
        <v>652</v>
      </c>
      <c r="S325" s="4" t="s">
        <v>47</v>
      </c>
      <c r="T325" s="4" t="s">
        <v>47</v>
      </c>
      <c r="U325" s="4" t="s">
        <v>99</v>
      </c>
      <c r="V325">
        <v>2002</v>
      </c>
      <c r="W325" s="4" t="s">
        <v>3402</v>
      </c>
      <c r="X325" s="4" t="s">
        <v>47</v>
      </c>
      <c r="Y325" s="4" t="s">
        <v>3403</v>
      </c>
      <c r="Z325" s="4" t="s">
        <v>47</v>
      </c>
      <c r="AA325" s="4" t="s">
        <v>47</v>
      </c>
      <c r="AB325" s="4" t="s">
        <v>47</v>
      </c>
      <c r="AC325" s="4" t="s">
        <v>47</v>
      </c>
      <c r="AD325" s="4" t="s">
        <v>47</v>
      </c>
      <c r="AE325" s="4" t="s">
        <v>47</v>
      </c>
      <c r="AF325" s="4" t="s">
        <v>47</v>
      </c>
      <c r="AG325" s="4" t="s">
        <v>47</v>
      </c>
      <c r="AH325" s="4" t="s">
        <v>47</v>
      </c>
      <c r="AI325" s="4" t="s">
        <v>47</v>
      </c>
      <c r="AJ325" s="4" t="s">
        <v>47</v>
      </c>
      <c r="AK325" s="4" t="s">
        <v>47</v>
      </c>
      <c r="AL325" s="4" t="s">
        <v>47</v>
      </c>
      <c r="AM325" s="4" t="s">
        <v>47</v>
      </c>
      <c r="AN325" s="4" t="s">
        <v>47</v>
      </c>
      <c r="AO325" s="4" t="s">
        <v>3404</v>
      </c>
      <c r="AP325" s="4" t="s">
        <v>3405</v>
      </c>
      <c r="AQ325" s="4" t="s">
        <v>3406</v>
      </c>
      <c r="AR325" s="4" t="s">
        <v>3407</v>
      </c>
    </row>
    <row r="326" spans="1:44" x14ac:dyDescent="0.2">
      <c r="A326" s="4" t="s">
        <v>20</v>
      </c>
      <c r="B326" s="4" t="s">
        <v>175</v>
      </c>
      <c r="C326">
        <v>0</v>
      </c>
      <c r="E326">
        <v>3</v>
      </c>
      <c r="F326">
        <v>0</v>
      </c>
      <c r="H326">
        <v>5</v>
      </c>
      <c r="I326" s="4" t="s">
        <v>3408</v>
      </c>
      <c r="J326" s="4" t="s">
        <v>47</v>
      </c>
      <c r="K326" s="4" t="s">
        <v>2974</v>
      </c>
      <c r="L326" s="4" t="s">
        <v>47</v>
      </c>
      <c r="M326">
        <v>42114</v>
      </c>
      <c r="N326" s="4" t="s">
        <v>3409</v>
      </c>
      <c r="O326" s="4" t="s">
        <v>47</v>
      </c>
      <c r="P326" s="4" t="s">
        <v>651</v>
      </c>
      <c r="Q326" s="9">
        <v>37429</v>
      </c>
      <c r="R326" s="4" t="s">
        <v>3410</v>
      </c>
      <c r="S326" s="4" t="s">
        <v>47</v>
      </c>
      <c r="T326" s="4" t="s">
        <v>3411</v>
      </c>
      <c r="U326" s="4" t="s">
        <v>99</v>
      </c>
      <c r="V326">
        <v>2002</v>
      </c>
      <c r="W326" s="4" t="s">
        <v>47</v>
      </c>
      <c r="X326" s="4" t="s">
        <v>47</v>
      </c>
      <c r="Y326" s="4" t="s">
        <v>47</v>
      </c>
      <c r="Z326" s="4" t="s">
        <v>47</v>
      </c>
      <c r="AA326" s="4" t="s">
        <v>47</v>
      </c>
      <c r="AB326" s="4" t="s">
        <v>47</v>
      </c>
      <c r="AC326" s="4" t="s">
        <v>47</v>
      </c>
      <c r="AD326" s="4" t="s">
        <v>47</v>
      </c>
      <c r="AE326" s="4" t="s">
        <v>47</v>
      </c>
      <c r="AF326" s="4" t="s">
        <v>47</v>
      </c>
      <c r="AG326" s="4" t="s">
        <v>3412</v>
      </c>
      <c r="AH326" s="4" t="s">
        <v>3413</v>
      </c>
      <c r="AI326" s="4" t="s">
        <v>3414</v>
      </c>
      <c r="AJ326" s="4" t="s">
        <v>47</v>
      </c>
      <c r="AK326" s="4" t="s">
        <v>47</v>
      </c>
      <c r="AL326" s="4" t="s">
        <v>47</v>
      </c>
      <c r="AM326" s="4" t="s">
        <v>47</v>
      </c>
      <c r="AN326" s="4" t="s">
        <v>47</v>
      </c>
      <c r="AO326" s="4" t="s">
        <v>3415</v>
      </c>
      <c r="AP326" s="4" t="s">
        <v>3416</v>
      </c>
      <c r="AQ326" s="4" t="s">
        <v>3417</v>
      </c>
      <c r="AR326" s="4" t="s">
        <v>3418</v>
      </c>
    </row>
    <row r="327" spans="1:44" x14ac:dyDescent="0.2">
      <c r="A327" s="4" t="s">
        <v>157</v>
      </c>
      <c r="B327" s="4" t="s">
        <v>169</v>
      </c>
      <c r="C327">
        <v>0</v>
      </c>
      <c r="F327">
        <v>1</v>
      </c>
      <c r="I327" s="4" t="s">
        <v>3419</v>
      </c>
      <c r="J327" s="4" t="s">
        <v>47</v>
      </c>
      <c r="K327" s="4" t="s">
        <v>3384</v>
      </c>
      <c r="L327" s="4" t="s">
        <v>47</v>
      </c>
      <c r="M327">
        <v>44233</v>
      </c>
      <c r="N327" s="4" t="s">
        <v>3420</v>
      </c>
      <c r="O327" s="4" t="s">
        <v>47</v>
      </c>
      <c r="P327" s="4" t="s">
        <v>651</v>
      </c>
      <c r="Q327" s="9">
        <v>37429</v>
      </c>
      <c r="R327" s="4" t="s">
        <v>963</v>
      </c>
      <c r="S327" s="4" t="s">
        <v>47</v>
      </c>
      <c r="T327" s="4" t="s">
        <v>1258</v>
      </c>
      <c r="U327" s="4" t="s">
        <v>99</v>
      </c>
      <c r="V327">
        <v>2002</v>
      </c>
      <c r="W327" s="4" t="s">
        <v>47</v>
      </c>
      <c r="X327" s="4" t="s">
        <v>3421</v>
      </c>
      <c r="Y327" s="4" t="s">
        <v>47</v>
      </c>
      <c r="Z327" s="4" t="s">
        <v>3422</v>
      </c>
      <c r="AA327" s="4" t="s">
        <v>47</v>
      </c>
      <c r="AB327" s="4" t="s">
        <v>47</v>
      </c>
      <c r="AC327" s="4" t="s">
        <v>47</v>
      </c>
      <c r="AD327" s="4" t="s">
        <v>47</v>
      </c>
      <c r="AE327" s="4" t="s">
        <v>47</v>
      </c>
      <c r="AF327" s="4" t="s">
        <v>47</v>
      </c>
      <c r="AG327" s="4" t="s">
        <v>47</v>
      </c>
      <c r="AH327" s="4" t="s">
        <v>47</v>
      </c>
      <c r="AI327" s="4" t="s">
        <v>47</v>
      </c>
      <c r="AJ327" s="4" t="s">
        <v>47</v>
      </c>
      <c r="AK327" s="4" t="s">
        <v>47</v>
      </c>
      <c r="AL327" s="4" t="s">
        <v>47</v>
      </c>
      <c r="AM327" s="4" t="s">
        <v>47</v>
      </c>
      <c r="AN327" s="4" t="s">
        <v>47</v>
      </c>
      <c r="AO327" s="4" t="s">
        <v>3423</v>
      </c>
      <c r="AP327" s="4" t="s">
        <v>3424</v>
      </c>
      <c r="AQ327" s="4" t="s">
        <v>47</v>
      </c>
      <c r="AR327" s="4" t="s">
        <v>3425</v>
      </c>
    </row>
    <row r="328" spans="1:44" x14ac:dyDescent="0.2">
      <c r="A328" s="4" t="s">
        <v>52</v>
      </c>
      <c r="B328" s="4" t="s">
        <v>12</v>
      </c>
      <c r="C328">
        <v>1</v>
      </c>
      <c r="F328">
        <v>2</v>
      </c>
      <c r="I328" s="4" t="s">
        <v>2558</v>
      </c>
      <c r="J328" s="4" t="s">
        <v>47</v>
      </c>
      <c r="K328" s="4" t="s">
        <v>1857</v>
      </c>
      <c r="L328" s="4" t="s">
        <v>47</v>
      </c>
      <c r="M328">
        <v>47436</v>
      </c>
      <c r="N328" s="4" t="s">
        <v>3426</v>
      </c>
      <c r="O328" s="4" t="s">
        <v>47</v>
      </c>
      <c r="P328" s="4" t="s">
        <v>651</v>
      </c>
      <c r="Q328" s="9">
        <v>37428</v>
      </c>
      <c r="R328" s="4" t="s">
        <v>664</v>
      </c>
      <c r="S328" s="4" t="s">
        <v>47</v>
      </c>
      <c r="T328" s="4" t="s">
        <v>47</v>
      </c>
      <c r="U328" s="4" t="s">
        <v>99</v>
      </c>
      <c r="V328">
        <v>2002</v>
      </c>
      <c r="W328" s="4" t="s">
        <v>3427</v>
      </c>
      <c r="X328" s="4" t="s">
        <v>3428</v>
      </c>
      <c r="Y328" s="4" t="s">
        <v>3429</v>
      </c>
      <c r="Z328" s="4" t="s">
        <v>3430</v>
      </c>
      <c r="AA328" s="4" t="s">
        <v>47</v>
      </c>
      <c r="AB328" s="4" t="s">
        <v>47</v>
      </c>
      <c r="AC328" s="4" t="s">
        <v>47</v>
      </c>
      <c r="AD328" s="4" t="s">
        <v>47</v>
      </c>
      <c r="AE328" s="4" t="s">
        <v>47</v>
      </c>
      <c r="AF328" s="4" t="s">
        <v>47</v>
      </c>
      <c r="AG328" s="4" t="s">
        <v>47</v>
      </c>
      <c r="AH328" s="4" t="s">
        <v>47</v>
      </c>
      <c r="AI328" s="4" t="s">
        <v>47</v>
      </c>
      <c r="AJ328" s="4" t="s">
        <v>47</v>
      </c>
      <c r="AK328" s="4" t="s">
        <v>47</v>
      </c>
      <c r="AL328" s="4" t="s">
        <v>3431</v>
      </c>
      <c r="AM328" s="4" t="s">
        <v>47</v>
      </c>
      <c r="AN328" s="4" t="s">
        <v>47</v>
      </c>
      <c r="AO328" s="4" t="s">
        <v>3432</v>
      </c>
      <c r="AP328" s="4" t="s">
        <v>47</v>
      </c>
      <c r="AQ328" s="4" t="s">
        <v>3433</v>
      </c>
      <c r="AR328" s="4" t="s">
        <v>3434</v>
      </c>
    </row>
    <row r="329" spans="1:44" x14ac:dyDescent="0.2">
      <c r="A329" s="4" t="s">
        <v>92</v>
      </c>
      <c r="B329" s="4" t="s">
        <v>102</v>
      </c>
      <c r="C329">
        <v>1</v>
      </c>
      <c r="F329">
        <v>0</v>
      </c>
      <c r="I329" s="4" t="s">
        <v>3376</v>
      </c>
      <c r="J329" s="4" t="s">
        <v>47</v>
      </c>
      <c r="K329" s="4" t="s">
        <v>3053</v>
      </c>
      <c r="L329" s="4" t="s">
        <v>47</v>
      </c>
      <c r="M329">
        <v>37337</v>
      </c>
      <c r="N329" s="4" t="s">
        <v>3435</v>
      </c>
      <c r="O329" s="4" t="s">
        <v>47</v>
      </c>
      <c r="P329" s="4" t="s">
        <v>651</v>
      </c>
      <c r="Q329" s="9">
        <v>37428</v>
      </c>
      <c r="R329" s="4" t="s">
        <v>652</v>
      </c>
      <c r="S329" s="4" t="s">
        <v>47</v>
      </c>
      <c r="T329" s="4" t="s">
        <v>47</v>
      </c>
      <c r="U329" s="4" t="s">
        <v>99</v>
      </c>
      <c r="V329">
        <v>2002</v>
      </c>
      <c r="W329" s="4" t="s">
        <v>3436</v>
      </c>
      <c r="X329" s="4" t="s">
        <v>47</v>
      </c>
      <c r="Y329" s="4" t="s">
        <v>3437</v>
      </c>
      <c r="Z329" s="4" t="s">
        <v>47</v>
      </c>
      <c r="AA329" s="4" t="s">
        <v>47</v>
      </c>
      <c r="AB329" s="4" t="s">
        <v>47</v>
      </c>
      <c r="AC329" s="4" t="s">
        <v>47</v>
      </c>
      <c r="AD329" s="4" t="s">
        <v>47</v>
      </c>
      <c r="AE329" s="4" t="s">
        <v>47</v>
      </c>
      <c r="AF329" s="4" t="s">
        <v>47</v>
      </c>
      <c r="AG329" s="4" t="s">
        <v>47</v>
      </c>
      <c r="AH329" s="4" t="s">
        <v>47</v>
      </c>
      <c r="AI329" s="4" t="s">
        <v>47</v>
      </c>
      <c r="AJ329" s="4" t="s">
        <v>47</v>
      </c>
      <c r="AK329" s="4" t="s">
        <v>47</v>
      </c>
      <c r="AL329" s="4" t="s">
        <v>47</v>
      </c>
      <c r="AM329" s="4" t="s">
        <v>47</v>
      </c>
      <c r="AN329" s="4" t="s">
        <v>47</v>
      </c>
      <c r="AO329" s="4" t="s">
        <v>3438</v>
      </c>
      <c r="AP329" s="4" t="s">
        <v>3439</v>
      </c>
      <c r="AQ329" s="4" t="s">
        <v>3440</v>
      </c>
      <c r="AR329" s="4" t="s">
        <v>3441</v>
      </c>
    </row>
    <row r="330" spans="1:44" x14ac:dyDescent="0.2">
      <c r="A330" s="4" t="s">
        <v>161</v>
      </c>
      <c r="B330" s="4" t="s">
        <v>169</v>
      </c>
      <c r="C330">
        <v>0</v>
      </c>
      <c r="F330">
        <v>1</v>
      </c>
      <c r="I330" s="4" t="s">
        <v>3442</v>
      </c>
      <c r="J330" s="4" t="s">
        <v>47</v>
      </c>
      <c r="K330" s="4" t="s">
        <v>3384</v>
      </c>
      <c r="L330" s="4" t="s">
        <v>47</v>
      </c>
      <c r="M330">
        <v>45666</v>
      </c>
      <c r="N330" s="4" t="s">
        <v>3443</v>
      </c>
      <c r="O330" s="4" t="s">
        <v>47</v>
      </c>
      <c r="P330" s="4" t="s">
        <v>714</v>
      </c>
      <c r="Q330" s="9">
        <v>37425</v>
      </c>
      <c r="R330" s="4" t="s">
        <v>963</v>
      </c>
      <c r="S330" s="4" t="s">
        <v>47</v>
      </c>
      <c r="T330" s="4" t="s">
        <v>47</v>
      </c>
      <c r="U330" s="4" t="s">
        <v>99</v>
      </c>
      <c r="V330">
        <v>2002</v>
      </c>
      <c r="W330" s="4" t="s">
        <v>47</v>
      </c>
      <c r="X330" s="4" t="s">
        <v>3444</v>
      </c>
      <c r="Y330" s="4" t="s">
        <v>47</v>
      </c>
      <c r="Z330" s="4" t="s">
        <v>3445</v>
      </c>
      <c r="AA330" s="4" t="s">
        <v>47</v>
      </c>
      <c r="AB330" s="4" t="s">
        <v>47</v>
      </c>
      <c r="AC330" s="4" t="s">
        <v>47</v>
      </c>
      <c r="AD330" s="4" t="s">
        <v>47</v>
      </c>
      <c r="AE330" s="4" t="s">
        <v>47</v>
      </c>
      <c r="AF330" s="4" t="s">
        <v>47</v>
      </c>
      <c r="AG330" s="4" t="s">
        <v>47</v>
      </c>
      <c r="AH330" s="4" t="s">
        <v>47</v>
      </c>
      <c r="AI330" s="4" t="s">
        <v>47</v>
      </c>
      <c r="AJ330" s="4" t="s">
        <v>47</v>
      </c>
      <c r="AK330" s="4" t="s">
        <v>47</v>
      </c>
      <c r="AL330" s="4" t="s">
        <v>47</v>
      </c>
      <c r="AM330" s="4" t="s">
        <v>47</v>
      </c>
      <c r="AN330" s="4" t="s">
        <v>47</v>
      </c>
      <c r="AO330" s="4" t="s">
        <v>3446</v>
      </c>
      <c r="AP330" s="4" t="s">
        <v>3447</v>
      </c>
      <c r="AQ330" s="4" t="s">
        <v>3448</v>
      </c>
      <c r="AR330" s="4" t="s">
        <v>3449</v>
      </c>
    </row>
    <row r="331" spans="1:44" x14ac:dyDescent="0.2">
      <c r="A331" s="4" t="s">
        <v>175</v>
      </c>
      <c r="B331" s="4" t="s">
        <v>97</v>
      </c>
      <c r="C331">
        <v>2</v>
      </c>
      <c r="F331">
        <v>1</v>
      </c>
      <c r="I331" s="4" t="s">
        <v>2974</v>
      </c>
      <c r="J331" s="4" t="s">
        <v>47</v>
      </c>
      <c r="K331" s="4" t="s">
        <v>3450</v>
      </c>
      <c r="L331" s="4" t="s">
        <v>47</v>
      </c>
      <c r="M331">
        <v>38588</v>
      </c>
      <c r="N331" s="4" t="s">
        <v>3426</v>
      </c>
      <c r="O331" s="4" t="s">
        <v>47</v>
      </c>
      <c r="P331" s="4" t="s">
        <v>714</v>
      </c>
      <c r="Q331" s="9">
        <v>37425</v>
      </c>
      <c r="R331" s="4" t="s">
        <v>617</v>
      </c>
      <c r="S331" s="4" t="s">
        <v>47</v>
      </c>
      <c r="T331" s="4" t="s">
        <v>1258</v>
      </c>
      <c r="U331" s="4" t="s">
        <v>99</v>
      </c>
      <c r="V331">
        <v>2002</v>
      </c>
      <c r="W331" s="4" t="s">
        <v>3451</v>
      </c>
      <c r="X331" s="4" t="s">
        <v>3452</v>
      </c>
      <c r="Y331" s="4" t="s">
        <v>3453</v>
      </c>
      <c r="Z331" s="4" t="s">
        <v>3454</v>
      </c>
      <c r="AA331" s="4" t="s">
        <v>47</v>
      </c>
      <c r="AB331" s="4" t="s">
        <v>47</v>
      </c>
      <c r="AC331" s="4" t="s">
        <v>47</v>
      </c>
      <c r="AD331" s="4" t="s">
        <v>47</v>
      </c>
      <c r="AE331" s="4" t="s">
        <v>47</v>
      </c>
      <c r="AF331" s="4" t="s">
        <v>47</v>
      </c>
      <c r="AG331" s="4" t="s">
        <v>47</v>
      </c>
      <c r="AH331" s="4" t="s">
        <v>47</v>
      </c>
      <c r="AI331" s="4" t="s">
        <v>47</v>
      </c>
      <c r="AJ331" s="4" t="s">
        <v>47</v>
      </c>
      <c r="AK331" s="4" t="s">
        <v>47</v>
      </c>
      <c r="AL331" s="4" t="s">
        <v>47</v>
      </c>
      <c r="AM331" s="4" t="s">
        <v>47</v>
      </c>
      <c r="AN331" s="4" t="s">
        <v>3455</v>
      </c>
      <c r="AO331" s="4" t="s">
        <v>3456</v>
      </c>
      <c r="AP331" s="4" t="s">
        <v>3457</v>
      </c>
      <c r="AQ331" s="4" t="s">
        <v>3458</v>
      </c>
      <c r="AR331" s="4" t="s">
        <v>3459</v>
      </c>
    </row>
    <row r="332" spans="1:44" x14ac:dyDescent="0.2">
      <c r="A332" s="4" t="s">
        <v>106</v>
      </c>
      <c r="B332" s="4" t="s">
        <v>102</v>
      </c>
      <c r="C332">
        <v>0</v>
      </c>
      <c r="F332">
        <v>2</v>
      </c>
      <c r="I332" s="4" t="s">
        <v>2528</v>
      </c>
      <c r="J332" s="4" t="s">
        <v>47</v>
      </c>
      <c r="K332" s="4" t="s">
        <v>3053</v>
      </c>
      <c r="L332" s="4" t="s">
        <v>47</v>
      </c>
      <c r="M332">
        <v>36380</v>
      </c>
      <c r="N332" s="4" t="s">
        <v>3460</v>
      </c>
      <c r="O332" s="4" t="s">
        <v>47</v>
      </c>
      <c r="P332" s="4" t="s">
        <v>714</v>
      </c>
      <c r="Q332" s="9">
        <v>37424</v>
      </c>
      <c r="R332" s="4" t="s">
        <v>824</v>
      </c>
      <c r="S332" s="4" t="s">
        <v>47</v>
      </c>
      <c r="T332" s="4" t="s">
        <v>47</v>
      </c>
      <c r="U332" s="4" t="s">
        <v>99</v>
      </c>
      <c r="V332">
        <v>2002</v>
      </c>
      <c r="W332" s="4" t="s">
        <v>47</v>
      </c>
      <c r="X332" s="4" t="s">
        <v>3461</v>
      </c>
      <c r="Y332" s="4" t="s">
        <v>47</v>
      </c>
      <c r="Z332" s="4" t="s">
        <v>3462</v>
      </c>
      <c r="AA332" s="4" t="s">
        <v>47</v>
      </c>
      <c r="AB332" s="4" t="s">
        <v>47</v>
      </c>
      <c r="AC332" s="4" t="s">
        <v>47</v>
      </c>
      <c r="AD332" s="4" t="s">
        <v>47</v>
      </c>
      <c r="AE332" s="4" t="s">
        <v>47</v>
      </c>
      <c r="AF332" s="4" t="s">
        <v>47</v>
      </c>
      <c r="AG332" s="4" t="s">
        <v>47</v>
      </c>
      <c r="AH332" s="4" t="s">
        <v>47</v>
      </c>
      <c r="AI332" s="4" t="s">
        <v>47</v>
      </c>
      <c r="AJ332" s="4" t="s">
        <v>47</v>
      </c>
      <c r="AK332" s="4" t="s">
        <v>3463</v>
      </c>
      <c r="AL332" s="4" t="s">
        <v>47</v>
      </c>
      <c r="AM332" s="4" t="s">
        <v>47</v>
      </c>
      <c r="AN332" s="4" t="s">
        <v>47</v>
      </c>
      <c r="AO332" s="4" t="s">
        <v>3464</v>
      </c>
      <c r="AP332" s="4" t="s">
        <v>3465</v>
      </c>
      <c r="AQ332" s="4" t="s">
        <v>3466</v>
      </c>
      <c r="AR332" s="4" t="s">
        <v>3467</v>
      </c>
    </row>
    <row r="333" spans="1:44" x14ac:dyDescent="0.2">
      <c r="A333" s="4" t="s">
        <v>12</v>
      </c>
      <c r="B333" s="4" t="s">
        <v>148</v>
      </c>
      <c r="C333">
        <v>2</v>
      </c>
      <c r="F333">
        <v>0</v>
      </c>
      <c r="I333" s="4" t="s">
        <v>1857</v>
      </c>
      <c r="J333" s="4" t="s">
        <v>47</v>
      </c>
      <c r="K333" s="4" t="s">
        <v>3468</v>
      </c>
      <c r="L333" s="4" t="s">
        <v>47</v>
      </c>
      <c r="M333">
        <v>40440</v>
      </c>
      <c r="N333" s="4" t="s">
        <v>3469</v>
      </c>
      <c r="O333" s="4" t="s">
        <v>47</v>
      </c>
      <c r="P333" s="4" t="s">
        <v>714</v>
      </c>
      <c r="Q333" s="9">
        <v>37424</v>
      </c>
      <c r="R333" s="4" t="s">
        <v>630</v>
      </c>
      <c r="S333" s="4" t="s">
        <v>47</v>
      </c>
      <c r="T333" s="4" t="s">
        <v>47</v>
      </c>
      <c r="U333" s="4" t="s">
        <v>99</v>
      </c>
      <c r="V333">
        <v>2002</v>
      </c>
      <c r="W333" s="4" t="s">
        <v>3470</v>
      </c>
      <c r="X333" s="4" t="s">
        <v>47</v>
      </c>
      <c r="Y333" s="4" t="s">
        <v>3471</v>
      </c>
      <c r="Z333" s="4" t="s">
        <v>47</v>
      </c>
      <c r="AA333" s="4" t="s">
        <v>47</v>
      </c>
      <c r="AB333" s="4" t="s">
        <v>47</v>
      </c>
      <c r="AC333" s="4" t="s">
        <v>47</v>
      </c>
      <c r="AD333" s="4" t="s">
        <v>47</v>
      </c>
      <c r="AE333" s="4" t="s">
        <v>47</v>
      </c>
      <c r="AF333" s="4" t="s">
        <v>47</v>
      </c>
      <c r="AG333" s="4" t="s">
        <v>47</v>
      </c>
      <c r="AH333" s="4" t="s">
        <v>47</v>
      </c>
      <c r="AI333" s="4" t="s">
        <v>47</v>
      </c>
      <c r="AJ333" s="4" t="s">
        <v>47</v>
      </c>
      <c r="AK333" s="4" t="s">
        <v>47</v>
      </c>
      <c r="AL333" s="4" t="s">
        <v>47</v>
      </c>
      <c r="AM333" s="4" t="s">
        <v>47</v>
      </c>
      <c r="AN333" s="4" t="s">
        <v>47</v>
      </c>
      <c r="AO333" s="4" t="s">
        <v>3472</v>
      </c>
      <c r="AP333" s="4" t="s">
        <v>3473</v>
      </c>
      <c r="AQ333" s="4" t="s">
        <v>3474</v>
      </c>
      <c r="AR333" s="4" t="s">
        <v>3475</v>
      </c>
    </row>
    <row r="334" spans="1:44" x14ac:dyDescent="0.2">
      <c r="A334" s="4" t="s">
        <v>116</v>
      </c>
      <c r="B334" s="4" t="s">
        <v>157</v>
      </c>
      <c r="C334">
        <v>1</v>
      </c>
      <c r="F334">
        <v>2</v>
      </c>
      <c r="I334" s="4" t="s">
        <v>2655</v>
      </c>
      <c r="J334" s="4" t="s">
        <v>47</v>
      </c>
      <c r="K334" s="4" t="s">
        <v>3419</v>
      </c>
      <c r="L334" s="4" t="s">
        <v>47</v>
      </c>
      <c r="M334">
        <v>39747</v>
      </c>
      <c r="N334" s="4" t="s">
        <v>3476</v>
      </c>
      <c r="O334" s="4" t="s">
        <v>47</v>
      </c>
      <c r="P334" s="4" t="s">
        <v>714</v>
      </c>
      <c r="Q334" s="9">
        <v>37423</v>
      </c>
      <c r="R334" s="4" t="s">
        <v>664</v>
      </c>
      <c r="S334" s="4" t="s">
        <v>47</v>
      </c>
      <c r="T334" s="4" t="s">
        <v>1258</v>
      </c>
      <c r="U334" s="4" t="s">
        <v>99</v>
      </c>
      <c r="V334">
        <v>2002</v>
      </c>
      <c r="W334" s="4" t="s">
        <v>3477</v>
      </c>
      <c r="X334" s="4" t="s">
        <v>3478</v>
      </c>
      <c r="Y334" s="4" t="s">
        <v>3479</v>
      </c>
      <c r="Z334" s="4" t="s">
        <v>3480</v>
      </c>
      <c r="AA334" s="4" t="s">
        <v>47</v>
      </c>
      <c r="AB334" s="4" t="s">
        <v>47</v>
      </c>
      <c r="AC334" s="4" t="s">
        <v>47</v>
      </c>
      <c r="AD334" s="4" t="s">
        <v>47</v>
      </c>
      <c r="AE334" s="4" t="s">
        <v>47</v>
      </c>
      <c r="AF334" s="4" t="s">
        <v>47</v>
      </c>
      <c r="AG334" s="4" t="s">
        <v>47</v>
      </c>
      <c r="AH334" s="4" t="s">
        <v>47</v>
      </c>
      <c r="AI334" s="4" t="s">
        <v>47</v>
      </c>
      <c r="AJ334" s="4" t="s">
        <v>47</v>
      </c>
      <c r="AK334" s="4" t="s">
        <v>47</v>
      </c>
      <c r="AL334" s="4" t="s">
        <v>47</v>
      </c>
      <c r="AM334" s="4" t="s">
        <v>47</v>
      </c>
      <c r="AN334" s="4" t="s">
        <v>47</v>
      </c>
      <c r="AO334" s="4" t="s">
        <v>47</v>
      </c>
      <c r="AP334" s="4" t="s">
        <v>3481</v>
      </c>
      <c r="AQ334" s="4" t="s">
        <v>3482</v>
      </c>
      <c r="AR334" s="4" t="s">
        <v>3483</v>
      </c>
    </row>
    <row r="335" spans="1:44" x14ac:dyDescent="0.2">
      <c r="A335" s="4" t="s">
        <v>20</v>
      </c>
      <c r="B335" s="4" t="s">
        <v>235</v>
      </c>
      <c r="C335">
        <v>1</v>
      </c>
      <c r="E335">
        <v>3</v>
      </c>
      <c r="F335">
        <v>1</v>
      </c>
      <c r="H335">
        <v>2</v>
      </c>
      <c r="I335" s="4" t="s">
        <v>3408</v>
      </c>
      <c r="J335" s="4" t="s">
        <v>47</v>
      </c>
      <c r="K335" s="4" t="s">
        <v>3484</v>
      </c>
      <c r="L335" s="4" t="s">
        <v>47</v>
      </c>
      <c r="M335">
        <v>38926</v>
      </c>
      <c r="N335" s="4" t="s">
        <v>3485</v>
      </c>
      <c r="O335" s="4" t="s">
        <v>47</v>
      </c>
      <c r="P335" s="4" t="s">
        <v>714</v>
      </c>
      <c r="Q335" s="9">
        <v>37423</v>
      </c>
      <c r="R335" s="4" t="s">
        <v>1391</v>
      </c>
      <c r="S335" s="4" t="s">
        <v>47</v>
      </c>
      <c r="T335" s="4" t="s">
        <v>3486</v>
      </c>
      <c r="U335" s="4" t="s">
        <v>99</v>
      </c>
      <c r="V335">
        <v>2002</v>
      </c>
      <c r="W335" s="4" t="s">
        <v>3487</v>
      </c>
      <c r="X335" s="4" t="s">
        <v>47</v>
      </c>
      <c r="Y335" s="4" t="s">
        <v>3488</v>
      </c>
      <c r="Z335" s="4" t="s">
        <v>47</v>
      </c>
      <c r="AA335" s="4" t="s">
        <v>47</v>
      </c>
      <c r="AB335" s="4" t="s">
        <v>47</v>
      </c>
      <c r="AC335" s="4" t="s">
        <v>47</v>
      </c>
      <c r="AD335" s="4" t="s">
        <v>3489</v>
      </c>
      <c r="AE335" s="4" t="s">
        <v>47</v>
      </c>
      <c r="AF335" s="4" t="s">
        <v>47</v>
      </c>
      <c r="AG335" s="4" t="s">
        <v>3490</v>
      </c>
      <c r="AH335" s="4" t="s">
        <v>3491</v>
      </c>
      <c r="AI335" s="4" t="s">
        <v>3492</v>
      </c>
      <c r="AJ335" s="4" t="s">
        <v>3493</v>
      </c>
      <c r="AK335" s="4" t="s">
        <v>47</v>
      </c>
      <c r="AL335" s="4" t="s">
        <v>47</v>
      </c>
      <c r="AM335" s="4" t="s">
        <v>47</v>
      </c>
      <c r="AN335" s="4" t="s">
        <v>47</v>
      </c>
      <c r="AO335" s="4" t="s">
        <v>3494</v>
      </c>
      <c r="AP335" s="4" t="s">
        <v>47</v>
      </c>
      <c r="AQ335" s="4" t="s">
        <v>3495</v>
      </c>
      <c r="AR335" s="4" t="s">
        <v>3496</v>
      </c>
    </row>
    <row r="336" spans="1:44" x14ac:dyDescent="0.2">
      <c r="A336" s="4" t="s">
        <v>92</v>
      </c>
      <c r="B336" s="4" t="s">
        <v>202</v>
      </c>
      <c r="C336">
        <v>1</v>
      </c>
      <c r="F336">
        <v>0</v>
      </c>
      <c r="I336" s="4" t="s">
        <v>3376</v>
      </c>
      <c r="J336" s="4" t="s">
        <v>47</v>
      </c>
      <c r="K336" s="4" t="s">
        <v>3497</v>
      </c>
      <c r="L336" s="4" t="s">
        <v>47</v>
      </c>
      <c r="M336">
        <v>25176</v>
      </c>
      <c r="N336" s="4" t="s">
        <v>3498</v>
      </c>
      <c r="O336" s="4" t="s">
        <v>47</v>
      </c>
      <c r="P336" s="4" t="s">
        <v>714</v>
      </c>
      <c r="Q336" s="9">
        <v>37422</v>
      </c>
      <c r="R336" s="4" t="s">
        <v>652</v>
      </c>
      <c r="S336" s="4" t="s">
        <v>47</v>
      </c>
      <c r="T336" s="4" t="s">
        <v>47</v>
      </c>
      <c r="U336" s="4" t="s">
        <v>99</v>
      </c>
      <c r="V336">
        <v>2002</v>
      </c>
      <c r="W336" s="4" t="s">
        <v>3499</v>
      </c>
      <c r="X336" s="4" t="s">
        <v>47</v>
      </c>
      <c r="Y336" s="4" t="s">
        <v>3500</v>
      </c>
      <c r="Z336" s="4" t="s">
        <v>47</v>
      </c>
      <c r="AA336" s="4" t="s">
        <v>47</v>
      </c>
      <c r="AB336" s="4" t="s">
        <v>47</v>
      </c>
      <c r="AC336" s="4" t="s">
        <v>47</v>
      </c>
      <c r="AD336" s="4" t="s">
        <v>47</v>
      </c>
      <c r="AE336" s="4" t="s">
        <v>47</v>
      </c>
      <c r="AF336" s="4" t="s">
        <v>47</v>
      </c>
      <c r="AG336" s="4" t="s">
        <v>47</v>
      </c>
      <c r="AH336" s="4" t="s">
        <v>47</v>
      </c>
      <c r="AI336" s="4" t="s">
        <v>47</v>
      </c>
      <c r="AJ336" s="4" t="s">
        <v>47</v>
      </c>
      <c r="AK336" s="4" t="s">
        <v>47</v>
      </c>
      <c r="AL336" s="4" t="s">
        <v>3501</v>
      </c>
      <c r="AM336" s="4" t="s">
        <v>47</v>
      </c>
      <c r="AN336" s="4" t="s">
        <v>47</v>
      </c>
      <c r="AO336" s="4" t="s">
        <v>3502</v>
      </c>
      <c r="AP336" s="4" t="s">
        <v>3503</v>
      </c>
      <c r="AQ336" s="4" t="s">
        <v>3504</v>
      </c>
      <c r="AR336" s="4" t="s">
        <v>3505</v>
      </c>
    </row>
    <row r="337" spans="1:44" x14ac:dyDescent="0.2">
      <c r="A337" s="4" t="s">
        <v>167</v>
      </c>
      <c r="B337" s="4" t="s">
        <v>52</v>
      </c>
      <c r="C337">
        <v>0</v>
      </c>
      <c r="F337">
        <v>3</v>
      </c>
      <c r="I337" s="4" t="s">
        <v>2591</v>
      </c>
      <c r="J337" s="4" t="s">
        <v>47</v>
      </c>
      <c r="K337" s="4" t="s">
        <v>2558</v>
      </c>
      <c r="L337" s="4" t="s">
        <v>47</v>
      </c>
      <c r="M337">
        <v>40582</v>
      </c>
      <c r="N337" s="4" t="s">
        <v>3506</v>
      </c>
      <c r="O337" s="4" t="s">
        <v>47</v>
      </c>
      <c r="P337" s="4" t="s">
        <v>714</v>
      </c>
      <c r="Q337" s="9">
        <v>37422</v>
      </c>
      <c r="R337" s="4" t="s">
        <v>973</v>
      </c>
      <c r="S337" s="4" t="s">
        <v>47</v>
      </c>
      <c r="T337" s="4" t="s">
        <v>47</v>
      </c>
      <c r="U337" s="4" t="s">
        <v>99</v>
      </c>
      <c r="V337">
        <v>2002</v>
      </c>
      <c r="W337" s="4" t="s">
        <v>47</v>
      </c>
      <c r="X337" s="4" t="s">
        <v>3507</v>
      </c>
      <c r="Y337" s="4" t="s">
        <v>47</v>
      </c>
      <c r="Z337" s="4" t="s">
        <v>3508</v>
      </c>
      <c r="AA337" s="4" t="s">
        <v>47</v>
      </c>
      <c r="AB337" s="4" t="s">
        <v>47</v>
      </c>
      <c r="AC337" s="4" t="s">
        <v>47</v>
      </c>
      <c r="AD337" s="4" t="s">
        <v>47</v>
      </c>
      <c r="AE337" s="4" t="s">
        <v>47</v>
      </c>
      <c r="AF337" s="4" t="s">
        <v>47</v>
      </c>
      <c r="AG337" s="4" t="s">
        <v>47</v>
      </c>
      <c r="AH337" s="4" t="s">
        <v>47</v>
      </c>
      <c r="AI337" s="4" t="s">
        <v>47</v>
      </c>
      <c r="AJ337" s="4" t="s">
        <v>47</v>
      </c>
      <c r="AK337" s="4" t="s">
        <v>47</v>
      </c>
      <c r="AL337" s="4" t="s">
        <v>47</v>
      </c>
      <c r="AM337" s="4" t="s">
        <v>47</v>
      </c>
      <c r="AN337" s="4" t="s">
        <v>47</v>
      </c>
      <c r="AO337" s="4" t="s">
        <v>3509</v>
      </c>
      <c r="AP337" s="4" t="s">
        <v>3510</v>
      </c>
      <c r="AQ337" s="4" t="s">
        <v>3511</v>
      </c>
      <c r="AR337" s="4" t="s">
        <v>3512</v>
      </c>
    </row>
    <row r="338" spans="1:44" x14ac:dyDescent="0.2">
      <c r="A338" s="4" t="s">
        <v>213</v>
      </c>
      <c r="B338" s="4" t="s">
        <v>161</v>
      </c>
      <c r="C338">
        <v>0</v>
      </c>
      <c r="F338">
        <v>2</v>
      </c>
      <c r="I338" s="4" t="s">
        <v>3513</v>
      </c>
      <c r="J338" s="4" t="s">
        <v>47</v>
      </c>
      <c r="K338" s="4" t="s">
        <v>3442</v>
      </c>
      <c r="L338" s="4" t="s">
        <v>47</v>
      </c>
      <c r="M338">
        <v>45213</v>
      </c>
      <c r="N338" s="4" t="s">
        <v>3420</v>
      </c>
      <c r="O338" s="4" t="s">
        <v>47</v>
      </c>
      <c r="P338" s="4" t="s">
        <v>811</v>
      </c>
      <c r="Q338" s="9">
        <v>37421</v>
      </c>
      <c r="R338" s="4" t="s">
        <v>824</v>
      </c>
      <c r="S338" s="4" t="s">
        <v>47</v>
      </c>
      <c r="T338" s="4" t="s">
        <v>47</v>
      </c>
      <c r="U338" s="4" t="s">
        <v>99</v>
      </c>
      <c r="V338">
        <v>2002</v>
      </c>
      <c r="W338" s="4" t="s">
        <v>47</v>
      </c>
      <c r="X338" s="4" t="s">
        <v>3514</v>
      </c>
      <c r="Y338" s="4" t="s">
        <v>47</v>
      </c>
      <c r="Z338" s="4" t="s">
        <v>3515</v>
      </c>
      <c r="AA338" s="4" t="s">
        <v>47</v>
      </c>
      <c r="AB338" s="4" t="s">
        <v>47</v>
      </c>
      <c r="AC338" s="4" t="s">
        <v>47</v>
      </c>
      <c r="AD338" s="4" t="s">
        <v>47</v>
      </c>
      <c r="AE338" s="4" t="s">
        <v>47</v>
      </c>
      <c r="AF338" s="4" t="s">
        <v>47</v>
      </c>
      <c r="AG338" s="4" t="s">
        <v>47</v>
      </c>
      <c r="AH338" s="4" t="s">
        <v>47</v>
      </c>
      <c r="AI338" s="4" t="s">
        <v>47</v>
      </c>
      <c r="AJ338" s="4" t="s">
        <v>47</v>
      </c>
      <c r="AK338" s="4" t="s">
        <v>47</v>
      </c>
      <c r="AL338" s="4" t="s">
        <v>47</v>
      </c>
      <c r="AM338" s="4" t="s">
        <v>47</v>
      </c>
      <c r="AN338" s="4" t="s">
        <v>47</v>
      </c>
      <c r="AO338" s="4" t="s">
        <v>3516</v>
      </c>
      <c r="AP338" s="4" t="s">
        <v>47</v>
      </c>
      <c r="AQ338" s="4" t="s">
        <v>3517</v>
      </c>
      <c r="AR338" s="4" t="s">
        <v>3518</v>
      </c>
    </row>
    <row r="339" spans="1:44" x14ac:dyDescent="0.2">
      <c r="A339" s="4" t="s">
        <v>148</v>
      </c>
      <c r="B339" s="4" t="s">
        <v>89</v>
      </c>
      <c r="C339">
        <v>3</v>
      </c>
      <c r="F339">
        <v>2</v>
      </c>
      <c r="I339" s="4" t="s">
        <v>3468</v>
      </c>
      <c r="J339" s="4" t="s">
        <v>47</v>
      </c>
      <c r="K339" s="4" t="s">
        <v>3519</v>
      </c>
      <c r="L339" s="4" t="s">
        <v>47</v>
      </c>
      <c r="M339">
        <v>46640</v>
      </c>
      <c r="N339" s="4" t="s">
        <v>3520</v>
      </c>
      <c r="O339" s="4" t="s">
        <v>47</v>
      </c>
      <c r="P339" s="4" t="s">
        <v>811</v>
      </c>
      <c r="Q339" s="9">
        <v>37421</v>
      </c>
      <c r="R339" s="4" t="s">
        <v>1130</v>
      </c>
      <c r="S339" s="4" t="s">
        <v>47</v>
      </c>
      <c r="T339" s="4" t="s">
        <v>47</v>
      </c>
      <c r="U339" s="4" t="s">
        <v>99</v>
      </c>
      <c r="V339">
        <v>2002</v>
      </c>
      <c r="W339" s="4" t="s">
        <v>3521</v>
      </c>
      <c r="X339" s="4" t="s">
        <v>3522</v>
      </c>
      <c r="Y339" s="4" t="s">
        <v>3523</v>
      </c>
      <c r="Z339" s="4" t="s">
        <v>3524</v>
      </c>
      <c r="AA339" s="4" t="s">
        <v>47</v>
      </c>
      <c r="AB339" s="4" t="s">
        <v>47</v>
      </c>
      <c r="AC339" s="4" t="s">
        <v>47</v>
      </c>
      <c r="AD339" s="4" t="s">
        <v>47</v>
      </c>
      <c r="AE339" s="4" t="s">
        <v>47</v>
      </c>
      <c r="AF339" s="4" t="s">
        <v>47</v>
      </c>
      <c r="AG339" s="4" t="s">
        <v>47</v>
      </c>
      <c r="AH339" s="4" t="s">
        <v>47</v>
      </c>
      <c r="AI339" s="4" t="s">
        <v>47</v>
      </c>
      <c r="AJ339" s="4" t="s">
        <v>47</v>
      </c>
      <c r="AK339" s="4" t="s">
        <v>47</v>
      </c>
      <c r="AL339" s="4" t="s">
        <v>47</v>
      </c>
      <c r="AM339" s="4" t="s">
        <v>47</v>
      </c>
      <c r="AN339" s="4" t="s">
        <v>47</v>
      </c>
      <c r="AO339" s="4" t="s">
        <v>3525</v>
      </c>
      <c r="AP339" s="4" t="s">
        <v>3526</v>
      </c>
      <c r="AQ339" s="4" t="s">
        <v>3527</v>
      </c>
      <c r="AR339" s="4" t="s">
        <v>3528</v>
      </c>
    </row>
    <row r="340" spans="1:44" x14ac:dyDescent="0.2">
      <c r="A340" s="4" t="s">
        <v>141</v>
      </c>
      <c r="B340" s="4" t="s">
        <v>175</v>
      </c>
      <c r="C340">
        <v>0</v>
      </c>
      <c r="F340">
        <v>1</v>
      </c>
      <c r="I340" s="4" t="s">
        <v>3529</v>
      </c>
      <c r="J340" s="4" t="s">
        <v>47</v>
      </c>
      <c r="K340" s="4" t="s">
        <v>2974</v>
      </c>
      <c r="L340" s="4" t="s">
        <v>47</v>
      </c>
      <c r="M340">
        <v>50239</v>
      </c>
      <c r="N340" s="4" t="s">
        <v>3530</v>
      </c>
      <c r="O340" s="4" t="s">
        <v>47</v>
      </c>
      <c r="P340" s="4" t="s">
        <v>811</v>
      </c>
      <c r="Q340" s="9">
        <v>37421</v>
      </c>
      <c r="R340" s="4" t="s">
        <v>963</v>
      </c>
      <c r="S340" s="4" t="s">
        <v>47</v>
      </c>
      <c r="T340" s="4" t="s">
        <v>47</v>
      </c>
      <c r="U340" s="4" t="s">
        <v>99</v>
      </c>
      <c r="V340">
        <v>2002</v>
      </c>
      <c r="W340" s="4" t="s">
        <v>47</v>
      </c>
      <c r="X340" s="4" t="s">
        <v>3531</v>
      </c>
      <c r="Y340" s="4" t="s">
        <v>47</v>
      </c>
      <c r="Z340" s="4" t="s">
        <v>3532</v>
      </c>
      <c r="AA340" s="4" t="s">
        <v>47</v>
      </c>
      <c r="AB340" s="4" t="s">
        <v>47</v>
      </c>
      <c r="AC340" s="4" t="s">
        <v>47</v>
      </c>
      <c r="AD340" s="4" t="s">
        <v>47</v>
      </c>
      <c r="AE340" s="4" t="s">
        <v>47</v>
      </c>
      <c r="AF340" s="4" t="s">
        <v>47</v>
      </c>
      <c r="AG340" s="4" t="s">
        <v>47</v>
      </c>
      <c r="AH340" s="4" t="s">
        <v>47</v>
      </c>
      <c r="AI340" s="4" t="s">
        <v>47</v>
      </c>
      <c r="AJ340" s="4" t="s">
        <v>47</v>
      </c>
      <c r="AK340" s="4" t="s">
        <v>3533</v>
      </c>
      <c r="AL340" s="4" t="s">
        <v>47</v>
      </c>
      <c r="AM340" s="4" t="s">
        <v>3534</v>
      </c>
      <c r="AN340" s="4" t="s">
        <v>47</v>
      </c>
      <c r="AO340" s="4" t="s">
        <v>3535</v>
      </c>
      <c r="AP340" s="4" t="s">
        <v>3536</v>
      </c>
      <c r="AQ340" s="4" t="s">
        <v>3537</v>
      </c>
      <c r="AR340" s="4" t="s">
        <v>3538</v>
      </c>
    </row>
    <row r="341" spans="1:44" x14ac:dyDescent="0.2">
      <c r="A341" s="4" t="s">
        <v>195</v>
      </c>
      <c r="B341" s="4" t="s">
        <v>102</v>
      </c>
      <c r="C341">
        <v>3</v>
      </c>
      <c r="F341">
        <v>1</v>
      </c>
      <c r="I341" s="4" t="s">
        <v>3539</v>
      </c>
      <c r="J341" s="4" t="s">
        <v>47</v>
      </c>
      <c r="K341" s="4" t="s">
        <v>3053</v>
      </c>
      <c r="L341" s="4" t="s">
        <v>47</v>
      </c>
      <c r="M341">
        <v>26482</v>
      </c>
      <c r="N341" s="4" t="s">
        <v>3426</v>
      </c>
      <c r="O341" s="4" t="s">
        <v>47</v>
      </c>
      <c r="P341" s="4" t="s">
        <v>811</v>
      </c>
      <c r="Q341" s="9">
        <v>37421</v>
      </c>
      <c r="R341" s="4" t="s">
        <v>770</v>
      </c>
      <c r="S341" s="4" t="s">
        <v>47</v>
      </c>
      <c r="T341" s="4" t="s">
        <v>47</v>
      </c>
      <c r="U341" s="4" t="s">
        <v>99</v>
      </c>
      <c r="V341">
        <v>2002</v>
      </c>
      <c r="W341" s="4" t="s">
        <v>3540</v>
      </c>
      <c r="X341" s="4" t="s">
        <v>3541</v>
      </c>
      <c r="Y341" s="4" t="s">
        <v>3542</v>
      </c>
      <c r="Z341" s="4" t="s">
        <v>3543</v>
      </c>
      <c r="AA341" s="4" t="s">
        <v>47</v>
      </c>
      <c r="AB341" s="4" t="s">
        <v>47</v>
      </c>
      <c r="AC341" s="4" t="s">
        <v>47</v>
      </c>
      <c r="AD341" s="4" t="s">
        <v>47</v>
      </c>
      <c r="AE341" s="4" t="s">
        <v>47</v>
      </c>
      <c r="AF341" s="4" t="s">
        <v>47</v>
      </c>
      <c r="AG341" s="4" t="s">
        <v>47</v>
      </c>
      <c r="AH341" s="4" t="s">
        <v>47</v>
      </c>
      <c r="AI341" s="4" t="s">
        <v>47</v>
      </c>
      <c r="AJ341" s="4" t="s">
        <v>47</v>
      </c>
      <c r="AK341" s="4" t="s">
        <v>47</v>
      </c>
      <c r="AL341" s="4" t="s">
        <v>47</v>
      </c>
      <c r="AM341" s="4" t="s">
        <v>47</v>
      </c>
      <c r="AN341" s="4" t="s">
        <v>47</v>
      </c>
      <c r="AO341" s="4" t="s">
        <v>3544</v>
      </c>
      <c r="AP341" s="4" t="s">
        <v>3545</v>
      </c>
      <c r="AQ341" s="4" t="s">
        <v>3546</v>
      </c>
      <c r="AR341" s="4" t="s">
        <v>3547</v>
      </c>
    </row>
    <row r="342" spans="1:44" x14ac:dyDescent="0.2">
      <c r="A342" s="4" t="s">
        <v>225</v>
      </c>
      <c r="B342" s="4" t="s">
        <v>12</v>
      </c>
      <c r="C342">
        <v>2</v>
      </c>
      <c r="F342">
        <v>5</v>
      </c>
      <c r="I342" s="4" t="s">
        <v>3131</v>
      </c>
      <c r="J342" s="4" t="s">
        <v>47</v>
      </c>
      <c r="K342" s="4" t="s">
        <v>1857</v>
      </c>
      <c r="L342" s="4" t="s">
        <v>47</v>
      </c>
      <c r="M342">
        <v>38524</v>
      </c>
      <c r="N342" s="4" t="s">
        <v>3485</v>
      </c>
      <c r="O342" s="4" t="s">
        <v>47</v>
      </c>
      <c r="P342" s="4" t="s">
        <v>811</v>
      </c>
      <c r="Q342" s="9">
        <v>37420</v>
      </c>
      <c r="R342" s="4" t="s">
        <v>2210</v>
      </c>
      <c r="S342" s="4" t="s">
        <v>47</v>
      </c>
      <c r="T342" s="4" t="s">
        <v>47</v>
      </c>
      <c r="U342" s="4" t="s">
        <v>99</v>
      </c>
      <c r="V342">
        <v>2002</v>
      </c>
      <c r="W342" s="4" t="s">
        <v>3548</v>
      </c>
      <c r="X342" s="4" t="s">
        <v>3549</v>
      </c>
      <c r="Y342" s="4" t="s">
        <v>3550</v>
      </c>
      <c r="Z342" s="4" t="s">
        <v>3551</v>
      </c>
      <c r="AA342" s="4" t="s">
        <v>47</v>
      </c>
      <c r="AB342" s="4" t="s">
        <v>47</v>
      </c>
      <c r="AC342" s="4" t="s">
        <v>47</v>
      </c>
      <c r="AD342" s="4" t="s">
        <v>47</v>
      </c>
      <c r="AE342" s="4" t="s">
        <v>47</v>
      </c>
      <c r="AF342" s="4" t="s">
        <v>47</v>
      </c>
      <c r="AG342" s="4" t="s">
        <v>47</v>
      </c>
      <c r="AH342" s="4" t="s">
        <v>47</v>
      </c>
      <c r="AI342" s="4" t="s">
        <v>47</v>
      </c>
      <c r="AJ342" s="4" t="s">
        <v>47</v>
      </c>
      <c r="AK342" s="4" t="s">
        <v>47</v>
      </c>
      <c r="AL342" s="4" t="s">
        <v>47</v>
      </c>
      <c r="AM342" s="4" t="s">
        <v>47</v>
      </c>
      <c r="AN342" s="4" t="s">
        <v>47</v>
      </c>
      <c r="AO342" s="4" t="s">
        <v>47</v>
      </c>
      <c r="AP342" s="4" t="s">
        <v>3552</v>
      </c>
      <c r="AQ342" s="4" t="s">
        <v>3553</v>
      </c>
      <c r="AR342" s="4" t="s">
        <v>3554</v>
      </c>
    </row>
    <row r="343" spans="1:44" x14ac:dyDescent="0.2">
      <c r="A343" s="4" t="s">
        <v>169</v>
      </c>
      <c r="B343" s="4" t="s">
        <v>303</v>
      </c>
      <c r="C343">
        <v>3</v>
      </c>
      <c r="F343">
        <v>0</v>
      </c>
      <c r="I343" s="4" t="s">
        <v>3384</v>
      </c>
      <c r="J343" s="4" t="s">
        <v>47</v>
      </c>
      <c r="K343" s="4" t="s">
        <v>3555</v>
      </c>
      <c r="L343" s="4" t="s">
        <v>47</v>
      </c>
      <c r="M343">
        <v>43605</v>
      </c>
      <c r="N343" s="4" t="s">
        <v>3401</v>
      </c>
      <c r="O343" s="4" t="s">
        <v>47</v>
      </c>
      <c r="P343" s="4" t="s">
        <v>811</v>
      </c>
      <c r="Q343" s="9">
        <v>37420</v>
      </c>
      <c r="R343" s="4" t="s">
        <v>638</v>
      </c>
      <c r="S343" s="4" t="s">
        <v>47</v>
      </c>
      <c r="T343" s="4" t="s">
        <v>47</v>
      </c>
      <c r="U343" s="4" t="s">
        <v>99</v>
      </c>
      <c r="V343">
        <v>2002</v>
      </c>
      <c r="W343" s="4" t="s">
        <v>3556</v>
      </c>
      <c r="X343" s="4" t="s">
        <v>47</v>
      </c>
      <c r="Y343" s="4" t="s">
        <v>3557</v>
      </c>
      <c r="Z343" s="4" t="s">
        <v>47</v>
      </c>
      <c r="AA343" s="4" t="s">
        <v>47</v>
      </c>
      <c r="AB343" s="4" t="s">
        <v>47</v>
      </c>
      <c r="AC343" s="4" t="s">
        <v>47</v>
      </c>
      <c r="AD343" s="4" t="s">
        <v>47</v>
      </c>
      <c r="AE343" s="4" t="s">
        <v>47</v>
      </c>
      <c r="AF343" s="4" t="s">
        <v>47</v>
      </c>
      <c r="AG343" s="4" t="s">
        <v>47</v>
      </c>
      <c r="AH343" s="4" t="s">
        <v>47</v>
      </c>
      <c r="AI343" s="4" t="s">
        <v>47</v>
      </c>
      <c r="AJ343" s="4" t="s">
        <v>47</v>
      </c>
      <c r="AK343" s="4" t="s">
        <v>47</v>
      </c>
      <c r="AL343" s="4" t="s">
        <v>3558</v>
      </c>
      <c r="AM343" s="4" t="s">
        <v>47</v>
      </c>
      <c r="AN343" s="4" t="s">
        <v>47</v>
      </c>
      <c r="AO343" s="4" t="s">
        <v>3559</v>
      </c>
      <c r="AP343" s="4" t="s">
        <v>3560</v>
      </c>
      <c r="AQ343" s="4" t="s">
        <v>3561</v>
      </c>
      <c r="AR343" s="4" t="s">
        <v>3562</v>
      </c>
    </row>
    <row r="344" spans="1:44" x14ac:dyDescent="0.2">
      <c r="A344" s="4" t="s">
        <v>106</v>
      </c>
      <c r="B344" s="4" t="s">
        <v>97</v>
      </c>
      <c r="C344">
        <v>1</v>
      </c>
      <c r="F344">
        <v>1</v>
      </c>
      <c r="I344" s="4" t="s">
        <v>2528</v>
      </c>
      <c r="J344" s="4" t="s">
        <v>47</v>
      </c>
      <c r="K344" s="4" t="s">
        <v>3450</v>
      </c>
      <c r="L344" s="4" t="s">
        <v>47</v>
      </c>
      <c r="M344">
        <v>39291</v>
      </c>
      <c r="N344" s="4" t="s">
        <v>3476</v>
      </c>
      <c r="O344" s="4" t="s">
        <v>47</v>
      </c>
      <c r="P344" s="4" t="s">
        <v>811</v>
      </c>
      <c r="Q344" s="9">
        <v>37420</v>
      </c>
      <c r="R344" s="4" t="s">
        <v>1046</v>
      </c>
      <c r="S344" s="4" t="s">
        <v>47</v>
      </c>
      <c r="T344" s="4" t="s">
        <v>47</v>
      </c>
      <c r="U344" s="4" t="s">
        <v>99</v>
      </c>
      <c r="V344">
        <v>2002</v>
      </c>
      <c r="W344" s="4" t="s">
        <v>3563</v>
      </c>
      <c r="X344" s="4" t="s">
        <v>3564</v>
      </c>
      <c r="Y344" s="4" t="s">
        <v>3565</v>
      </c>
      <c r="Z344" s="4" t="s">
        <v>3566</v>
      </c>
      <c r="AA344" s="4" t="s">
        <v>47</v>
      </c>
      <c r="AB344" s="4" t="s">
        <v>47</v>
      </c>
      <c r="AC344" s="4" t="s">
        <v>47</v>
      </c>
      <c r="AD344" s="4" t="s">
        <v>47</v>
      </c>
      <c r="AE344" s="4" t="s">
        <v>47</v>
      </c>
      <c r="AF344" s="4" t="s">
        <v>47</v>
      </c>
      <c r="AG344" s="4" t="s">
        <v>47</v>
      </c>
      <c r="AH344" s="4" t="s">
        <v>47</v>
      </c>
      <c r="AI344" s="4" t="s">
        <v>47</v>
      </c>
      <c r="AJ344" s="4" t="s">
        <v>47</v>
      </c>
      <c r="AK344" s="4" t="s">
        <v>47</v>
      </c>
      <c r="AL344" s="4" t="s">
        <v>47</v>
      </c>
      <c r="AM344" s="4" t="s">
        <v>47</v>
      </c>
      <c r="AN344" s="4" t="s">
        <v>47</v>
      </c>
      <c r="AO344" s="4" t="s">
        <v>3567</v>
      </c>
      <c r="AP344" s="4" t="s">
        <v>3568</v>
      </c>
      <c r="AQ344" s="4" t="s">
        <v>3569</v>
      </c>
      <c r="AR344" s="4" t="s">
        <v>3570</v>
      </c>
    </row>
    <row r="345" spans="1:44" x14ac:dyDescent="0.2">
      <c r="A345" s="4" t="s">
        <v>171</v>
      </c>
      <c r="B345" s="4" t="s">
        <v>90</v>
      </c>
      <c r="C345">
        <v>1</v>
      </c>
      <c r="F345">
        <v>0</v>
      </c>
      <c r="I345" s="4" t="s">
        <v>1450</v>
      </c>
      <c r="J345" s="4" t="s">
        <v>47</v>
      </c>
      <c r="K345" s="4" t="s">
        <v>3571</v>
      </c>
      <c r="L345" s="4" t="s">
        <v>47</v>
      </c>
      <c r="M345">
        <v>65862</v>
      </c>
      <c r="N345" s="4" t="s">
        <v>3377</v>
      </c>
      <c r="O345" s="4" t="s">
        <v>47</v>
      </c>
      <c r="P345" s="4" t="s">
        <v>811</v>
      </c>
      <c r="Q345" s="9">
        <v>37420</v>
      </c>
      <c r="R345" s="4" t="s">
        <v>652</v>
      </c>
      <c r="S345" s="4" t="s">
        <v>47</v>
      </c>
      <c r="T345" s="4" t="s">
        <v>47</v>
      </c>
      <c r="U345" s="4" t="s">
        <v>99</v>
      </c>
      <c r="V345">
        <v>2002</v>
      </c>
      <c r="W345" s="4" t="s">
        <v>3572</v>
      </c>
      <c r="X345" s="4" t="s">
        <v>47</v>
      </c>
      <c r="Y345" s="4" t="s">
        <v>3573</v>
      </c>
      <c r="Z345" s="4" t="s">
        <v>47</v>
      </c>
      <c r="AA345" s="4" t="s">
        <v>47</v>
      </c>
      <c r="AB345" s="4" t="s">
        <v>47</v>
      </c>
      <c r="AC345" s="4" t="s">
        <v>47</v>
      </c>
      <c r="AD345" s="4" t="s">
        <v>47</v>
      </c>
      <c r="AE345" s="4" t="s">
        <v>47</v>
      </c>
      <c r="AF345" s="4" t="s">
        <v>47</v>
      </c>
      <c r="AG345" s="4" t="s">
        <v>47</v>
      </c>
      <c r="AH345" s="4" t="s">
        <v>47</v>
      </c>
      <c r="AI345" s="4" t="s">
        <v>47</v>
      </c>
      <c r="AJ345" s="4" t="s">
        <v>47</v>
      </c>
      <c r="AK345" s="4" t="s">
        <v>47</v>
      </c>
      <c r="AL345" s="4" t="s">
        <v>47</v>
      </c>
      <c r="AM345" s="4" t="s">
        <v>47</v>
      </c>
      <c r="AN345" s="4" t="s">
        <v>47</v>
      </c>
      <c r="AO345" s="4" t="s">
        <v>3574</v>
      </c>
      <c r="AP345" s="4" t="s">
        <v>3575</v>
      </c>
      <c r="AQ345" s="4" t="s">
        <v>3576</v>
      </c>
      <c r="AR345" s="4" t="s">
        <v>3577</v>
      </c>
    </row>
    <row r="346" spans="1:44" x14ac:dyDescent="0.2">
      <c r="A346" s="4" t="s">
        <v>116</v>
      </c>
      <c r="B346" s="4" t="s">
        <v>26</v>
      </c>
      <c r="C346">
        <v>1</v>
      </c>
      <c r="F346">
        <v>1</v>
      </c>
      <c r="I346" s="4" t="s">
        <v>2655</v>
      </c>
      <c r="J346" s="4" t="s">
        <v>47</v>
      </c>
      <c r="K346" s="4" t="s">
        <v>2512</v>
      </c>
      <c r="L346" s="4" t="s">
        <v>47</v>
      </c>
      <c r="M346">
        <v>45777</v>
      </c>
      <c r="N346" s="4" t="s">
        <v>3443</v>
      </c>
      <c r="O346" s="4" t="s">
        <v>47</v>
      </c>
      <c r="P346" s="4" t="s">
        <v>811</v>
      </c>
      <c r="Q346" s="9">
        <v>37419</v>
      </c>
      <c r="R346" s="4" t="s">
        <v>1046</v>
      </c>
      <c r="S346" s="4" t="s">
        <v>47</v>
      </c>
      <c r="T346" s="4" t="s">
        <v>47</v>
      </c>
      <c r="U346" s="4" t="s">
        <v>99</v>
      </c>
      <c r="V346">
        <v>2002</v>
      </c>
      <c r="W346" s="4" t="s">
        <v>3578</v>
      </c>
      <c r="X346" s="4" t="s">
        <v>3579</v>
      </c>
      <c r="Y346" s="4" t="s">
        <v>3580</v>
      </c>
      <c r="Z346" s="4" t="s">
        <v>3581</v>
      </c>
      <c r="AA346" s="4" t="s">
        <v>47</v>
      </c>
      <c r="AB346" s="4" t="s">
        <v>47</v>
      </c>
      <c r="AC346" s="4" t="s">
        <v>47</v>
      </c>
      <c r="AD346" s="4" t="s">
        <v>47</v>
      </c>
      <c r="AE346" s="4" t="s">
        <v>47</v>
      </c>
      <c r="AF346" s="4" t="s">
        <v>47</v>
      </c>
      <c r="AG346" s="4" t="s">
        <v>47</v>
      </c>
      <c r="AH346" s="4" t="s">
        <v>47</v>
      </c>
      <c r="AI346" s="4" t="s">
        <v>47</v>
      </c>
      <c r="AJ346" s="4" t="s">
        <v>47</v>
      </c>
      <c r="AK346" s="4" t="s">
        <v>47</v>
      </c>
      <c r="AL346" s="4" t="s">
        <v>47</v>
      </c>
      <c r="AM346" s="4" t="s">
        <v>47</v>
      </c>
      <c r="AN346" s="4" t="s">
        <v>47</v>
      </c>
      <c r="AO346" s="4" t="s">
        <v>3582</v>
      </c>
      <c r="AP346" s="4" t="s">
        <v>3583</v>
      </c>
      <c r="AQ346" s="4" t="s">
        <v>3584</v>
      </c>
      <c r="AR346" s="4" t="s">
        <v>3585</v>
      </c>
    </row>
    <row r="347" spans="1:44" x14ac:dyDescent="0.2">
      <c r="A347" s="4" t="s">
        <v>177</v>
      </c>
      <c r="B347" s="4" t="s">
        <v>52</v>
      </c>
      <c r="C347">
        <v>0</v>
      </c>
      <c r="F347">
        <v>0</v>
      </c>
      <c r="I347" s="4" t="s">
        <v>3586</v>
      </c>
      <c r="J347" s="4" t="s">
        <v>47</v>
      </c>
      <c r="K347" s="4" t="s">
        <v>2558</v>
      </c>
      <c r="L347" s="4" t="s">
        <v>47</v>
      </c>
      <c r="M347">
        <v>44864</v>
      </c>
      <c r="N347" s="4" t="s">
        <v>3420</v>
      </c>
      <c r="O347" s="4" t="s">
        <v>47</v>
      </c>
      <c r="P347" s="4" t="s">
        <v>811</v>
      </c>
      <c r="Q347" s="9">
        <v>37419</v>
      </c>
      <c r="R347" s="4" t="s">
        <v>869</v>
      </c>
      <c r="S347" s="4" t="s">
        <v>47</v>
      </c>
      <c r="T347" s="4" t="s">
        <v>47</v>
      </c>
      <c r="U347" s="4" t="s">
        <v>99</v>
      </c>
      <c r="V347">
        <v>2002</v>
      </c>
      <c r="W347" s="4" t="s">
        <v>47</v>
      </c>
      <c r="X347" s="4" t="s">
        <v>47</v>
      </c>
      <c r="Y347" s="4" t="s">
        <v>47</v>
      </c>
      <c r="Z347" s="4" t="s">
        <v>47</v>
      </c>
      <c r="AA347" s="4" t="s">
        <v>47</v>
      </c>
      <c r="AB347" s="4" t="s">
        <v>47</v>
      </c>
      <c r="AC347" s="4" t="s">
        <v>47</v>
      </c>
      <c r="AD347" s="4" t="s">
        <v>47</v>
      </c>
      <c r="AE347" s="4" t="s">
        <v>47</v>
      </c>
      <c r="AF347" s="4" t="s">
        <v>47</v>
      </c>
      <c r="AG347" s="4" t="s">
        <v>47</v>
      </c>
      <c r="AH347" s="4" t="s">
        <v>47</v>
      </c>
      <c r="AI347" s="4" t="s">
        <v>47</v>
      </c>
      <c r="AJ347" s="4" t="s">
        <v>47</v>
      </c>
      <c r="AK347" s="4" t="s">
        <v>47</v>
      </c>
      <c r="AL347" s="4" t="s">
        <v>47</v>
      </c>
      <c r="AM347" s="4" t="s">
        <v>47</v>
      </c>
      <c r="AN347" s="4" t="s">
        <v>47</v>
      </c>
      <c r="AO347" s="4" t="s">
        <v>47</v>
      </c>
      <c r="AP347" s="4" t="s">
        <v>47</v>
      </c>
      <c r="AQ347" s="4" t="s">
        <v>3587</v>
      </c>
      <c r="AR347" s="4" t="s">
        <v>3588</v>
      </c>
    </row>
    <row r="348" spans="1:44" x14ac:dyDescent="0.2">
      <c r="A348" s="4" t="s">
        <v>94</v>
      </c>
      <c r="B348" s="4" t="s">
        <v>20</v>
      </c>
      <c r="C348">
        <v>2</v>
      </c>
      <c r="F348">
        <v>3</v>
      </c>
      <c r="I348" s="4" t="s">
        <v>3589</v>
      </c>
      <c r="J348" s="4" t="s">
        <v>47</v>
      </c>
      <c r="K348" s="4" t="s">
        <v>3408</v>
      </c>
      <c r="L348" s="4" t="s">
        <v>47</v>
      </c>
      <c r="M348">
        <v>31024</v>
      </c>
      <c r="N348" s="4" t="s">
        <v>3426</v>
      </c>
      <c r="O348" s="4" t="s">
        <v>47</v>
      </c>
      <c r="P348" s="4" t="s">
        <v>811</v>
      </c>
      <c r="Q348" s="9">
        <v>37419</v>
      </c>
      <c r="R348" s="4" t="s">
        <v>847</v>
      </c>
      <c r="S348" s="4" t="s">
        <v>47</v>
      </c>
      <c r="T348" s="4" t="s">
        <v>47</v>
      </c>
      <c r="U348" s="4" t="s">
        <v>99</v>
      </c>
      <c r="V348">
        <v>2002</v>
      </c>
      <c r="W348" s="4" t="s">
        <v>3590</v>
      </c>
      <c r="X348" s="4" t="s">
        <v>3591</v>
      </c>
      <c r="Y348" s="4" t="s">
        <v>3592</v>
      </c>
      <c r="Z348" s="4" t="s">
        <v>3593</v>
      </c>
      <c r="AA348" s="4" t="s">
        <v>47</v>
      </c>
      <c r="AB348" s="4" t="s">
        <v>47</v>
      </c>
      <c r="AC348" s="4" t="s">
        <v>47</v>
      </c>
      <c r="AD348" s="4" t="s">
        <v>47</v>
      </c>
      <c r="AE348" s="4" t="s">
        <v>47</v>
      </c>
      <c r="AF348" s="4" t="s">
        <v>47</v>
      </c>
      <c r="AG348" s="4" t="s">
        <v>47</v>
      </c>
      <c r="AH348" s="4" t="s">
        <v>47</v>
      </c>
      <c r="AI348" s="4" t="s">
        <v>47</v>
      </c>
      <c r="AJ348" s="4" t="s">
        <v>47</v>
      </c>
      <c r="AK348" s="4" t="s">
        <v>47</v>
      </c>
      <c r="AL348" s="4" t="s">
        <v>47</v>
      </c>
      <c r="AM348" s="4" t="s">
        <v>47</v>
      </c>
      <c r="AN348" s="4" t="s">
        <v>47</v>
      </c>
      <c r="AO348" s="4" t="s">
        <v>3594</v>
      </c>
      <c r="AP348" s="4" t="s">
        <v>47</v>
      </c>
      <c r="AQ348" s="4" t="s">
        <v>3595</v>
      </c>
      <c r="AR348" s="4" t="s">
        <v>3596</v>
      </c>
    </row>
    <row r="349" spans="1:44" x14ac:dyDescent="0.2">
      <c r="A349" s="4" t="s">
        <v>237</v>
      </c>
      <c r="B349" s="4" t="s">
        <v>202</v>
      </c>
      <c r="C349">
        <v>1</v>
      </c>
      <c r="F349">
        <v>3</v>
      </c>
      <c r="I349" s="4" t="s">
        <v>3597</v>
      </c>
      <c r="J349" s="4" t="s">
        <v>47</v>
      </c>
      <c r="K349" s="4" t="s">
        <v>3497</v>
      </c>
      <c r="L349" s="4" t="s">
        <v>47</v>
      </c>
      <c r="M349">
        <v>30176</v>
      </c>
      <c r="N349" s="4" t="s">
        <v>3498</v>
      </c>
      <c r="O349" s="4" t="s">
        <v>47</v>
      </c>
      <c r="P349" s="4" t="s">
        <v>811</v>
      </c>
      <c r="Q349" s="9">
        <v>37419</v>
      </c>
      <c r="R349" s="4" t="s">
        <v>1098</v>
      </c>
      <c r="S349" s="4" t="s">
        <v>47</v>
      </c>
      <c r="T349" s="4" t="s">
        <v>47</v>
      </c>
      <c r="U349" s="4" t="s">
        <v>99</v>
      </c>
      <c r="V349">
        <v>2002</v>
      </c>
      <c r="W349" s="4" t="s">
        <v>3598</v>
      </c>
      <c r="X349" s="4" t="s">
        <v>3599</v>
      </c>
      <c r="Y349" s="4" t="s">
        <v>3600</v>
      </c>
      <c r="Z349" s="4" t="s">
        <v>3601</v>
      </c>
      <c r="AA349" s="4" t="s">
        <v>47</v>
      </c>
      <c r="AB349" s="4" t="s">
        <v>47</v>
      </c>
      <c r="AC349" s="4" t="s">
        <v>47</v>
      </c>
      <c r="AD349" s="4" t="s">
        <v>47</v>
      </c>
      <c r="AE349" s="4" t="s">
        <v>47</v>
      </c>
      <c r="AF349" s="4" t="s">
        <v>47</v>
      </c>
      <c r="AG349" s="4" t="s">
        <v>47</v>
      </c>
      <c r="AH349" s="4" t="s">
        <v>47</v>
      </c>
      <c r="AI349" s="4" t="s">
        <v>47</v>
      </c>
      <c r="AJ349" s="4" t="s">
        <v>47</v>
      </c>
      <c r="AK349" s="4" t="s">
        <v>3602</v>
      </c>
      <c r="AL349" s="4" t="s">
        <v>47</v>
      </c>
      <c r="AM349" s="4" t="s">
        <v>47</v>
      </c>
      <c r="AN349" s="4" t="s">
        <v>3603</v>
      </c>
      <c r="AO349" s="4" t="s">
        <v>3604</v>
      </c>
      <c r="AP349" s="4" t="s">
        <v>3605</v>
      </c>
      <c r="AQ349" s="4" t="s">
        <v>3606</v>
      </c>
      <c r="AR349" s="4" t="s">
        <v>3607</v>
      </c>
    </row>
    <row r="350" spans="1:44" x14ac:dyDescent="0.2">
      <c r="A350" s="4" t="s">
        <v>167</v>
      </c>
      <c r="B350" s="4" t="s">
        <v>87</v>
      </c>
      <c r="C350">
        <v>2</v>
      </c>
      <c r="F350">
        <v>0</v>
      </c>
      <c r="I350" s="4" t="s">
        <v>2591</v>
      </c>
      <c r="J350" s="4" t="s">
        <v>47</v>
      </c>
      <c r="K350" s="4" t="s">
        <v>3032</v>
      </c>
      <c r="L350" s="4" t="s">
        <v>47</v>
      </c>
      <c r="M350">
        <v>48100</v>
      </c>
      <c r="N350" s="4" t="s">
        <v>3530</v>
      </c>
      <c r="O350" s="4" t="s">
        <v>47</v>
      </c>
      <c r="P350" s="4" t="s">
        <v>811</v>
      </c>
      <c r="Q350" s="9">
        <v>37418</v>
      </c>
      <c r="R350" s="4" t="s">
        <v>630</v>
      </c>
      <c r="S350" s="4" t="s">
        <v>47</v>
      </c>
      <c r="T350" s="4" t="s">
        <v>47</v>
      </c>
      <c r="U350" s="4" t="s">
        <v>99</v>
      </c>
      <c r="V350">
        <v>2002</v>
      </c>
      <c r="W350" s="4" t="s">
        <v>3608</v>
      </c>
      <c r="X350" s="4" t="s">
        <v>47</v>
      </c>
      <c r="Y350" s="4" t="s">
        <v>3609</v>
      </c>
      <c r="Z350" s="4" t="s">
        <v>47</v>
      </c>
      <c r="AA350" s="4" t="s">
        <v>47</v>
      </c>
      <c r="AB350" s="4" t="s">
        <v>47</v>
      </c>
      <c r="AC350" s="4" t="s">
        <v>47</v>
      </c>
      <c r="AD350" s="4" t="s">
        <v>47</v>
      </c>
      <c r="AE350" s="4" t="s">
        <v>47</v>
      </c>
      <c r="AF350" s="4" t="s">
        <v>47</v>
      </c>
      <c r="AG350" s="4" t="s">
        <v>47</v>
      </c>
      <c r="AH350" s="4" t="s">
        <v>47</v>
      </c>
      <c r="AI350" s="4" t="s">
        <v>47</v>
      </c>
      <c r="AJ350" s="4" t="s">
        <v>47</v>
      </c>
      <c r="AK350" s="4" t="s">
        <v>47</v>
      </c>
      <c r="AL350" s="4" t="s">
        <v>47</v>
      </c>
      <c r="AM350" s="4" t="s">
        <v>47</v>
      </c>
      <c r="AN350" s="4" t="s">
        <v>47</v>
      </c>
      <c r="AO350" s="4" t="s">
        <v>3610</v>
      </c>
      <c r="AP350" s="4" t="s">
        <v>3611</v>
      </c>
      <c r="AQ350" s="4" t="s">
        <v>3612</v>
      </c>
      <c r="AR350" s="4" t="s">
        <v>3613</v>
      </c>
    </row>
    <row r="351" spans="1:44" x14ac:dyDescent="0.2">
      <c r="A351" s="4" t="s">
        <v>157</v>
      </c>
      <c r="B351" s="4" t="s">
        <v>121</v>
      </c>
      <c r="C351">
        <v>3</v>
      </c>
      <c r="F351">
        <v>3</v>
      </c>
      <c r="I351" s="4" t="s">
        <v>3419</v>
      </c>
      <c r="J351" s="4" t="s">
        <v>47</v>
      </c>
      <c r="K351" s="4" t="s">
        <v>3614</v>
      </c>
      <c r="L351" s="4" t="s">
        <v>47</v>
      </c>
      <c r="M351">
        <v>33681</v>
      </c>
      <c r="N351" s="4" t="s">
        <v>3485</v>
      </c>
      <c r="O351" s="4" t="s">
        <v>47</v>
      </c>
      <c r="P351" s="4" t="s">
        <v>811</v>
      </c>
      <c r="Q351" s="9">
        <v>37418</v>
      </c>
      <c r="R351" s="4" t="s">
        <v>982</v>
      </c>
      <c r="S351" s="4" t="s">
        <v>47</v>
      </c>
      <c r="T351" s="4" t="s">
        <v>47</v>
      </c>
      <c r="U351" s="4" t="s">
        <v>99</v>
      </c>
      <c r="V351">
        <v>2002</v>
      </c>
      <c r="W351" s="4" t="s">
        <v>3615</v>
      </c>
      <c r="X351" s="4" t="s">
        <v>3616</v>
      </c>
      <c r="Y351" s="4" t="s">
        <v>3617</v>
      </c>
      <c r="Z351" s="4" t="s">
        <v>3618</v>
      </c>
      <c r="AA351" s="4" t="s">
        <v>47</v>
      </c>
      <c r="AB351" s="4" t="s">
        <v>47</v>
      </c>
      <c r="AC351" s="4" t="s">
        <v>47</v>
      </c>
      <c r="AD351" s="4" t="s">
        <v>3619</v>
      </c>
      <c r="AE351" s="4" t="s">
        <v>47</v>
      </c>
      <c r="AF351" s="4" t="s">
        <v>47</v>
      </c>
      <c r="AG351" s="4" t="s">
        <v>47</v>
      </c>
      <c r="AH351" s="4" t="s">
        <v>47</v>
      </c>
      <c r="AI351" s="4" t="s">
        <v>47</v>
      </c>
      <c r="AJ351" s="4" t="s">
        <v>47</v>
      </c>
      <c r="AK351" s="4" t="s">
        <v>47</v>
      </c>
      <c r="AL351" s="4" t="s">
        <v>47</v>
      </c>
      <c r="AM351" s="4" t="s">
        <v>47</v>
      </c>
      <c r="AN351" s="4" t="s">
        <v>47</v>
      </c>
      <c r="AO351" s="4" t="s">
        <v>3620</v>
      </c>
      <c r="AP351" s="4" t="s">
        <v>3621</v>
      </c>
      <c r="AQ351" s="4" t="s">
        <v>3622</v>
      </c>
      <c r="AR351" s="4" t="s">
        <v>3623</v>
      </c>
    </row>
    <row r="352" spans="1:44" x14ac:dyDescent="0.2">
      <c r="A352" s="4" t="s">
        <v>240</v>
      </c>
      <c r="B352" s="4" t="s">
        <v>235</v>
      </c>
      <c r="C352">
        <v>0</v>
      </c>
      <c r="F352">
        <v>3</v>
      </c>
      <c r="I352" s="4" t="s">
        <v>3624</v>
      </c>
      <c r="J352" s="4" t="s">
        <v>47</v>
      </c>
      <c r="K352" s="4" t="s">
        <v>3484</v>
      </c>
      <c r="L352" s="4" t="s">
        <v>47</v>
      </c>
      <c r="M352">
        <v>65320</v>
      </c>
      <c r="N352" s="4" t="s">
        <v>3377</v>
      </c>
      <c r="O352" s="4" t="s">
        <v>47</v>
      </c>
      <c r="P352" s="4" t="s">
        <v>811</v>
      </c>
      <c r="Q352" s="9">
        <v>37418</v>
      </c>
      <c r="R352" s="4" t="s">
        <v>973</v>
      </c>
      <c r="S352" s="4" t="s">
        <v>47</v>
      </c>
      <c r="T352" s="4" t="s">
        <v>47</v>
      </c>
      <c r="U352" s="4" t="s">
        <v>99</v>
      </c>
      <c r="V352">
        <v>2002</v>
      </c>
      <c r="W352" s="4" t="s">
        <v>47</v>
      </c>
      <c r="X352" s="4" t="s">
        <v>3625</v>
      </c>
      <c r="Y352" s="4" t="s">
        <v>47</v>
      </c>
      <c r="Z352" s="4" t="s">
        <v>3626</v>
      </c>
      <c r="AA352" s="4" t="s">
        <v>47</v>
      </c>
      <c r="AB352" s="4" t="s">
        <v>47</v>
      </c>
      <c r="AC352" s="4" t="s">
        <v>47</v>
      </c>
      <c r="AD352" s="4" t="s">
        <v>47</v>
      </c>
      <c r="AE352" s="4" t="s">
        <v>47</v>
      </c>
      <c r="AF352" s="4" t="s">
        <v>47</v>
      </c>
      <c r="AG352" s="4" t="s">
        <v>47</v>
      </c>
      <c r="AH352" s="4" t="s">
        <v>47</v>
      </c>
      <c r="AI352" s="4" t="s">
        <v>47</v>
      </c>
      <c r="AJ352" s="4" t="s">
        <v>47</v>
      </c>
      <c r="AK352" s="4" t="s">
        <v>47</v>
      </c>
      <c r="AL352" s="4" t="s">
        <v>47</v>
      </c>
      <c r="AM352" s="4" t="s">
        <v>47</v>
      </c>
      <c r="AN352" s="4" t="s">
        <v>47</v>
      </c>
      <c r="AO352" s="4" t="s">
        <v>3627</v>
      </c>
      <c r="AP352" s="4" t="s">
        <v>3628</v>
      </c>
      <c r="AQ352" s="4" t="s">
        <v>3629</v>
      </c>
      <c r="AR352" s="4" t="s">
        <v>3630</v>
      </c>
    </row>
    <row r="353" spans="1:44" x14ac:dyDescent="0.2">
      <c r="A353" s="4" t="s">
        <v>209</v>
      </c>
      <c r="B353" s="4" t="s">
        <v>92</v>
      </c>
      <c r="C353">
        <v>0</v>
      </c>
      <c r="F353">
        <v>2</v>
      </c>
      <c r="I353" s="4" t="s">
        <v>3631</v>
      </c>
      <c r="J353" s="4" t="s">
        <v>47</v>
      </c>
      <c r="K353" s="4" t="s">
        <v>3376</v>
      </c>
      <c r="L353" s="4" t="s">
        <v>47</v>
      </c>
      <c r="M353">
        <v>47085</v>
      </c>
      <c r="N353" s="4" t="s">
        <v>3520</v>
      </c>
      <c r="O353" s="4" t="s">
        <v>47</v>
      </c>
      <c r="P353" s="4" t="s">
        <v>811</v>
      </c>
      <c r="Q353" s="9">
        <v>37418</v>
      </c>
      <c r="R353" s="4" t="s">
        <v>824</v>
      </c>
      <c r="S353" s="4" t="s">
        <v>47</v>
      </c>
      <c r="T353" s="4" t="s">
        <v>47</v>
      </c>
      <c r="U353" s="4" t="s">
        <v>99</v>
      </c>
      <c r="V353">
        <v>2002</v>
      </c>
      <c r="W353" s="4" t="s">
        <v>47</v>
      </c>
      <c r="X353" s="4" t="s">
        <v>3632</v>
      </c>
      <c r="Y353" s="4" t="s">
        <v>47</v>
      </c>
      <c r="Z353" s="4" t="s">
        <v>3633</v>
      </c>
      <c r="AA353" s="4" t="s">
        <v>47</v>
      </c>
      <c r="AB353" s="4" t="s">
        <v>47</v>
      </c>
      <c r="AC353" s="4" t="s">
        <v>47</v>
      </c>
      <c r="AD353" s="4" t="s">
        <v>47</v>
      </c>
      <c r="AE353" s="4" t="s">
        <v>47</v>
      </c>
      <c r="AF353" s="4" t="s">
        <v>47</v>
      </c>
      <c r="AG353" s="4" t="s">
        <v>47</v>
      </c>
      <c r="AH353" s="4" t="s">
        <v>47</v>
      </c>
      <c r="AI353" s="4" t="s">
        <v>47</v>
      </c>
      <c r="AJ353" s="4" t="s">
        <v>47</v>
      </c>
      <c r="AK353" s="4" t="s">
        <v>47</v>
      </c>
      <c r="AL353" s="4" t="s">
        <v>47</v>
      </c>
      <c r="AM353" s="4" t="s">
        <v>3634</v>
      </c>
      <c r="AN353" s="4" t="s">
        <v>3635</v>
      </c>
      <c r="AO353" s="4" t="s">
        <v>3636</v>
      </c>
      <c r="AP353" s="4" t="s">
        <v>3637</v>
      </c>
      <c r="AQ353" s="4" t="s">
        <v>3638</v>
      </c>
      <c r="AR353" s="4" t="s">
        <v>3639</v>
      </c>
    </row>
    <row r="354" spans="1:44" x14ac:dyDescent="0.2">
      <c r="A354" s="4" t="s">
        <v>175</v>
      </c>
      <c r="B354" s="4" t="s">
        <v>102</v>
      </c>
      <c r="C354">
        <v>1</v>
      </c>
      <c r="F354">
        <v>1</v>
      </c>
      <c r="I354" s="4" t="s">
        <v>2974</v>
      </c>
      <c r="J354" s="4" t="s">
        <v>47</v>
      </c>
      <c r="K354" s="4" t="s">
        <v>3053</v>
      </c>
      <c r="L354" s="4" t="s">
        <v>47</v>
      </c>
      <c r="M354">
        <v>60778</v>
      </c>
      <c r="N354" s="4" t="s">
        <v>3385</v>
      </c>
      <c r="O354" s="4" t="s">
        <v>47</v>
      </c>
      <c r="P354" s="4" t="s">
        <v>811</v>
      </c>
      <c r="Q354" s="9">
        <v>37417</v>
      </c>
      <c r="R354" s="4" t="s">
        <v>1046</v>
      </c>
      <c r="S354" s="4" t="s">
        <v>47</v>
      </c>
      <c r="T354" s="4" t="s">
        <v>47</v>
      </c>
      <c r="U354" s="4" t="s">
        <v>99</v>
      </c>
      <c r="V354">
        <v>2002</v>
      </c>
      <c r="W354" s="4" t="s">
        <v>3640</v>
      </c>
      <c r="X354" s="4" t="s">
        <v>3641</v>
      </c>
      <c r="Y354" s="4" t="s">
        <v>3642</v>
      </c>
      <c r="Z354" s="4" t="s">
        <v>3643</v>
      </c>
      <c r="AA354" s="4" t="s">
        <v>47</v>
      </c>
      <c r="AB354" s="4" t="s">
        <v>47</v>
      </c>
      <c r="AC354" s="4" t="s">
        <v>47</v>
      </c>
      <c r="AD354" s="4" t="s">
        <v>47</v>
      </c>
      <c r="AE354" s="4" t="s">
        <v>47</v>
      </c>
      <c r="AF354" s="4" t="s">
        <v>47</v>
      </c>
      <c r="AG354" s="4" t="s">
        <v>47</v>
      </c>
      <c r="AH354" s="4" t="s">
        <v>47</v>
      </c>
      <c r="AI354" s="4" t="s">
        <v>47</v>
      </c>
      <c r="AJ354" s="4" t="s">
        <v>47</v>
      </c>
      <c r="AK354" s="4" t="s">
        <v>47</v>
      </c>
      <c r="AL354" s="4" t="s">
        <v>47</v>
      </c>
      <c r="AM354" s="4" t="s">
        <v>47</v>
      </c>
      <c r="AN354" s="4" t="s">
        <v>47</v>
      </c>
      <c r="AO354" s="4" t="s">
        <v>3644</v>
      </c>
      <c r="AP354" s="4" t="s">
        <v>3645</v>
      </c>
      <c r="AQ354" s="4" t="s">
        <v>3646</v>
      </c>
      <c r="AR354" s="4" t="s">
        <v>3647</v>
      </c>
    </row>
    <row r="355" spans="1:44" x14ac:dyDescent="0.2">
      <c r="A355" s="4" t="s">
        <v>213</v>
      </c>
      <c r="B355" s="4" t="s">
        <v>148</v>
      </c>
      <c r="C355">
        <v>1</v>
      </c>
      <c r="F355">
        <v>1</v>
      </c>
      <c r="I355" s="4" t="s">
        <v>3513</v>
      </c>
      <c r="J355" s="4" t="s">
        <v>47</v>
      </c>
      <c r="K355" s="4" t="s">
        <v>3468</v>
      </c>
      <c r="L355" s="4" t="s">
        <v>47</v>
      </c>
      <c r="M355">
        <v>39700</v>
      </c>
      <c r="N355" s="4" t="s">
        <v>3476</v>
      </c>
      <c r="O355" s="4" t="s">
        <v>47</v>
      </c>
      <c r="P355" s="4" t="s">
        <v>811</v>
      </c>
      <c r="Q355" s="9">
        <v>37417</v>
      </c>
      <c r="R355" s="4" t="s">
        <v>1046</v>
      </c>
      <c r="S355" s="4" t="s">
        <v>47</v>
      </c>
      <c r="T355" s="4" t="s">
        <v>47</v>
      </c>
      <c r="U355" s="4" t="s">
        <v>99</v>
      </c>
      <c r="V355">
        <v>2002</v>
      </c>
      <c r="W355" s="4" t="s">
        <v>3648</v>
      </c>
      <c r="X355" s="4" t="s">
        <v>3649</v>
      </c>
      <c r="Y355" s="4" t="s">
        <v>3650</v>
      </c>
      <c r="Z355" s="4" t="s">
        <v>3651</v>
      </c>
      <c r="AA355" s="4" t="s">
        <v>47</v>
      </c>
      <c r="AB355" s="4" t="s">
        <v>47</v>
      </c>
      <c r="AC355" s="4" t="s">
        <v>47</v>
      </c>
      <c r="AD355" s="4" t="s">
        <v>47</v>
      </c>
      <c r="AE355" s="4" t="s">
        <v>47</v>
      </c>
      <c r="AF355" s="4" t="s">
        <v>47</v>
      </c>
      <c r="AG355" s="4" t="s">
        <v>47</v>
      </c>
      <c r="AH355" s="4" t="s">
        <v>47</v>
      </c>
      <c r="AI355" s="4" t="s">
        <v>47</v>
      </c>
      <c r="AJ355" s="4" t="s">
        <v>47</v>
      </c>
      <c r="AK355" s="4" t="s">
        <v>47</v>
      </c>
      <c r="AL355" s="4" t="s">
        <v>47</v>
      </c>
      <c r="AM355" s="4" t="s">
        <v>47</v>
      </c>
      <c r="AN355" s="4" t="s">
        <v>47</v>
      </c>
      <c r="AO355" s="4" t="s">
        <v>3652</v>
      </c>
      <c r="AP355" s="4" t="s">
        <v>3653</v>
      </c>
      <c r="AQ355" s="4" t="s">
        <v>3654</v>
      </c>
      <c r="AR355" s="4" t="s">
        <v>3655</v>
      </c>
    </row>
    <row r="356" spans="1:44" x14ac:dyDescent="0.2">
      <c r="A356" s="4" t="s">
        <v>141</v>
      </c>
      <c r="B356" s="4" t="s">
        <v>195</v>
      </c>
      <c r="C356">
        <v>4</v>
      </c>
      <c r="F356">
        <v>0</v>
      </c>
      <c r="I356" s="4" t="s">
        <v>3529</v>
      </c>
      <c r="J356" s="4" t="s">
        <v>47</v>
      </c>
      <c r="K356" s="4" t="s">
        <v>3539</v>
      </c>
      <c r="L356" s="4" t="s">
        <v>47</v>
      </c>
      <c r="M356">
        <v>31000</v>
      </c>
      <c r="N356" s="4" t="s">
        <v>3460</v>
      </c>
      <c r="O356" s="4" t="s">
        <v>47</v>
      </c>
      <c r="P356" s="4" t="s">
        <v>811</v>
      </c>
      <c r="Q356" s="9">
        <v>37417</v>
      </c>
      <c r="R356" s="4" t="s">
        <v>2300</v>
      </c>
      <c r="S356" s="4" t="s">
        <v>47</v>
      </c>
      <c r="T356" s="4" t="s">
        <v>47</v>
      </c>
      <c r="U356" s="4" t="s">
        <v>99</v>
      </c>
      <c r="V356">
        <v>2002</v>
      </c>
      <c r="W356" s="4" t="s">
        <v>3656</v>
      </c>
      <c r="X356" s="4" t="s">
        <v>47</v>
      </c>
      <c r="Y356" s="4" t="s">
        <v>3657</v>
      </c>
      <c r="Z356" s="4" t="s">
        <v>47</v>
      </c>
      <c r="AA356" s="4" t="s">
        <v>47</v>
      </c>
      <c r="AB356" s="4" t="s">
        <v>47</v>
      </c>
      <c r="AC356" s="4" t="s">
        <v>47</v>
      </c>
      <c r="AD356" s="4" t="s">
        <v>47</v>
      </c>
      <c r="AE356" s="4" t="s">
        <v>47</v>
      </c>
      <c r="AF356" s="4" t="s">
        <v>47</v>
      </c>
      <c r="AG356" s="4" t="s">
        <v>47</v>
      </c>
      <c r="AH356" s="4" t="s">
        <v>47</v>
      </c>
      <c r="AI356" s="4" t="s">
        <v>47</v>
      </c>
      <c r="AJ356" s="4" t="s">
        <v>47</v>
      </c>
      <c r="AK356" s="4" t="s">
        <v>47</v>
      </c>
      <c r="AL356" s="4" t="s">
        <v>47</v>
      </c>
      <c r="AM356" s="4" t="s">
        <v>47</v>
      </c>
      <c r="AN356" s="4" t="s">
        <v>47</v>
      </c>
      <c r="AO356" s="4" t="s">
        <v>3658</v>
      </c>
      <c r="AP356" s="4" t="s">
        <v>3659</v>
      </c>
      <c r="AQ356" s="4" t="s">
        <v>3660</v>
      </c>
      <c r="AR356" s="4" t="s">
        <v>3661</v>
      </c>
    </row>
    <row r="357" spans="1:44" x14ac:dyDescent="0.2">
      <c r="A357" s="4" t="s">
        <v>106</v>
      </c>
      <c r="B357" s="4" t="s">
        <v>171</v>
      </c>
      <c r="C357">
        <v>2</v>
      </c>
      <c r="F357">
        <v>1</v>
      </c>
      <c r="I357" s="4" t="s">
        <v>2528</v>
      </c>
      <c r="J357" s="4" t="s">
        <v>47</v>
      </c>
      <c r="K357" s="4" t="s">
        <v>1450</v>
      </c>
      <c r="L357" s="4" t="s">
        <v>47</v>
      </c>
      <c r="M357">
        <v>45610</v>
      </c>
      <c r="N357" s="4" t="s">
        <v>3662</v>
      </c>
      <c r="O357" s="4" t="s">
        <v>47</v>
      </c>
      <c r="P357" s="4" t="s">
        <v>811</v>
      </c>
      <c r="Q357" s="9">
        <v>37416</v>
      </c>
      <c r="R357" s="4" t="s">
        <v>617</v>
      </c>
      <c r="S357" s="4" t="s">
        <v>47</v>
      </c>
      <c r="T357" s="4" t="s">
        <v>47</v>
      </c>
      <c r="U357" s="4" t="s">
        <v>99</v>
      </c>
      <c r="V357">
        <v>2002</v>
      </c>
      <c r="W357" s="4" t="s">
        <v>3663</v>
      </c>
      <c r="X357" s="4" t="s">
        <v>3664</v>
      </c>
      <c r="Y357" s="4" t="s">
        <v>3665</v>
      </c>
      <c r="Z357" s="4" t="s">
        <v>3666</v>
      </c>
      <c r="AA357" s="4" t="s">
        <v>47</v>
      </c>
      <c r="AB357" s="4" t="s">
        <v>47</v>
      </c>
      <c r="AC357" s="4" t="s">
        <v>47</v>
      </c>
      <c r="AD357" s="4" t="s">
        <v>47</v>
      </c>
      <c r="AE357" s="4" t="s">
        <v>47</v>
      </c>
      <c r="AF357" s="4" t="s">
        <v>47</v>
      </c>
      <c r="AG357" s="4" t="s">
        <v>47</v>
      </c>
      <c r="AH357" s="4" t="s">
        <v>47</v>
      </c>
      <c r="AI357" s="4" t="s">
        <v>47</v>
      </c>
      <c r="AJ357" s="4" t="s">
        <v>47</v>
      </c>
      <c r="AK357" s="4" t="s">
        <v>47</v>
      </c>
      <c r="AL357" s="4" t="s">
        <v>47</v>
      </c>
      <c r="AM357" s="4" t="s">
        <v>47</v>
      </c>
      <c r="AN357" s="4" t="s">
        <v>47</v>
      </c>
      <c r="AO357" s="4" t="s">
        <v>3667</v>
      </c>
      <c r="AP357" s="4" t="s">
        <v>3668</v>
      </c>
      <c r="AQ357" s="4" t="s">
        <v>3669</v>
      </c>
      <c r="AR357" s="4" t="s">
        <v>3670</v>
      </c>
    </row>
    <row r="358" spans="1:44" x14ac:dyDescent="0.2">
      <c r="A358" s="4" t="s">
        <v>225</v>
      </c>
      <c r="B358" s="4" t="s">
        <v>169</v>
      </c>
      <c r="C358">
        <v>1</v>
      </c>
      <c r="F358">
        <v>1</v>
      </c>
      <c r="I358" s="4" t="s">
        <v>3131</v>
      </c>
      <c r="J358" s="4" t="s">
        <v>47</v>
      </c>
      <c r="K358" s="4" t="s">
        <v>3384</v>
      </c>
      <c r="L358" s="4" t="s">
        <v>47</v>
      </c>
      <c r="M358">
        <v>42299</v>
      </c>
      <c r="N358" s="4" t="s">
        <v>3530</v>
      </c>
      <c r="O358" s="4" t="s">
        <v>47</v>
      </c>
      <c r="P358" s="4" t="s">
        <v>811</v>
      </c>
      <c r="Q358" s="9">
        <v>37416</v>
      </c>
      <c r="R358" s="4" t="s">
        <v>1046</v>
      </c>
      <c r="S358" s="4" t="s">
        <v>47</v>
      </c>
      <c r="T358" s="4" t="s">
        <v>47</v>
      </c>
      <c r="U358" s="4" t="s">
        <v>99</v>
      </c>
      <c r="V358">
        <v>2002</v>
      </c>
      <c r="W358" s="4" t="s">
        <v>3671</v>
      </c>
      <c r="X358" s="4" t="s">
        <v>3672</v>
      </c>
      <c r="Y358" s="4" t="s">
        <v>3673</v>
      </c>
      <c r="Z358" s="4" t="s">
        <v>3674</v>
      </c>
      <c r="AA358" s="4" t="s">
        <v>47</v>
      </c>
      <c r="AB358" s="4" t="s">
        <v>47</v>
      </c>
      <c r="AC358" s="4" t="s">
        <v>47</v>
      </c>
      <c r="AD358" s="4" t="s">
        <v>47</v>
      </c>
      <c r="AE358" s="4" t="s">
        <v>47</v>
      </c>
      <c r="AF358" s="4" t="s">
        <v>47</v>
      </c>
      <c r="AG358" s="4" t="s">
        <v>47</v>
      </c>
      <c r="AH358" s="4" t="s">
        <v>47</v>
      </c>
      <c r="AI358" s="4" t="s">
        <v>47</v>
      </c>
      <c r="AJ358" s="4" t="s">
        <v>47</v>
      </c>
      <c r="AK358" s="4" t="s">
        <v>47</v>
      </c>
      <c r="AL358" s="4" t="s">
        <v>47</v>
      </c>
      <c r="AM358" s="4" t="s">
        <v>47</v>
      </c>
      <c r="AN358" s="4" t="s">
        <v>47</v>
      </c>
      <c r="AO358" s="4" t="s">
        <v>3675</v>
      </c>
      <c r="AP358" s="4" t="s">
        <v>3676</v>
      </c>
      <c r="AQ358" s="4" t="s">
        <v>3677</v>
      </c>
      <c r="AR358" s="4" t="s">
        <v>3678</v>
      </c>
    </row>
    <row r="359" spans="1:44" x14ac:dyDescent="0.2">
      <c r="A359" s="4" t="s">
        <v>161</v>
      </c>
      <c r="B359" s="4" t="s">
        <v>89</v>
      </c>
      <c r="C359">
        <v>1</v>
      </c>
      <c r="F359">
        <v>0</v>
      </c>
      <c r="I359" s="4" t="s">
        <v>3442</v>
      </c>
      <c r="J359" s="4" t="s">
        <v>47</v>
      </c>
      <c r="K359" s="4" t="s">
        <v>3519</v>
      </c>
      <c r="L359" s="4" t="s">
        <v>47</v>
      </c>
      <c r="M359">
        <v>66108</v>
      </c>
      <c r="N359" s="4" t="s">
        <v>3377</v>
      </c>
      <c r="O359" s="4" t="s">
        <v>47</v>
      </c>
      <c r="P359" s="4" t="s">
        <v>811</v>
      </c>
      <c r="Q359" s="9">
        <v>37416</v>
      </c>
      <c r="R359" s="4" t="s">
        <v>652</v>
      </c>
      <c r="S359" s="4" t="s">
        <v>47</v>
      </c>
      <c r="T359" s="4" t="s">
        <v>47</v>
      </c>
      <c r="U359" s="4" t="s">
        <v>99</v>
      </c>
      <c r="V359">
        <v>2002</v>
      </c>
      <c r="W359" s="4" t="s">
        <v>3679</v>
      </c>
      <c r="X359" s="4" t="s">
        <v>47</v>
      </c>
      <c r="Y359" s="4" t="s">
        <v>3680</v>
      </c>
      <c r="Z359" s="4" t="s">
        <v>47</v>
      </c>
      <c r="AA359" s="4" t="s">
        <v>47</v>
      </c>
      <c r="AB359" s="4" t="s">
        <v>47</v>
      </c>
      <c r="AC359" s="4" t="s">
        <v>47</v>
      </c>
      <c r="AD359" s="4" t="s">
        <v>47</v>
      </c>
      <c r="AE359" s="4" t="s">
        <v>47</v>
      </c>
      <c r="AF359" s="4" t="s">
        <v>47</v>
      </c>
      <c r="AG359" s="4" t="s">
        <v>47</v>
      </c>
      <c r="AH359" s="4" t="s">
        <v>47</v>
      </c>
      <c r="AI359" s="4" t="s">
        <v>47</v>
      </c>
      <c r="AJ359" s="4" t="s">
        <v>47</v>
      </c>
      <c r="AK359" s="4" t="s">
        <v>47</v>
      </c>
      <c r="AL359" s="4" t="s">
        <v>47</v>
      </c>
      <c r="AM359" s="4" t="s">
        <v>47</v>
      </c>
      <c r="AN359" s="4" t="s">
        <v>47</v>
      </c>
      <c r="AO359" s="4" t="s">
        <v>3681</v>
      </c>
      <c r="AP359" s="4" t="s">
        <v>3682</v>
      </c>
      <c r="AQ359" s="4" t="s">
        <v>3683</v>
      </c>
      <c r="AR359" s="4" t="s">
        <v>3684</v>
      </c>
    </row>
    <row r="360" spans="1:44" x14ac:dyDescent="0.2">
      <c r="A360" s="4" t="s">
        <v>94</v>
      </c>
      <c r="B360" s="4" t="s">
        <v>237</v>
      </c>
      <c r="C360">
        <v>1</v>
      </c>
      <c r="F360">
        <v>0</v>
      </c>
      <c r="I360" s="4" t="s">
        <v>3589</v>
      </c>
      <c r="J360" s="4" t="s">
        <v>47</v>
      </c>
      <c r="K360" s="4" t="s">
        <v>3597</v>
      </c>
      <c r="L360" s="4" t="s">
        <v>47</v>
      </c>
      <c r="M360">
        <v>47226</v>
      </c>
      <c r="N360" s="4" t="s">
        <v>3385</v>
      </c>
      <c r="O360" s="4" t="s">
        <v>47</v>
      </c>
      <c r="P360" s="4" t="s">
        <v>811</v>
      </c>
      <c r="Q360" s="9">
        <v>37415</v>
      </c>
      <c r="R360" s="4" t="s">
        <v>652</v>
      </c>
      <c r="S360" s="4" t="s">
        <v>47</v>
      </c>
      <c r="T360" s="4" t="s">
        <v>47</v>
      </c>
      <c r="U360" s="4" t="s">
        <v>99</v>
      </c>
      <c r="V360">
        <v>2002</v>
      </c>
      <c r="W360" s="4" t="s">
        <v>3685</v>
      </c>
      <c r="X360" s="4" t="s">
        <v>47</v>
      </c>
      <c r="Y360" s="4" t="s">
        <v>3686</v>
      </c>
      <c r="Z360" s="4" t="s">
        <v>47</v>
      </c>
      <c r="AA360" s="4" t="s">
        <v>47</v>
      </c>
      <c r="AB360" s="4" t="s">
        <v>47</v>
      </c>
      <c r="AC360" s="4" t="s">
        <v>47</v>
      </c>
      <c r="AD360" s="4" t="s">
        <v>47</v>
      </c>
      <c r="AE360" s="4" t="s">
        <v>47</v>
      </c>
      <c r="AF360" s="4" t="s">
        <v>47</v>
      </c>
      <c r="AG360" s="4" t="s">
        <v>47</v>
      </c>
      <c r="AH360" s="4" t="s">
        <v>47</v>
      </c>
      <c r="AI360" s="4" t="s">
        <v>47</v>
      </c>
      <c r="AJ360" s="4" t="s">
        <v>47</v>
      </c>
      <c r="AK360" s="4" t="s">
        <v>47</v>
      </c>
      <c r="AL360" s="4" t="s">
        <v>47</v>
      </c>
      <c r="AM360" s="4" t="s">
        <v>47</v>
      </c>
      <c r="AN360" s="4" t="s">
        <v>47</v>
      </c>
      <c r="AO360" s="4" t="s">
        <v>3687</v>
      </c>
      <c r="AP360" s="4" t="s">
        <v>3688</v>
      </c>
      <c r="AQ360" s="4" t="s">
        <v>3689</v>
      </c>
      <c r="AR360" s="4" t="s">
        <v>3690</v>
      </c>
    </row>
    <row r="361" spans="1:44" x14ac:dyDescent="0.2">
      <c r="A361" s="4" t="s">
        <v>97</v>
      </c>
      <c r="B361" s="4" t="s">
        <v>90</v>
      </c>
      <c r="C361">
        <v>1</v>
      </c>
      <c r="F361">
        <v>2</v>
      </c>
      <c r="I361" s="4" t="s">
        <v>3450</v>
      </c>
      <c r="J361" s="4" t="s">
        <v>47</v>
      </c>
      <c r="K361" s="4" t="s">
        <v>3571</v>
      </c>
      <c r="L361" s="4" t="s">
        <v>47</v>
      </c>
      <c r="M361">
        <v>36472</v>
      </c>
      <c r="N361" s="4" t="s">
        <v>3691</v>
      </c>
      <c r="O361" s="4" t="s">
        <v>47</v>
      </c>
      <c r="P361" s="4" t="s">
        <v>811</v>
      </c>
      <c r="Q361" s="9">
        <v>37415</v>
      </c>
      <c r="R361" s="4" t="s">
        <v>664</v>
      </c>
      <c r="S361" s="4" t="s">
        <v>47</v>
      </c>
      <c r="T361" s="4" t="s">
        <v>47</v>
      </c>
      <c r="U361" s="4" t="s">
        <v>99</v>
      </c>
      <c r="V361">
        <v>2002</v>
      </c>
      <c r="W361" s="4" t="s">
        <v>3692</v>
      </c>
      <c r="X361" s="4" t="s">
        <v>3693</v>
      </c>
      <c r="Y361" s="4" t="s">
        <v>3694</v>
      </c>
      <c r="Z361" s="4" t="s">
        <v>3695</v>
      </c>
      <c r="AA361" s="4" t="s">
        <v>47</v>
      </c>
      <c r="AB361" s="4" t="s">
        <v>47</v>
      </c>
      <c r="AC361" s="4" t="s">
        <v>47</v>
      </c>
      <c r="AD361" s="4" t="s">
        <v>47</v>
      </c>
      <c r="AE361" s="4" t="s">
        <v>47</v>
      </c>
      <c r="AF361" s="4" t="s">
        <v>47</v>
      </c>
      <c r="AG361" s="4" t="s">
        <v>47</v>
      </c>
      <c r="AH361" s="4" t="s">
        <v>47</v>
      </c>
      <c r="AI361" s="4" t="s">
        <v>47</v>
      </c>
      <c r="AJ361" s="4" t="s">
        <v>47</v>
      </c>
      <c r="AK361" s="4" t="s">
        <v>47</v>
      </c>
      <c r="AL361" s="4" t="s">
        <v>47</v>
      </c>
      <c r="AM361" s="4" t="s">
        <v>47</v>
      </c>
      <c r="AN361" s="4" t="s">
        <v>47</v>
      </c>
      <c r="AO361" s="4" t="s">
        <v>3696</v>
      </c>
      <c r="AP361" s="4" t="s">
        <v>3697</v>
      </c>
      <c r="AQ361" s="4" t="s">
        <v>3698</v>
      </c>
      <c r="AR361" s="4" t="s">
        <v>3699</v>
      </c>
    </row>
    <row r="362" spans="1:44" x14ac:dyDescent="0.2">
      <c r="A362" s="4" t="s">
        <v>12</v>
      </c>
      <c r="B362" s="4" t="s">
        <v>303</v>
      </c>
      <c r="C362">
        <v>4</v>
      </c>
      <c r="F362">
        <v>0</v>
      </c>
      <c r="I362" s="4" t="s">
        <v>1857</v>
      </c>
      <c r="J362" s="4" t="s">
        <v>47</v>
      </c>
      <c r="K362" s="4" t="s">
        <v>3555</v>
      </c>
      <c r="L362" s="4" t="s">
        <v>47</v>
      </c>
      <c r="M362">
        <v>36750</v>
      </c>
      <c r="N362" s="4" t="s">
        <v>3498</v>
      </c>
      <c r="O362" s="4" t="s">
        <v>47</v>
      </c>
      <c r="P362" s="4" t="s">
        <v>811</v>
      </c>
      <c r="Q362" s="9">
        <v>37415</v>
      </c>
      <c r="R362" s="4" t="s">
        <v>2300</v>
      </c>
      <c r="S362" s="4" t="s">
        <v>47</v>
      </c>
      <c r="T362" s="4" t="s">
        <v>47</v>
      </c>
      <c r="U362" s="4" t="s">
        <v>99</v>
      </c>
      <c r="V362">
        <v>2002</v>
      </c>
      <c r="W362" s="4" t="s">
        <v>3700</v>
      </c>
      <c r="X362" s="4" t="s">
        <v>47</v>
      </c>
      <c r="Y362" s="4" t="s">
        <v>3701</v>
      </c>
      <c r="Z362" s="4" t="s">
        <v>47</v>
      </c>
      <c r="AA362" s="4" t="s">
        <v>47</v>
      </c>
      <c r="AB362" s="4" t="s">
        <v>47</v>
      </c>
      <c r="AC362" s="4" t="s">
        <v>3702</v>
      </c>
      <c r="AD362" s="4" t="s">
        <v>47</v>
      </c>
      <c r="AE362" s="4" t="s">
        <v>47</v>
      </c>
      <c r="AF362" s="4" t="s">
        <v>47</v>
      </c>
      <c r="AG362" s="4" t="s">
        <v>47</v>
      </c>
      <c r="AH362" s="4" t="s">
        <v>47</v>
      </c>
      <c r="AI362" s="4" t="s">
        <v>47</v>
      </c>
      <c r="AJ362" s="4" t="s">
        <v>47</v>
      </c>
      <c r="AK362" s="4" t="s">
        <v>47</v>
      </c>
      <c r="AL362" s="4" t="s">
        <v>47</v>
      </c>
      <c r="AM362" s="4" t="s">
        <v>47</v>
      </c>
      <c r="AN362" s="4" t="s">
        <v>47</v>
      </c>
      <c r="AO362" s="4" t="s">
        <v>3703</v>
      </c>
      <c r="AP362" s="4" t="s">
        <v>47</v>
      </c>
      <c r="AQ362" s="4" t="s">
        <v>3704</v>
      </c>
      <c r="AR362" s="4" t="s">
        <v>3705</v>
      </c>
    </row>
    <row r="363" spans="1:44" x14ac:dyDescent="0.2">
      <c r="A363" s="4" t="s">
        <v>116</v>
      </c>
      <c r="B363" s="4" t="s">
        <v>177</v>
      </c>
      <c r="C363">
        <v>2</v>
      </c>
      <c r="F363">
        <v>1</v>
      </c>
      <c r="I363" s="4" t="s">
        <v>3706</v>
      </c>
      <c r="J363" s="4" t="s">
        <v>47</v>
      </c>
      <c r="K363" s="4" t="s">
        <v>3586</v>
      </c>
      <c r="L363" s="4" t="s">
        <v>47</v>
      </c>
      <c r="M363">
        <v>36194</v>
      </c>
      <c r="N363" s="4" t="s">
        <v>3469</v>
      </c>
      <c r="O363" s="4" t="s">
        <v>47</v>
      </c>
      <c r="P363" s="4" t="s">
        <v>811</v>
      </c>
      <c r="Q363" s="9">
        <v>37414</v>
      </c>
      <c r="R363" s="4" t="s">
        <v>617</v>
      </c>
      <c r="S363" s="4" t="s">
        <v>47</v>
      </c>
      <c r="T363" s="4" t="s">
        <v>47</v>
      </c>
      <c r="U363" s="4" t="s">
        <v>99</v>
      </c>
      <c r="V363">
        <v>2002</v>
      </c>
      <c r="W363" s="4" t="s">
        <v>3707</v>
      </c>
      <c r="X363" s="4" t="s">
        <v>3708</v>
      </c>
      <c r="Y363" s="4" t="s">
        <v>3709</v>
      </c>
      <c r="Z363" s="4" t="s">
        <v>3710</v>
      </c>
      <c r="AA363" s="4" t="s">
        <v>47</v>
      </c>
      <c r="AB363" s="4" t="s">
        <v>47</v>
      </c>
      <c r="AC363" s="4" t="s">
        <v>3711</v>
      </c>
      <c r="AD363" s="4" t="s">
        <v>47</v>
      </c>
      <c r="AE363" s="4" t="s">
        <v>47</v>
      </c>
      <c r="AF363" s="4" t="s">
        <v>47</v>
      </c>
      <c r="AG363" s="4" t="s">
        <v>47</v>
      </c>
      <c r="AH363" s="4" t="s">
        <v>47</v>
      </c>
      <c r="AI363" s="4" t="s">
        <v>47</v>
      </c>
      <c r="AJ363" s="4" t="s">
        <v>47</v>
      </c>
      <c r="AK363" s="4" t="s">
        <v>47</v>
      </c>
      <c r="AL363" s="4" t="s">
        <v>47</v>
      </c>
      <c r="AM363" s="4" t="s">
        <v>47</v>
      </c>
      <c r="AN363" s="4" t="s">
        <v>47</v>
      </c>
      <c r="AO363" s="4" t="s">
        <v>3712</v>
      </c>
      <c r="AP363" s="4" t="s">
        <v>3713</v>
      </c>
      <c r="AQ363" s="4" t="s">
        <v>3714</v>
      </c>
      <c r="AR363" s="4" t="s">
        <v>3715</v>
      </c>
    </row>
    <row r="364" spans="1:44" x14ac:dyDescent="0.2">
      <c r="A364" s="4" t="s">
        <v>20</v>
      </c>
      <c r="B364" s="4" t="s">
        <v>202</v>
      </c>
      <c r="C364">
        <v>3</v>
      </c>
      <c r="F364">
        <v>1</v>
      </c>
      <c r="I364" s="4" t="s">
        <v>3408</v>
      </c>
      <c r="J364" s="4" t="s">
        <v>47</v>
      </c>
      <c r="K364" s="4" t="s">
        <v>3497</v>
      </c>
      <c r="L364" s="4" t="s">
        <v>47</v>
      </c>
      <c r="M364">
        <v>24000</v>
      </c>
      <c r="N364" s="4" t="s">
        <v>3460</v>
      </c>
      <c r="O364" s="4" t="s">
        <v>47</v>
      </c>
      <c r="P364" s="4" t="s">
        <v>811</v>
      </c>
      <c r="Q364" s="9">
        <v>37414</v>
      </c>
      <c r="R364" s="4" t="s">
        <v>770</v>
      </c>
      <c r="S364" s="4" t="s">
        <v>47</v>
      </c>
      <c r="T364" s="4" t="s">
        <v>47</v>
      </c>
      <c r="U364" s="4" t="s">
        <v>99</v>
      </c>
      <c r="V364">
        <v>2002</v>
      </c>
      <c r="W364" s="4" t="s">
        <v>3716</v>
      </c>
      <c r="X364" s="4" t="s">
        <v>47</v>
      </c>
      <c r="Y364" s="4" t="s">
        <v>3717</v>
      </c>
      <c r="Z364" s="4" t="s">
        <v>47</v>
      </c>
      <c r="AA364" s="4" t="s">
        <v>47</v>
      </c>
      <c r="AB364" s="4" t="s">
        <v>3718</v>
      </c>
      <c r="AC364" s="4" t="s">
        <v>3719</v>
      </c>
      <c r="AD364" s="4" t="s">
        <v>47</v>
      </c>
      <c r="AE364" s="4" t="s">
        <v>47</v>
      </c>
      <c r="AF364" s="4" t="s">
        <v>47</v>
      </c>
      <c r="AG364" s="4" t="s">
        <v>47</v>
      </c>
      <c r="AH364" s="4" t="s">
        <v>47</v>
      </c>
      <c r="AI364" s="4" t="s">
        <v>47</v>
      </c>
      <c r="AJ364" s="4" t="s">
        <v>47</v>
      </c>
      <c r="AK364" s="4" t="s">
        <v>47</v>
      </c>
      <c r="AL364" s="4" t="s">
        <v>47</v>
      </c>
      <c r="AM364" s="4" t="s">
        <v>47</v>
      </c>
      <c r="AN364" s="4" t="s">
        <v>47</v>
      </c>
      <c r="AO364" s="4" t="s">
        <v>3720</v>
      </c>
      <c r="AP364" s="4" t="s">
        <v>3721</v>
      </c>
      <c r="AQ364" s="4" t="s">
        <v>3722</v>
      </c>
      <c r="AR364" s="4" t="s">
        <v>3723</v>
      </c>
    </row>
    <row r="365" spans="1:44" x14ac:dyDescent="0.2">
      <c r="A365" s="4" t="s">
        <v>26</v>
      </c>
      <c r="B365" s="4" t="s">
        <v>52</v>
      </c>
      <c r="C365">
        <v>0</v>
      </c>
      <c r="F365">
        <v>1</v>
      </c>
      <c r="I365" s="4" t="s">
        <v>2512</v>
      </c>
      <c r="J365" s="4" t="s">
        <v>47</v>
      </c>
      <c r="K365" s="4" t="s">
        <v>2558</v>
      </c>
      <c r="L365" s="4" t="s">
        <v>47</v>
      </c>
      <c r="M365">
        <v>35927</v>
      </c>
      <c r="N365" s="4" t="s">
        <v>3662</v>
      </c>
      <c r="O365" s="4" t="s">
        <v>47</v>
      </c>
      <c r="P365" s="4" t="s">
        <v>811</v>
      </c>
      <c r="Q365" s="9">
        <v>37414</v>
      </c>
      <c r="R365" s="4" t="s">
        <v>963</v>
      </c>
      <c r="S365" s="4" t="s">
        <v>47</v>
      </c>
      <c r="T365" s="4" t="s">
        <v>47</v>
      </c>
      <c r="U365" s="4" t="s">
        <v>99</v>
      </c>
      <c r="V365">
        <v>2002</v>
      </c>
      <c r="W365" s="4" t="s">
        <v>47</v>
      </c>
      <c r="X365" s="4" t="s">
        <v>47</v>
      </c>
      <c r="Y365" s="4" t="s">
        <v>47</v>
      </c>
      <c r="Z365" s="4" t="s">
        <v>47</v>
      </c>
      <c r="AA365" s="4" t="s">
        <v>47</v>
      </c>
      <c r="AB365" s="4" t="s">
        <v>47</v>
      </c>
      <c r="AC365" s="4" t="s">
        <v>47</v>
      </c>
      <c r="AD365" s="4" t="s">
        <v>3724</v>
      </c>
      <c r="AE365" s="4" t="s">
        <v>47</v>
      </c>
      <c r="AF365" s="4" t="s">
        <v>47</v>
      </c>
      <c r="AG365" s="4" t="s">
        <v>47</v>
      </c>
      <c r="AH365" s="4" t="s">
        <v>47</v>
      </c>
      <c r="AI365" s="4" t="s">
        <v>47</v>
      </c>
      <c r="AJ365" s="4" t="s">
        <v>47</v>
      </c>
      <c r="AK365" s="4" t="s">
        <v>47</v>
      </c>
      <c r="AL365" s="4" t="s">
        <v>47</v>
      </c>
      <c r="AM365" s="4" t="s">
        <v>47</v>
      </c>
      <c r="AN365" s="4" t="s">
        <v>47</v>
      </c>
      <c r="AO365" s="4" t="s">
        <v>3725</v>
      </c>
      <c r="AP365" s="4" t="s">
        <v>3726</v>
      </c>
      <c r="AQ365" s="4" t="s">
        <v>3727</v>
      </c>
      <c r="AR365" s="4" t="s">
        <v>3728</v>
      </c>
    </row>
    <row r="366" spans="1:44" x14ac:dyDescent="0.2">
      <c r="A366" s="4" t="s">
        <v>167</v>
      </c>
      <c r="B366" s="4" t="s">
        <v>157</v>
      </c>
      <c r="C366">
        <v>1</v>
      </c>
      <c r="F366">
        <v>1</v>
      </c>
      <c r="I366" s="4" t="s">
        <v>2591</v>
      </c>
      <c r="J366" s="4" t="s">
        <v>47</v>
      </c>
      <c r="K366" s="4" t="s">
        <v>3419</v>
      </c>
      <c r="L366" s="4" t="s">
        <v>47</v>
      </c>
      <c r="M366">
        <v>43500</v>
      </c>
      <c r="N366" s="4" t="s">
        <v>3385</v>
      </c>
      <c r="O366" s="4" t="s">
        <v>47</v>
      </c>
      <c r="P366" s="4" t="s">
        <v>811</v>
      </c>
      <c r="Q366" s="9">
        <v>37413</v>
      </c>
      <c r="R366" s="4" t="s">
        <v>1046</v>
      </c>
      <c r="S366" s="4" t="s">
        <v>47</v>
      </c>
      <c r="T366" s="4" t="s">
        <v>47</v>
      </c>
      <c r="U366" s="4" t="s">
        <v>99</v>
      </c>
      <c r="V366">
        <v>2002</v>
      </c>
      <c r="W366" s="4" t="s">
        <v>47</v>
      </c>
      <c r="X366" s="4" t="s">
        <v>3729</v>
      </c>
      <c r="Y366" s="4" t="s">
        <v>47</v>
      </c>
      <c r="Z366" s="4" t="s">
        <v>3730</v>
      </c>
      <c r="AA366" s="4" t="s">
        <v>47</v>
      </c>
      <c r="AB366" s="4" t="s">
        <v>47</v>
      </c>
      <c r="AC366" s="4" t="s">
        <v>3731</v>
      </c>
      <c r="AD366" s="4" t="s">
        <v>47</v>
      </c>
      <c r="AE366" s="4" t="s">
        <v>47</v>
      </c>
      <c r="AF366" s="4" t="s">
        <v>47</v>
      </c>
      <c r="AG366" s="4" t="s">
        <v>47</v>
      </c>
      <c r="AH366" s="4" t="s">
        <v>47</v>
      </c>
      <c r="AI366" s="4" t="s">
        <v>47</v>
      </c>
      <c r="AJ366" s="4" t="s">
        <v>47</v>
      </c>
      <c r="AK366" s="4" t="s">
        <v>47</v>
      </c>
      <c r="AL366" s="4" t="s">
        <v>47</v>
      </c>
      <c r="AM366" s="4" t="s">
        <v>47</v>
      </c>
      <c r="AN366" s="4" t="s">
        <v>3732</v>
      </c>
      <c r="AO366" s="4" t="s">
        <v>3733</v>
      </c>
      <c r="AP366" s="4" t="s">
        <v>3734</v>
      </c>
      <c r="AQ366" s="4" t="s">
        <v>3735</v>
      </c>
      <c r="AR366" s="4" t="s">
        <v>3736</v>
      </c>
    </row>
    <row r="367" spans="1:44" x14ac:dyDescent="0.2">
      <c r="A367" s="4" t="s">
        <v>209</v>
      </c>
      <c r="B367" s="4" t="s">
        <v>240</v>
      </c>
      <c r="C367">
        <v>1</v>
      </c>
      <c r="F367">
        <v>0</v>
      </c>
      <c r="I367" s="4" t="s">
        <v>3631</v>
      </c>
      <c r="J367" s="4" t="s">
        <v>47</v>
      </c>
      <c r="K367" s="4" t="s">
        <v>3624</v>
      </c>
      <c r="L367" s="4" t="s">
        <v>47</v>
      </c>
      <c r="M367">
        <v>52328</v>
      </c>
      <c r="N367" s="4" t="s">
        <v>3394</v>
      </c>
      <c r="O367" s="4" t="s">
        <v>47</v>
      </c>
      <c r="P367" s="4" t="s">
        <v>811</v>
      </c>
      <c r="Q367" s="9">
        <v>37413</v>
      </c>
      <c r="R367" s="4" t="s">
        <v>652</v>
      </c>
      <c r="S367" s="4" t="s">
        <v>47</v>
      </c>
      <c r="T367" s="4" t="s">
        <v>47</v>
      </c>
      <c r="U367" s="4" t="s">
        <v>99</v>
      </c>
      <c r="V367">
        <v>2002</v>
      </c>
      <c r="W367" s="4" t="s">
        <v>3737</v>
      </c>
      <c r="X367" s="4" t="s">
        <v>47</v>
      </c>
      <c r="Y367" s="4" t="s">
        <v>3738</v>
      </c>
      <c r="Z367" s="4" t="s">
        <v>47</v>
      </c>
      <c r="AA367" s="4" t="s">
        <v>47</v>
      </c>
      <c r="AB367" s="4" t="s">
        <v>47</v>
      </c>
      <c r="AC367" s="4" t="s">
        <v>47</v>
      </c>
      <c r="AD367" s="4" t="s">
        <v>47</v>
      </c>
      <c r="AE367" s="4" t="s">
        <v>47</v>
      </c>
      <c r="AF367" s="4" t="s">
        <v>47</v>
      </c>
      <c r="AG367" s="4" t="s">
        <v>47</v>
      </c>
      <c r="AH367" s="4" t="s">
        <v>47</v>
      </c>
      <c r="AI367" s="4" t="s">
        <v>47</v>
      </c>
      <c r="AJ367" s="4" t="s">
        <v>47</v>
      </c>
      <c r="AK367" s="4" t="s">
        <v>47</v>
      </c>
      <c r="AL367" s="4" t="s">
        <v>47</v>
      </c>
      <c r="AM367" s="4" t="s">
        <v>47</v>
      </c>
      <c r="AN367" s="4" t="s">
        <v>47</v>
      </c>
      <c r="AO367" s="4" t="s">
        <v>3739</v>
      </c>
      <c r="AP367" s="4" t="s">
        <v>3740</v>
      </c>
      <c r="AQ367" s="4" t="s">
        <v>3741</v>
      </c>
      <c r="AR367" s="4" t="s">
        <v>3742</v>
      </c>
    </row>
    <row r="368" spans="1:44" x14ac:dyDescent="0.2">
      <c r="A368" s="4" t="s">
        <v>87</v>
      </c>
      <c r="B368" s="4" t="s">
        <v>121</v>
      </c>
      <c r="C368">
        <v>0</v>
      </c>
      <c r="F368">
        <v>0</v>
      </c>
      <c r="I368" s="4" t="s">
        <v>3032</v>
      </c>
      <c r="J368" s="4" t="s">
        <v>47</v>
      </c>
      <c r="K368" s="4" t="s">
        <v>3614</v>
      </c>
      <c r="L368" s="4" t="s">
        <v>47</v>
      </c>
      <c r="M368">
        <v>38070</v>
      </c>
      <c r="N368" s="4" t="s">
        <v>3743</v>
      </c>
      <c r="O368" s="4" t="s">
        <v>47</v>
      </c>
      <c r="P368" s="4" t="s">
        <v>811</v>
      </c>
      <c r="Q368" s="9">
        <v>37413</v>
      </c>
      <c r="R368" s="4" t="s">
        <v>869</v>
      </c>
      <c r="S368" s="4" t="s">
        <v>47</v>
      </c>
      <c r="T368" s="4" t="s">
        <v>47</v>
      </c>
      <c r="U368" s="4" t="s">
        <v>99</v>
      </c>
      <c r="V368">
        <v>2002</v>
      </c>
      <c r="W368" s="4" t="s">
        <v>47</v>
      </c>
      <c r="X368" s="4" t="s">
        <v>47</v>
      </c>
      <c r="Y368" s="4" t="s">
        <v>47</v>
      </c>
      <c r="Z368" s="4" t="s">
        <v>47</v>
      </c>
      <c r="AA368" s="4" t="s">
        <v>47</v>
      </c>
      <c r="AB368" s="4" t="s">
        <v>47</v>
      </c>
      <c r="AC368" s="4" t="s">
        <v>47</v>
      </c>
      <c r="AD368" s="4" t="s">
        <v>47</v>
      </c>
      <c r="AE368" s="4" t="s">
        <v>47</v>
      </c>
      <c r="AF368" s="4" t="s">
        <v>47</v>
      </c>
      <c r="AG368" s="4" t="s">
        <v>47</v>
      </c>
      <c r="AH368" s="4" t="s">
        <v>47</v>
      </c>
      <c r="AI368" s="4" t="s">
        <v>47</v>
      </c>
      <c r="AJ368" s="4" t="s">
        <v>47</v>
      </c>
      <c r="AK368" s="4" t="s">
        <v>3744</v>
      </c>
      <c r="AL368" s="4" t="s">
        <v>47</v>
      </c>
      <c r="AM368" s="4" t="s">
        <v>47</v>
      </c>
      <c r="AN368" s="4" t="s">
        <v>47</v>
      </c>
      <c r="AO368" s="4" t="s">
        <v>3745</v>
      </c>
      <c r="AP368" s="4" t="s">
        <v>3746</v>
      </c>
      <c r="AQ368" s="4" t="s">
        <v>3747</v>
      </c>
      <c r="AR368" s="4" t="s">
        <v>3748</v>
      </c>
    </row>
    <row r="369" spans="1:44" x14ac:dyDescent="0.2">
      <c r="A369" s="4" t="s">
        <v>89</v>
      </c>
      <c r="B369" s="4" t="s">
        <v>213</v>
      </c>
      <c r="C369">
        <v>2</v>
      </c>
      <c r="F369">
        <v>0</v>
      </c>
      <c r="I369" s="4" t="s">
        <v>3519</v>
      </c>
      <c r="J369" s="4" t="s">
        <v>47</v>
      </c>
      <c r="K369" s="4" t="s">
        <v>3513</v>
      </c>
      <c r="L369" s="4" t="s">
        <v>47</v>
      </c>
      <c r="M369">
        <v>30957</v>
      </c>
      <c r="N369" s="4" t="s">
        <v>3469</v>
      </c>
      <c r="O369" s="4" t="s">
        <v>47</v>
      </c>
      <c r="P369" s="4" t="s">
        <v>811</v>
      </c>
      <c r="Q369" s="9">
        <v>37412</v>
      </c>
      <c r="R369" s="4" t="s">
        <v>630</v>
      </c>
      <c r="S369" s="4" t="s">
        <v>47</v>
      </c>
      <c r="T369" s="4" t="s">
        <v>47</v>
      </c>
      <c r="U369" s="4" t="s">
        <v>99</v>
      </c>
      <c r="V369">
        <v>2002</v>
      </c>
      <c r="W369" s="4" t="s">
        <v>3749</v>
      </c>
      <c r="X369" s="4" t="s">
        <v>47</v>
      </c>
      <c r="Y369" s="4" t="s">
        <v>3750</v>
      </c>
      <c r="Z369" s="4" t="s">
        <v>47</v>
      </c>
      <c r="AA369" s="4" t="s">
        <v>47</v>
      </c>
      <c r="AB369" s="4" t="s">
        <v>47</v>
      </c>
      <c r="AC369" s="4" t="s">
        <v>3751</v>
      </c>
      <c r="AD369" s="4" t="s">
        <v>47</v>
      </c>
      <c r="AE369" s="4" t="s">
        <v>47</v>
      </c>
      <c r="AF369" s="4" t="s">
        <v>47</v>
      </c>
      <c r="AG369" s="4" t="s">
        <v>47</v>
      </c>
      <c r="AH369" s="4" t="s">
        <v>47</v>
      </c>
      <c r="AI369" s="4" t="s">
        <v>47</v>
      </c>
      <c r="AJ369" s="4" t="s">
        <v>47</v>
      </c>
      <c r="AK369" s="4" t="s">
        <v>47</v>
      </c>
      <c r="AL369" s="4" t="s">
        <v>47</v>
      </c>
      <c r="AM369" s="4" t="s">
        <v>47</v>
      </c>
      <c r="AN369" s="4" t="s">
        <v>47</v>
      </c>
      <c r="AO369" s="4" t="s">
        <v>3752</v>
      </c>
      <c r="AP369" s="4" t="s">
        <v>3753</v>
      </c>
      <c r="AQ369" s="4" t="s">
        <v>3754</v>
      </c>
      <c r="AR369" s="4" t="s">
        <v>3755</v>
      </c>
    </row>
    <row r="370" spans="1:44" x14ac:dyDescent="0.2">
      <c r="A370" s="4" t="s">
        <v>102</v>
      </c>
      <c r="B370" s="4" t="s">
        <v>141</v>
      </c>
      <c r="C370">
        <v>3</v>
      </c>
      <c r="F370">
        <v>2</v>
      </c>
      <c r="I370" s="4" t="s">
        <v>3053</v>
      </c>
      <c r="J370" s="4" t="s">
        <v>47</v>
      </c>
      <c r="K370" s="4" t="s">
        <v>3529</v>
      </c>
      <c r="L370" s="4" t="s">
        <v>47</v>
      </c>
      <c r="M370">
        <v>37306</v>
      </c>
      <c r="N370" s="4" t="s">
        <v>3485</v>
      </c>
      <c r="O370" s="4" t="s">
        <v>47</v>
      </c>
      <c r="P370" s="4" t="s">
        <v>811</v>
      </c>
      <c r="Q370" s="9">
        <v>37412</v>
      </c>
      <c r="R370" s="4" t="s">
        <v>1130</v>
      </c>
      <c r="S370" s="4" t="s">
        <v>47</v>
      </c>
      <c r="T370" s="4" t="s">
        <v>47</v>
      </c>
      <c r="U370" s="4" t="s">
        <v>99</v>
      </c>
      <c r="V370">
        <v>2002</v>
      </c>
      <c r="W370" s="4" t="s">
        <v>3756</v>
      </c>
      <c r="X370" s="4" t="s">
        <v>3757</v>
      </c>
      <c r="Y370" s="4" t="s">
        <v>3758</v>
      </c>
      <c r="Z370" s="4" t="s">
        <v>3759</v>
      </c>
      <c r="AA370" s="4" t="s">
        <v>3760</v>
      </c>
      <c r="AB370" s="4" t="s">
        <v>3761</v>
      </c>
      <c r="AC370" s="4" t="s">
        <v>47</v>
      </c>
      <c r="AD370" s="4" t="s">
        <v>47</v>
      </c>
      <c r="AE370" s="4" t="s">
        <v>47</v>
      </c>
      <c r="AF370" s="4" t="s">
        <v>47</v>
      </c>
      <c r="AG370" s="4" t="s">
        <v>47</v>
      </c>
      <c r="AH370" s="4" t="s">
        <v>47</v>
      </c>
      <c r="AI370" s="4" t="s">
        <v>47</v>
      </c>
      <c r="AJ370" s="4" t="s">
        <v>47</v>
      </c>
      <c r="AK370" s="4" t="s">
        <v>47</v>
      </c>
      <c r="AL370" s="4" t="s">
        <v>47</v>
      </c>
      <c r="AM370" s="4" t="s">
        <v>47</v>
      </c>
      <c r="AN370" s="4" t="s">
        <v>47</v>
      </c>
      <c r="AO370" s="4" t="s">
        <v>3762</v>
      </c>
      <c r="AP370" s="4" t="s">
        <v>3763</v>
      </c>
      <c r="AQ370" s="4" t="s">
        <v>3764</v>
      </c>
      <c r="AR370" s="4" t="s">
        <v>3765</v>
      </c>
    </row>
    <row r="371" spans="1:44" x14ac:dyDescent="0.2">
      <c r="A371" s="4" t="s">
        <v>92</v>
      </c>
      <c r="B371" s="4" t="s">
        <v>235</v>
      </c>
      <c r="C371">
        <v>1</v>
      </c>
      <c r="F371">
        <v>1</v>
      </c>
      <c r="I371" s="4" t="s">
        <v>3376</v>
      </c>
      <c r="J371" s="4" t="s">
        <v>47</v>
      </c>
      <c r="K371" s="4" t="s">
        <v>3484</v>
      </c>
      <c r="L371" s="4" t="s">
        <v>47</v>
      </c>
      <c r="M371">
        <v>35854</v>
      </c>
      <c r="N371" s="4" t="s">
        <v>3691</v>
      </c>
      <c r="O371" s="4" t="s">
        <v>47</v>
      </c>
      <c r="P371" s="4" t="s">
        <v>811</v>
      </c>
      <c r="Q371" s="9">
        <v>37412</v>
      </c>
      <c r="R371" s="4" t="s">
        <v>1046</v>
      </c>
      <c r="S371" s="4" t="s">
        <v>47</v>
      </c>
      <c r="T371" s="4" t="s">
        <v>47</v>
      </c>
      <c r="U371" s="4" t="s">
        <v>99</v>
      </c>
      <c r="V371">
        <v>2002</v>
      </c>
      <c r="W371" s="4" t="s">
        <v>3766</v>
      </c>
      <c r="X371" s="4" t="s">
        <v>3767</v>
      </c>
      <c r="Y371" s="4" t="s">
        <v>3768</v>
      </c>
      <c r="Z371" s="4" t="s">
        <v>3769</v>
      </c>
      <c r="AA371" s="4" t="s">
        <v>47</v>
      </c>
      <c r="AB371" s="4" t="s">
        <v>47</v>
      </c>
      <c r="AC371" s="4" t="s">
        <v>47</v>
      </c>
      <c r="AD371" s="4" t="s">
        <v>47</v>
      </c>
      <c r="AE371" s="4" t="s">
        <v>47</v>
      </c>
      <c r="AF371" s="4" t="s">
        <v>47</v>
      </c>
      <c r="AG371" s="4" t="s">
        <v>47</v>
      </c>
      <c r="AH371" s="4" t="s">
        <v>47</v>
      </c>
      <c r="AI371" s="4" t="s">
        <v>47</v>
      </c>
      <c r="AJ371" s="4" t="s">
        <v>47</v>
      </c>
      <c r="AK371" s="4" t="s">
        <v>47</v>
      </c>
      <c r="AL371" s="4" t="s">
        <v>47</v>
      </c>
      <c r="AM371" s="4" t="s">
        <v>47</v>
      </c>
      <c r="AN371" s="4" t="s">
        <v>47</v>
      </c>
      <c r="AO371" s="4" t="s">
        <v>47</v>
      </c>
      <c r="AP371" s="4" t="s">
        <v>47</v>
      </c>
      <c r="AQ371" s="4" t="s">
        <v>3770</v>
      </c>
      <c r="AR371" s="4" t="s">
        <v>3771</v>
      </c>
    </row>
    <row r="372" spans="1:44" x14ac:dyDescent="0.2">
      <c r="A372" s="4" t="s">
        <v>303</v>
      </c>
      <c r="B372" s="4" t="s">
        <v>225</v>
      </c>
      <c r="C372">
        <v>0</v>
      </c>
      <c r="F372">
        <v>2</v>
      </c>
      <c r="I372" s="4" t="s">
        <v>3555</v>
      </c>
      <c r="J372" s="4" t="s">
        <v>47</v>
      </c>
      <c r="K372" s="4" t="s">
        <v>3131</v>
      </c>
      <c r="L372" s="4" t="s">
        <v>47</v>
      </c>
      <c r="M372">
        <v>27217</v>
      </c>
      <c r="N372" s="4" t="s">
        <v>3409</v>
      </c>
      <c r="O372" s="4" t="s">
        <v>47</v>
      </c>
      <c r="P372" s="4" t="s">
        <v>811</v>
      </c>
      <c r="Q372" s="9">
        <v>37411</v>
      </c>
      <c r="R372" s="4" t="s">
        <v>824</v>
      </c>
      <c r="S372" s="4" t="s">
        <v>47</v>
      </c>
      <c r="T372" s="4" t="s">
        <v>47</v>
      </c>
      <c r="U372" s="4" t="s">
        <v>99</v>
      </c>
      <c r="V372">
        <v>2002</v>
      </c>
      <c r="W372" s="4" t="s">
        <v>47</v>
      </c>
      <c r="X372" s="4" t="s">
        <v>3772</v>
      </c>
      <c r="Y372" s="4" t="s">
        <v>47</v>
      </c>
      <c r="Z372" s="4" t="s">
        <v>3773</v>
      </c>
      <c r="AA372" s="4" t="s">
        <v>47</v>
      </c>
      <c r="AB372" s="4" t="s">
        <v>47</v>
      </c>
      <c r="AC372" s="4" t="s">
        <v>47</v>
      </c>
      <c r="AD372" s="4" t="s">
        <v>47</v>
      </c>
      <c r="AE372" s="4" t="s">
        <v>47</v>
      </c>
      <c r="AF372" s="4" t="s">
        <v>47</v>
      </c>
      <c r="AG372" s="4" t="s">
        <v>47</v>
      </c>
      <c r="AH372" s="4" t="s">
        <v>47</v>
      </c>
      <c r="AI372" s="4" t="s">
        <v>47</v>
      </c>
      <c r="AJ372" s="4" t="s">
        <v>47</v>
      </c>
      <c r="AK372" s="4" t="s">
        <v>47</v>
      </c>
      <c r="AL372" s="4" t="s">
        <v>47</v>
      </c>
      <c r="AM372" s="4" t="s">
        <v>47</v>
      </c>
      <c r="AN372" s="4" t="s">
        <v>47</v>
      </c>
      <c r="AO372" s="4" t="s">
        <v>3774</v>
      </c>
      <c r="AP372" s="4" t="s">
        <v>3775</v>
      </c>
      <c r="AQ372" s="4" t="s">
        <v>3776</v>
      </c>
      <c r="AR372" s="4" t="s">
        <v>3777</v>
      </c>
    </row>
    <row r="373" spans="1:44" x14ac:dyDescent="0.2">
      <c r="A373" s="4" t="s">
        <v>161</v>
      </c>
      <c r="B373" s="4" t="s">
        <v>148</v>
      </c>
      <c r="C373">
        <v>2</v>
      </c>
      <c r="F373">
        <v>2</v>
      </c>
      <c r="I373" s="4" t="s">
        <v>3442</v>
      </c>
      <c r="J373" s="4" t="s">
        <v>47</v>
      </c>
      <c r="K373" s="4" t="s">
        <v>3468</v>
      </c>
      <c r="L373" s="4" t="s">
        <v>47</v>
      </c>
      <c r="M373">
        <v>55256</v>
      </c>
      <c r="N373" s="4" t="s">
        <v>3394</v>
      </c>
      <c r="O373" s="4" t="s">
        <v>47</v>
      </c>
      <c r="P373" s="4" t="s">
        <v>811</v>
      </c>
      <c r="Q373" s="9">
        <v>37411</v>
      </c>
      <c r="R373" s="4" t="s">
        <v>1487</v>
      </c>
      <c r="S373" s="4" t="s">
        <v>47</v>
      </c>
      <c r="T373" s="4" t="s">
        <v>47</v>
      </c>
      <c r="U373" s="4" t="s">
        <v>99</v>
      </c>
      <c r="V373">
        <v>2002</v>
      </c>
      <c r="W373" s="4" t="s">
        <v>3778</v>
      </c>
      <c r="X373" s="4" t="s">
        <v>3779</v>
      </c>
      <c r="Y373" s="4" t="s">
        <v>3780</v>
      </c>
      <c r="Z373" s="4" t="s">
        <v>3781</v>
      </c>
      <c r="AA373" s="4" t="s">
        <v>47</v>
      </c>
      <c r="AB373" s="4" t="s">
        <v>47</v>
      </c>
      <c r="AC373" s="4" t="s">
        <v>47</v>
      </c>
      <c r="AD373" s="4" t="s">
        <v>47</v>
      </c>
      <c r="AE373" s="4" t="s">
        <v>47</v>
      </c>
      <c r="AF373" s="4" t="s">
        <v>47</v>
      </c>
      <c r="AG373" s="4" t="s">
        <v>47</v>
      </c>
      <c r="AH373" s="4" t="s">
        <v>47</v>
      </c>
      <c r="AI373" s="4" t="s">
        <v>47</v>
      </c>
      <c r="AJ373" s="4" t="s">
        <v>47</v>
      </c>
      <c r="AK373" s="4" t="s">
        <v>47</v>
      </c>
      <c r="AL373" s="4" t="s">
        <v>47</v>
      </c>
      <c r="AM373" s="4" t="s">
        <v>47</v>
      </c>
      <c r="AN373" s="4" t="s">
        <v>47</v>
      </c>
      <c r="AO373" s="4" t="s">
        <v>3782</v>
      </c>
      <c r="AP373" s="4" t="s">
        <v>3783</v>
      </c>
      <c r="AQ373" s="4" t="s">
        <v>3784</v>
      </c>
      <c r="AR373" s="4" t="s">
        <v>3785</v>
      </c>
    </row>
    <row r="374" spans="1:44" x14ac:dyDescent="0.2">
      <c r="A374" s="4" t="s">
        <v>175</v>
      </c>
      <c r="B374" s="4" t="s">
        <v>195</v>
      </c>
      <c r="C374">
        <v>2</v>
      </c>
      <c r="F374">
        <v>0</v>
      </c>
      <c r="I374" s="4" t="s">
        <v>2974</v>
      </c>
      <c r="J374" s="4" t="s">
        <v>47</v>
      </c>
      <c r="K374" s="4" t="s">
        <v>3539</v>
      </c>
      <c r="L374" s="4" t="s">
        <v>47</v>
      </c>
      <c r="M374">
        <v>48760</v>
      </c>
      <c r="N374" s="4" t="s">
        <v>3743</v>
      </c>
      <c r="O374" s="4" t="s">
        <v>47</v>
      </c>
      <c r="P374" s="4" t="s">
        <v>811</v>
      </c>
      <c r="Q374" s="9">
        <v>37411</v>
      </c>
      <c r="R374" s="4" t="s">
        <v>630</v>
      </c>
      <c r="S374" s="4" t="s">
        <v>47</v>
      </c>
      <c r="T374" s="4" t="s">
        <v>47</v>
      </c>
      <c r="U374" s="4" t="s">
        <v>99</v>
      </c>
      <c r="V374">
        <v>2002</v>
      </c>
      <c r="W374" s="4" t="s">
        <v>3786</v>
      </c>
      <c r="X374" s="4" t="s">
        <v>47</v>
      </c>
      <c r="Y374" s="4" t="s">
        <v>3787</v>
      </c>
      <c r="Z374" s="4" t="s">
        <v>47</v>
      </c>
      <c r="AA374" s="4" t="s">
        <v>47</v>
      </c>
      <c r="AB374" s="4" t="s">
        <v>47</v>
      </c>
      <c r="AC374" s="4" t="s">
        <v>47</v>
      </c>
      <c r="AD374" s="4" t="s">
        <v>47</v>
      </c>
      <c r="AE374" s="4" t="s">
        <v>47</v>
      </c>
      <c r="AF374" s="4" t="s">
        <v>47</v>
      </c>
      <c r="AG374" s="4" t="s">
        <v>47</v>
      </c>
      <c r="AH374" s="4" t="s">
        <v>47</v>
      </c>
      <c r="AI374" s="4" t="s">
        <v>47</v>
      </c>
      <c r="AJ374" s="4" t="s">
        <v>47</v>
      </c>
      <c r="AK374" s="4" t="s">
        <v>47</v>
      </c>
      <c r="AL374" s="4" t="s">
        <v>47</v>
      </c>
      <c r="AM374" s="4" t="s">
        <v>47</v>
      </c>
      <c r="AN374" s="4" t="s">
        <v>47</v>
      </c>
      <c r="AO374" s="4" t="s">
        <v>3788</v>
      </c>
      <c r="AP374" s="4" t="s">
        <v>3789</v>
      </c>
      <c r="AQ374" s="4" t="s">
        <v>3790</v>
      </c>
      <c r="AR374" s="4" t="s">
        <v>3791</v>
      </c>
    </row>
    <row r="375" spans="1:44" x14ac:dyDescent="0.2">
      <c r="A375" s="4" t="s">
        <v>90</v>
      </c>
      <c r="B375" s="4" t="s">
        <v>106</v>
      </c>
      <c r="C375">
        <v>0</v>
      </c>
      <c r="F375">
        <v>1</v>
      </c>
      <c r="I375" s="4" t="s">
        <v>3571</v>
      </c>
      <c r="J375" s="4" t="s">
        <v>47</v>
      </c>
      <c r="K375" s="4" t="s">
        <v>2528</v>
      </c>
      <c r="L375" s="4" t="s">
        <v>47</v>
      </c>
      <c r="M375">
        <v>32239</v>
      </c>
      <c r="N375" s="4" t="s">
        <v>3506</v>
      </c>
      <c r="O375" s="4" t="s">
        <v>47</v>
      </c>
      <c r="P375" s="4" t="s">
        <v>811</v>
      </c>
      <c r="Q375" s="9">
        <v>37410</v>
      </c>
      <c r="R375" s="4" t="s">
        <v>963</v>
      </c>
      <c r="S375" s="4" t="s">
        <v>47</v>
      </c>
      <c r="T375" s="4" t="s">
        <v>47</v>
      </c>
      <c r="U375" s="4" t="s">
        <v>99</v>
      </c>
      <c r="V375">
        <v>2002</v>
      </c>
      <c r="W375" s="4" t="s">
        <v>47</v>
      </c>
      <c r="X375" s="4" t="s">
        <v>47</v>
      </c>
      <c r="Y375" s="4" t="s">
        <v>47</v>
      </c>
      <c r="Z375" s="4" t="s">
        <v>47</v>
      </c>
      <c r="AA375" s="4" t="s">
        <v>47</v>
      </c>
      <c r="AB375" s="4" t="s">
        <v>47</v>
      </c>
      <c r="AC375" s="4" t="s">
        <v>47</v>
      </c>
      <c r="AD375" s="4" t="s">
        <v>3792</v>
      </c>
      <c r="AE375" s="4" t="s">
        <v>47</v>
      </c>
      <c r="AF375" s="4" t="s">
        <v>47</v>
      </c>
      <c r="AG375" s="4" t="s">
        <v>47</v>
      </c>
      <c r="AH375" s="4" t="s">
        <v>47</v>
      </c>
      <c r="AI375" s="4" t="s">
        <v>47</v>
      </c>
      <c r="AJ375" s="4" t="s">
        <v>47</v>
      </c>
      <c r="AK375" s="4" t="s">
        <v>3793</v>
      </c>
      <c r="AL375" s="4" t="s">
        <v>47</v>
      </c>
      <c r="AM375" s="4" t="s">
        <v>47</v>
      </c>
      <c r="AN375" s="4" t="s">
        <v>47</v>
      </c>
      <c r="AO375" s="4" t="s">
        <v>47</v>
      </c>
      <c r="AP375" s="4" t="s">
        <v>47</v>
      </c>
      <c r="AQ375" s="4" t="s">
        <v>3794</v>
      </c>
      <c r="AR375" s="4" t="s">
        <v>3795</v>
      </c>
    </row>
    <row r="376" spans="1:44" x14ac:dyDescent="0.2">
      <c r="A376" s="4" t="s">
        <v>12</v>
      </c>
      <c r="B376" s="4" t="s">
        <v>169</v>
      </c>
      <c r="C376">
        <v>2</v>
      </c>
      <c r="F376">
        <v>1</v>
      </c>
      <c r="I376" s="4" t="s">
        <v>1857</v>
      </c>
      <c r="J376" s="4" t="s">
        <v>47</v>
      </c>
      <c r="K376" s="4" t="s">
        <v>3384</v>
      </c>
      <c r="L376" s="4" t="s">
        <v>47</v>
      </c>
      <c r="M376">
        <v>33842</v>
      </c>
      <c r="N376" s="4" t="s">
        <v>3435</v>
      </c>
      <c r="O376" s="4" t="s">
        <v>47</v>
      </c>
      <c r="P376" s="4" t="s">
        <v>811</v>
      </c>
      <c r="Q376" s="9">
        <v>37410</v>
      </c>
      <c r="R376" s="4" t="s">
        <v>617</v>
      </c>
      <c r="S376" s="4" t="s">
        <v>47</v>
      </c>
      <c r="T376" s="4" t="s">
        <v>47</v>
      </c>
      <c r="U376" s="4" t="s">
        <v>99</v>
      </c>
      <c r="V376">
        <v>2002</v>
      </c>
      <c r="W376" s="4" t="s">
        <v>3796</v>
      </c>
      <c r="X376" s="4" t="s">
        <v>3797</v>
      </c>
      <c r="Y376" s="4" t="s">
        <v>3798</v>
      </c>
      <c r="Z376" s="4" t="s">
        <v>3799</v>
      </c>
      <c r="AA376" s="4" t="s">
        <v>47</v>
      </c>
      <c r="AB376" s="4" t="s">
        <v>47</v>
      </c>
      <c r="AC376" s="4" t="s">
        <v>3800</v>
      </c>
      <c r="AD376" s="4" t="s">
        <v>47</v>
      </c>
      <c r="AE376" s="4" t="s">
        <v>47</v>
      </c>
      <c r="AF376" s="4" t="s">
        <v>47</v>
      </c>
      <c r="AG376" s="4" t="s">
        <v>47</v>
      </c>
      <c r="AH376" s="4" t="s">
        <v>47</v>
      </c>
      <c r="AI376" s="4" t="s">
        <v>47</v>
      </c>
      <c r="AJ376" s="4" t="s">
        <v>47</v>
      </c>
      <c r="AK376" s="4" t="s">
        <v>47</v>
      </c>
      <c r="AL376" s="4" t="s">
        <v>47</v>
      </c>
      <c r="AM376" s="4" t="s">
        <v>47</v>
      </c>
      <c r="AN376" s="4" t="s">
        <v>3801</v>
      </c>
      <c r="AO376" s="4" t="s">
        <v>3802</v>
      </c>
      <c r="AP376" s="4" t="s">
        <v>3803</v>
      </c>
      <c r="AQ376" s="4" t="s">
        <v>3804</v>
      </c>
      <c r="AR376" s="4" t="s">
        <v>3805</v>
      </c>
    </row>
    <row r="377" spans="1:44" x14ac:dyDescent="0.2">
      <c r="A377" s="4" t="s">
        <v>97</v>
      </c>
      <c r="B377" s="4" t="s">
        <v>171</v>
      </c>
      <c r="C377">
        <v>2</v>
      </c>
      <c r="F377">
        <v>0</v>
      </c>
      <c r="I377" s="4" t="s">
        <v>3450</v>
      </c>
      <c r="J377" s="4" t="s">
        <v>47</v>
      </c>
      <c r="K377" s="4" t="s">
        <v>1450</v>
      </c>
      <c r="L377" s="4" t="s">
        <v>47</v>
      </c>
      <c r="M377">
        <v>31081</v>
      </c>
      <c r="N377" s="4" t="s">
        <v>3662</v>
      </c>
      <c r="O377" s="4" t="s">
        <v>47</v>
      </c>
      <c r="P377" s="4" t="s">
        <v>811</v>
      </c>
      <c r="Q377" s="9">
        <v>37410</v>
      </c>
      <c r="R377" s="4" t="s">
        <v>630</v>
      </c>
      <c r="S377" s="4" t="s">
        <v>47</v>
      </c>
      <c r="T377" s="4" t="s">
        <v>47</v>
      </c>
      <c r="U377" s="4" t="s">
        <v>99</v>
      </c>
      <c r="V377">
        <v>2002</v>
      </c>
      <c r="W377" s="4" t="s">
        <v>3806</v>
      </c>
      <c r="X377" s="4" t="s">
        <v>47</v>
      </c>
      <c r="Y377" s="4" t="s">
        <v>3807</v>
      </c>
      <c r="Z377" s="4" t="s">
        <v>47</v>
      </c>
      <c r="AA377" s="4" t="s">
        <v>47</v>
      </c>
      <c r="AB377" s="4" t="s">
        <v>47</v>
      </c>
      <c r="AC377" s="4" t="s">
        <v>47</v>
      </c>
      <c r="AD377" s="4" t="s">
        <v>47</v>
      </c>
      <c r="AE377" s="4" t="s">
        <v>47</v>
      </c>
      <c r="AF377" s="4" t="s">
        <v>47</v>
      </c>
      <c r="AG377" s="4" t="s">
        <v>47</v>
      </c>
      <c r="AH377" s="4" t="s">
        <v>47</v>
      </c>
      <c r="AI377" s="4" t="s">
        <v>47</v>
      </c>
      <c r="AJ377" s="4" t="s">
        <v>47</v>
      </c>
      <c r="AK377" s="4" t="s">
        <v>47</v>
      </c>
      <c r="AL377" s="4" t="s">
        <v>47</v>
      </c>
      <c r="AM377" s="4" t="s">
        <v>47</v>
      </c>
      <c r="AN377" s="4" t="s">
        <v>47</v>
      </c>
      <c r="AO377" s="4" t="s">
        <v>3808</v>
      </c>
      <c r="AP377" s="4" t="s">
        <v>3809</v>
      </c>
      <c r="AQ377" s="4" t="s">
        <v>3810</v>
      </c>
      <c r="AR377" s="4" t="s">
        <v>3811</v>
      </c>
    </row>
    <row r="378" spans="1:44" x14ac:dyDescent="0.2">
      <c r="A378" s="4" t="s">
        <v>26</v>
      </c>
      <c r="B378" s="4" t="s">
        <v>177</v>
      </c>
      <c r="C378">
        <v>1</v>
      </c>
      <c r="F378">
        <v>0</v>
      </c>
      <c r="I378" s="4" t="s">
        <v>2512</v>
      </c>
      <c r="J378" s="4" t="s">
        <v>47</v>
      </c>
      <c r="K378" s="4" t="s">
        <v>3586</v>
      </c>
      <c r="L378" s="4" t="s">
        <v>47</v>
      </c>
      <c r="M378">
        <v>34050</v>
      </c>
      <c r="N378" s="4" t="s">
        <v>3691</v>
      </c>
      <c r="O378" s="4" t="s">
        <v>47</v>
      </c>
      <c r="P378" s="4" t="s">
        <v>811</v>
      </c>
      <c r="Q378" s="9">
        <v>37409</v>
      </c>
      <c r="R378" s="4" t="s">
        <v>652</v>
      </c>
      <c r="S378" s="4" t="s">
        <v>47</v>
      </c>
      <c r="T378" s="4" t="s">
        <v>47</v>
      </c>
      <c r="U378" s="4" t="s">
        <v>99</v>
      </c>
      <c r="V378">
        <v>2002</v>
      </c>
      <c r="W378" s="4" t="s">
        <v>3812</v>
      </c>
      <c r="X378" s="4" t="s">
        <v>47</v>
      </c>
      <c r="Y378" s="4" t="s">
        <v>3813</v>
      </c>
      <c r="Z378" s="4" t="s">
        <v>47</v>
      </c>
      <c r="AA378" s="4" t="s">
        <v>47</v>
      </c>
      <c r="AB378" s="4" t="s">
        <v>47</v>
      </c>
      <c r="AC378" s="4" t="s">
        <v>47</v>
      </c>
      <c r="AD378" s="4" t="s">
        <v>47</v>
      </c>
      <c r="AE378" s="4" t="s">
        <v>47</v>
      </c>
      <c r="AF378" s="4" t="s">
        <v>47</v>
      </c>
      <c r="AG378" s="4" t="s">
        <v>47</v>
      </c>
      <c r="AH378" s="4" t="s">
        <v>47</v>
      </c>
      <c r="AI378" s="4" t="s">
        <v>47</v>
      </c>
      <c r="AJ378" s="4" t="s">
        <v>47</v>
      </c>
      <c r="AK378" s="4" t="s">
        <v>47</v>
      </c>
      <c r="AL378" s="4" t="s">
        <v>47</v>
      </c>
      <c r="AM378" s="4" t="s">
        <v>47</v>
      </c>
      <c r="AN378" s="4" t="s">
        <v>47</v>
      </c>
      <c r="AO378" s="4" t="s">
        <v>3814</v>
      </c>
      <c r="AP378" s="4" t="s">
        <v>3815</v>
      </c>
      <c r="AQ378" s="4" t="s">
        <v>3816</v>
      </c>
      <c r="AR378" s="4" t="s">
        <v>3817</v>
      </c>
    </row>
    <row r="379" spans="1:44" x14ac:dyDescent="0.2">
      <c r="A379" s="4" t="s">
        <v>202</v>
      </c>
      <c r="B379" s="4" t="s">
        <v>94</v>
      </c>
      <c r="C379">
        <v>2</v>
      </c>
      <c r="F379">
        <v>2</v>
      </c>
      <c r="I379" s="4" t="s">
        <v>3497</v>
      </c>
      <c r="J379" s="4" t="s">
        <v>47</v>
      </c>
      <c r="K379" s="4" t="s">
        <v>3589</v>
      </c>
      <c r="L379" s="4" t="s">
        <v>47</v>
      </c>
      <c r="M379">
        <v>25186</v>
      </c>
      <c r="N379" s="4" t="s">
        <v>3743</v>
      </c>
      <c r="O379" s="4" t="s">
        <v>47</v>
      </c>
      <c r="P379" s="4" t="s">
        <v>811</v>
      </c>
      <c r="Q379" s="9">
        <v>37409</v>
      </c>
      <c r="R379" s="4" t="s">
        <v>1487</v>
      </c>
      <c r="S379" s="4" t="s">
        <v>47</v>
      </c>
      <c r="T379" s="4" t="s">
        <v>47</v>
      </c>
      <c r="U379" s="4" t="s">
        <v>99</v>
      </c>
      <c r="V379">
        <v>2002</v>
      </c>
      <c r="W379" s="4" t="s">
        <v>3818</v>
      </c>
      <c r="X379" s="4" t="s">
        <v>3819</v>
      </c>
      <c r="Y379" s="4" t="s">
        <v>3820</v>
      </c>
      <c r="Z379" s="4" t="s">
        <v>3821</v>
      </c>
      <c r="AA379" s="4" t="s">
        <v>47</v>
      </c>
      <c r="AB379" s="4" t="s">
        <v>47</v>
      </c>
      <c r="AC379" s="4" t="s">
        <v>47</v>
      </c>
      <c r="AD379" s="4" t="s">
        <v>3822</v>
      </c>
      <c r="AE379" s="4" t="s">
        <v>47</v>
      </c>
      <c r="AF379" s="4" t="s">
        <v>47</v>
      </c>
      <c r="AG379" s="4" t="s">
        <v>47</v>
      </c>
      <c r="AH379" s="4" t="s">
        <v>47</v>
      </c>
      <c r="AI379" s="4" t="s">
        <v>47</v>
      </c>
      <c r="AJ379" s="4" t="s">
        <v>47</v>
      </c>
      <c r="AK379" s="4" t="s">
        <v>47</v>
      </c>
      <c r="AL379" s="4" t="s">
        <v>47</v>
      </c>
      <c r="AM379" s="4" t="s">
        <v>47</v>
      </c>
      <c r="AN379" s="4" t="s">
        <v>47</v>
      </c>
      <c r="AO379" s="4" t="s">
        <v>3823</v>
      </c>
      <c r="AP379" s="4" t="s">
        <v>3824</v>
      </c>
      <c r="AQ379" s="4" t="s">
        <v>3825</v>
      </c>
      <c r="AR379" s="4" t="s">
        <v>3826</v>
      </c>
    </row>
    <row r="380" spans="1:44" x14ac:dyDescent="0.2">
      <c r="A380" s="4" t="s">
        <v>52</v>
      </c>
      <c r="B380" s="4" t="s">
        <v>116</v>
      </c>
      <c r="C380">
        <v>1</v>
      </c>
      <c r="F380">
        <v>1</v>
      </c>
      <c r="I380" s="4" t="s">
        <v>2558</v>
      </c>
      <c r="J380" s="4" t="s">
        <v>47</v>
      </c>
      <c r="K380" s="4" t="s">
        <v>3706</v>
      </c>
      <c r="L380" s="4" t="s">
        <v>47</v>
      </c>
      <c r="M380">
        <v>52721</v>
      </c>
      <c r="N380" s="4" t="s">
        <v>3394</v>
      </c>
      <c r="O380" s="4" t="s">
        <v>47</v>
      </c>
      <c r="P380" s="4" t="s">
        <v>811</v>
      </c>
      <c r="Q380" s="9">
        <v>37409</v>
      </c>
      <c r="R380" s="4" t="s">
        <v>1046</v>
      </c>
      <c r="S380" s="4" t="s">
        <v>47</v>
      </c>
      <c r="T380" s="4" t="s">
        <v>47</v>
      </c>
      <c r="U380" s="4" t="s">
        <v>99</v>
      </c>
      <c r="V380">
        <v>2002</v>
      </c>
      <c r="W380" s="4" t="s">
        <v>3827</v>
      </c>
      <c r="X380" s="4" t="s">
        <v>3828</v>
      </c>
      <c r="Y380" s="4" t="s">
        <v>3829</v>
      </c>
      <c r="Z380" s="4" t="s">
        <v>3830</v>
      </c>
      <c r="AA380" s="4" t="s">
        <v>47</v>
      </c>
      <c r="AB380" s="4" t="s">
        <v>47</v>
      </c>
      <c r="AC380" s="4" t="s">
        <v>47</v>
      </c>
      <c r="AD380" s="4" t="s">
        <v>47</v>
      </c>
      <c r="AE380" s="4" t="s">
        <v>47</v>
      </c>
      <c r="AF380" s="4" t="s">
        <v>47</v>
      </c>
      <c r="AG380" s="4" t="s">
        <v>47</v>
      </c>
      <c r="AH380" s="4" t="s">
        <v>47</v>
      </c>
      <c r="AI380" s="4" t="s">
        <v>47</v>
      </c>
      <c r="AJ380" s="4" t="s">
        <v>47</v>
      </c>
      <c r="AK380" s="4" t="s">
        <v>47</v>
      </c>
      <c r="AL380" s="4" t="s">
        <v>47</v>
      </c>
      <c r="AM380" s="4" t="s">
        <v>47</v>
      </c>
      <c r="AN380" s="4" t="s">
        <v>47</v>
      </c>
      <c r="AO380" s="4" t="s">
        <v>3831</v>
      </c>
      <c r="AP380" s="4" t="s">
        <v>3832</v>
      </c>
      <c r="AQ380" s="4" t="s">
        <v>3833</v>
      </c>
      <c r="AR380" s="4" t="s">
        <v>3834</v>
      </c>
    </row>
    <row r="381" spans="1:44" x14ac:dyDescent="0.2">
      <c r="A381" s="4" t="s">
        <v>20</v>
      </c>
      <c r="B381" s="4" t="s">
        <v>237</v>
      </c>
      <c r="C381">
        <v>3</v>
      </c>
      <c r="F381">
        <v>1</v>
      </c>
      <c r="I381" s="4" t="s">
        <v>3408</v>
      </c>
      <c r="J381" s="4" t="s">
        <v>47</v>
      </c>
      <c r="K381" s="4" t="s">
        <v>3597</v>
      </c>
      <c r="L381" s="4" t="s">
        <v>47</v>
      </c>
      <c r="M381">
        <v>28588</v>
      </c>
      <c r="N381" s="4" t="s">
        <v>3409</v>
      </c>
      <c r="O381" s="4" t="s">
        <v>47</v>
      </c>
      <c r="P381" s="4" t="s">
        <v>811</v>
      </c>
      <c r="Q381" s="9">
        <v>37409</v>
      </c>
      <c r="R381" s="4" t="s">
        <v>770</v>
      </c>
      <c r="S381" s="4" t="s">
        <v>47</v>
      </c>
      <c r="T381" s="4" t="s">
        <v>47</v>
      </c>
      <c r="U381" s="4" t="s">
        <v>99</v>
      </c>
      <c r="V381">
        <v>2002</v>
      </c>
      <c r="W381" s="4" t="s">
        <v>3835</v>
      </c>
      <c r="X381" s="4" t="s">
        <v>3836</v>
      </c>
      <c r="Y381" s="4" t="s">
        <v>3837</v>
      </c>
      <c r="Z381" s="4" t="s">
        <v>3838</v>
      </c>
      <c r="AA381" s="4" t="s">
        <v>47</v>
      </c>
      <c r="AB381" s="4" t="s">
        <v>47</v>
      </c>
      <c r="AC381" s="4" t="s">
        <v>3839</v>
      </c>
      <c r="AD381" s="4" t="s">
        <v>47</v>
      </c>
      <c r="AE381" s="4" t="s">
        <v>47</v>
      </c>
      <c r="AF381" s="4" t="s">
        <v>47</v>
      </c>
      <c r="AG381" s="4" t="s">
        <v>47</v>
      </c>
      <c r="AH381" s="4" t="s">
        <v>47</v>
      </c>
      <c r="AI381" s="4" t="s">
        <v>47</v>
      </c>
      <c r="AJ381" s="4" t="s">
        <v>47</v>
      </c>
      <c r="AK381" s="4" t="s">
        <v>47</v>
      </c>
      <c r="AL381" s="4" t="s">
        <v>47</v>
      </c>
      <c r="AM381" s="4" t="s">
        <v>47</v>
      </c>
      <c r="AN381" s="4" t="s">
        <v>47</v>
      </c>
      <c r="AO381" s="4" t="s">
        <v>3840</v>
      </c>
      <c r="AP381" s="4" t="s">
        <v>3841</v>
      </c>
      <c r="AQ381" s="4" t="s">
        <v>3842</v>
      </c>
      <c r="AR381" s="4" t="s">
        <v>3843</v>
      </c>
    </row>
    <row r="382" spans="1:44" x14ac:dyDescent="0.2">
      <c r="A382" s="4" t="s">
        <v>235</v>
      </c>
      <c r="B382" s="4" t="s">
        <v>209</v>
      </c>
      <c r="C382">
        <v>1</v>
      </c>
      <c r="F382">
        <v>1</v>
      </c>
      <c r="I382" s="4" t="s">
        <v>3484</v>
      </c>
      <c r="J382" s="4" t="s">
        <v>47</v>
      </c>
      <c r="K382" s="4" t="s">
        <v>3631</v>
      </c>
      <c r="L382" s="4" t="s">
        <v>47</v>
      </c>
      <c r="M382">
        <v>33679</v>
      </c>
      <c r="N382" s="4" t="s">
        <v>3506</v>
      </c>
      <c r="O382" s="4" t="s">
        <v>47</v>
      </c>
      <c r="P382" s="4" t="s">
        <v>811</v>
      </c>
      <c r="Q382" s="9">
        <v>37408</v>
      </c>
      <c r="R382" s="4" t="s">
        <v>1046</v>
      </c>
      <c r="S382" s="4" t="s">
        <v>47</v>
      </c>
      <c r="T382" s="4" t="s">
        <v>47</v>
      </c>
      <c r="U382" s="4" t="s">
        <v>99</v>
      </c>
      <c r="V382">
        <v>2002</v>
      </c>
      <c r="W382" s="4" t="s">
        <v>3844</v>
      </c>
      <c r="X382" s="4" t="s">
        <v>3845</v>
      </c>
      <c r="Y382" s="4" t="s">
        <v>3846</v>
      </c>
      <c r="Z382" s="4" t="s">
        <v>3847</v>
      </c>
      <c r="AA382" s="4" t="s">
        <v>47</v>
      </c>
      <c r="AB382" s="4" t="s">
        <v>47</v>
      </c>
      <c r="AC382" s="4" t="s">
        <v>47</v>
      </c>
      <c r="AD382" s="4" t="s">
        <v>47</v>
      </c>
      <c r="AE382" s="4" t="s">
        <v>47</v>
      </c>
      <c r="AF382" s="4" t="s">
        <v>47</v>
      </c>
      <c r="AG382" s="4" t="s">
        <v>47</v>
      </c>
      <c r="AH382" s="4" t="s">
        <v>47</v>
      </c>
      <c r="AI382" s="4" t="s">
        <v>47</v>
      </c>
      <c r="AJ382" s="4" t="s">
        <v>47</v>
      </c>
      <c r="AK382" s="4" t="s">
        <v>47</v>
      </c>
      <c r="AL382" s="4" t="s">
        <v>47</v>
      </c>
      <c r="AM382" s="4" t="s">
        <v>47</v>
      </c>
      <c r="AN382" s="4" t="s">
        <v>47</v>
      </c>
      <c r="AO382" s="4" t="s">
        <v>3848</v>
      </c>
      <c r="AP382" s="4" t="s">
        <v>3849</v>
      </c>
      <c r="AQ382" s="4" t="s">
        <v>3850</v>
      </c>
      <c r="AR382" s="4" t="s">
        <v>3851</v>
      </c>
    </row>
    <row r="383" spans="1:44" x14ac:dyDescent="0.2">
      <c r="A383" s="4" t="s">
        <v>121</v>
      </c>
      <c r="B383" s="4" t="s">
        <v>167</v>
      </c>
      <c r="C383">
        <v>1</v>
      </c>
      <c r="F383">
        <v>2</v>
      </c>
      <c r="I383" s="4" t="s">
        <v>3614</v>
      </c>
      <c r="J383" s="4" t="s">
        <v>47</v>
      </c>
      <c r="K383" s="4" t="s">
        <v>2591</v>
      </c>
      <c r="L383" s="4" t="s">
        <v>47</v>
      </c>
      <c r="M383">
        <v>30157</v>
      </c>
      <c r="N383" s="4" t="s">
        <v>3435</v>
      </c>
      <c r="O383" s="4" t="s">
        <v>47</v>
      </c>
      <c r="P383" s="4" t="s">
        <v>811</v>
      </c>
      <c r="Q383" s="9">
        <v>37408</v>
      </c>
      <c r="R383" s="4" t="s">
        <v>664</v>
      </c>
      <c r="S383" s="4" t="s">
        <v>47</v>
      </c>
      <c r="T383" s="4" t="s">
        <v>47</v>
      </c>
      <c r="U383" s="4" t="s">
        <v>99</v>
      </c>
      <c r="V383">
        <v>2002</v>
      </c>
      <c r="W383" s="4" t="s">
        <v>3852</v>
      </c>
      <c r="X383" s="4" t="s">
        <v>3853</v>
      </c>
      <c r="Y383" s="4" t="s">
        <v>3854</v>
      </c>
      <c r="Z383" s="4" t="s">
        <v>3855</v>
      </c>
      <c r="AA383" s="4" t="s">
        <v>47</v>
      </c>
      <c r="AB383" s="4" t="s">
        <v>47</v>
      </c>
      <c r="AC383" s="4" t="s">
        <v>47</v>
      </c>
      <c r="AD383" s="4" t="s">
        <v>47</v>
      </c>
      <c r="AE383" s="4" t="s">
        <v>47</v>
      </c>
      <c r="AF383" s="4" t="s">
        <v>47</v>
      </c>
      <c r="AG383" s="4" t="s">
        <v>47</v>
      </c>
      <c r="AH383" s="4" t="s">
        <v>47</v>
      </c>
      <c r="AI383" s="4" t="s">
        <v>47</v>
      </c>
      <c r="AJ383" s="4" t="s">
        <v>47</v>
      </c>
      <c r="AK383" s="4" t="s">
        <v>47</v>
      </c>
      <c r="AL383" s="4" t="s">
        <v>47</v>
      </c>
      <c r="AM383" s="4" t="s">
        <v>47</v>
      </c>
      <c r="AN383" s="4" t="s">
        <v>47</v>
      </c>
      <c r="AO383" s="4" t="s">
        <v>3856</v>
      </c>
      <c r="AP383" s="4" t="s">
        <v>3857</v>
      </c>
      <c r="AQ383" s="4" t="s">
        <v>3858</v>
      </c>
      <c r="AR383" s="4" t="s">
        <v>3859</v>
      </c>
    </row>
    <row r="384" spans="1:44" x14ac:dyDescent="0.2">
      <c r="A384" s="4" t="s">
        <v>92</v>
      </c>
      <c r="B384" s="4" t="s">
        <v>240</v>
      </c>
      <c r="C384">
        <v>8</v>
      </c>
      <c r="F384">
        <v>0</v>
      </c>
      <c r="I384" s="4" t="s">
        <v>3376</v>
      </c>
      <c r="J384" s="4" t="s">
        <v>47</v>
      </c>
      <c r="K384" s="4" t="s">
        <v>3624</v>
      </c>
      <c r="L384" s="4" t="s">
        <v>47</v>
      </c>
      <c r="M384">
        <v>32218</v>
      </c>
      <c r="N384" s="4" t="s">
        <v>3662</v>
      </c>
      <c r="O384" s="4" t="s">
        <v>47</v>
      </c>
      <c r="P384" s="4" t="s">
        <v>811</v>
      </c>
      <c r="Q384" s="9">
        <v>37408</v>
      </c>
      <c r="R384" s="4" t="s">
        <v>3860</v>
      </c>
      <c r="S384" s="4" t="s">
        <v>47</v>
      </c>
      <c r="T384" s="4" t="s">
        <v>47</v>
      </c>
      <c r="U384" s="4" t="s">
        <v>99</v>
      </c>
      <c r="V384">
        <v>2002</v>
      </c>
      <c r="W384" s="4" t="s">
        <v>3861</v>
      </c>
      <c r="X384" s="4" t="s">
        <v>47</v>
      </c>
      <c r="Y384" s="4" t="s">
        <v>3862</v>
      </c>
      <c r="Z384" s="4" t="s">
        <v>47</v>
      </c>
      <c r="AA384" s="4" t="s">
        <v>47</v>
      </c>
      <c r="AB384" s="4" t="s">
        <v>47</v>
      </c>
      <c r="AC384" s="4" t="s">
        <v>47</v>
      </c>
      <c r="AD384" s="4" t="s">
        <v>47</v>
      </c>
      <c r="AE384" s="4" t="s">
        <v>47</v>
      </c>
      <c r="AF384" s="4" t="s">
        <v>47</v>
      </c>
      <c r="AG384" s="4" t="s">
        <v>47</v>
      </c>
      <c r="AH384" s="4" t="s">
        <v>47</v>
      </c>
      <c r="AI384" s="4" t="s">
        <v>47</v>
      </c>
      <c r="AJ384" s="4" t="s">
        <v>47</v>
      </c>
      <c r="AK384" s="4" t="s">
        <v>47</v>
      </c>
      <c r="AL384" s="4" t="s">
        <v>47</v>
      </c>
      <c r="AM384" s="4" t="s">
        <v>47</v>
      </c>
      <c r="AN384" s="4" t="s">
        <v>47</v>
      </c>
      <c r="AO384" s="4" t="s">
        <v>3863</v>
      </c>
      <c r="AP384" s="4" t="s">
        <v>3864</v>
      </c>
      <c r="AQ384" s="4" t="s">
        <v>3865</v>
      </c>
      <c r="AR384" s="4" t="s">
        <v>3866</v>
      </c>
    </row>
    <row r="385" spans="1:44" x14ac:dyDescent="0.2">
      <c r="A385" s="4" t="s">
        <v>87</v>
      </c>
      <c r="B385" s="4" t="s">
        <v>157</v>
      </c>
      <c r="C385">
        <v>0</v>
      </c>
      <c r="F385">
        <v>1</v>
      </c>
      <c r="I385" s="4" t="s">
        <v>3032</v>
      </c>
      <c r="J385" s="4" t="s">
        <v>47</v>
      </c>
      <c r="K385" s="4" t="s">
        <v>3419</v>
      </c>
      <c r="L385" s="4" t="s">
        <v>47</v>
      </c>
      <c r="M385">
        <v>62561</v>
      </c>
      <c r="N385" s="4" t="s">
        <v>3401</v>
      </c>
      <c r="O385" s="4" t="s">
        <v>47</v>
      </c>
      <c r="P385" s="4" t="s">
        <v>811</v>
      </c>
      <c r="Q385" s="9">
        <v>37407</v>
      </c>
      <c r="R385" s="4" t="s">
        <v>963</v>
      </c>
      <c r="S385" s="4" t="s">
        <v>47</v>
      </c>
      <c r="T385" s="4" t="s">
        <v>47</v>
      </c>
      <c r="U385" s="4" t="s">
        <v>99</v>
      </c>
      <c r="V385">
        <v>2002</v>
      </c>
      <c r="W385" s="4" t="s">
        <v>47</v>
      </c>
      <c r="X385" s="4" t="s">
        <v>3867</v>
      </c>
      <c r="Y385" s="4" t="s">
        <v>47</v>
      </c>
      <c r="Z385" s="4" t="s">
        <v>3868</v>
      </c>
      <c r="AA385" s="4" t="s">
        <v>47</v>
      </c>
      <c r="AB385" s="4" t="s">
        <v>47</v>
      </c>
      <c r="AC385" s="4" t="s">
        <v>47</v>
      </c>
      <c r="AD385" s="4" t="s">
        <v>47</v>
      </c>
      <c r="AE385" s="4" t="s">
        <v>47</v>
      </c>
      <c r="AF385" s="4" t="s">
        <v>47</v>
      </c>
      <c r="AG385" s="4" t="s">
        <v>47</v>
      </c>
      <c r="AH385" s="4" t="s">
        <v>47</v>
      </c>
      <c r="AI385" s="4" t="s">
        <v>47</v>
      </c>
      <c r="AJ385" s="4" t="s">
        <v>47</v>
      </c>
      <c r="AK385" s="4" t="s">
        <v>47</v>
      </c>
      <c r="AL385" s="4" t="s">
        <v>47</v>
      </c>
      <c r="AM385" s="4" t="s">
        <v>47</v>
      </c>
      <c r="AN385" s="4" t="s">
        <v>47</v>
      </c>
      <c r="AO385" s="4" t="s">
        <v>3869</v>
      </c>
      <c r="AP385" s="4" t="s">
        <v>3870</v>
      </c>
      <c r="AQ385" s="4" t="s">
        <v>3871</v>
      </c>
      <c r="AR385" s="4" t="s">
        <v>47</v>
      </c>
    </row>
    <row r="386" spans="1:44" x14ac:dyDescent="0.2">
      <c r="A386" s="4" t="s">
        <v>12</v>
      </c>
      <c r="B386" s="4" t="s">
        <v>87</v>
      </c>
      <c r="C386">
        <v>0</v>
      </c>
      <c r="F386">
        <v>3</v>
      </c>
      <c r="I386" s="4" t="s">
        <v>3872</v>
      </c>
      <c r="J386" s="4" t="s">
        <v>47</v>
      </c>
      <c r="K386" s="4" t="s">
        <v>3873</v>
      </c>
      <c r="L386" s="4" t="s">
        <v>47</v>
      </c>
      <c r="M386">
        <v>80000</v>
      </c>
      <c r="N386" s="4" t="s">
        <v>3874</v>
      </c>
      <c r="O386" s="4" t="s">
        <v>47</v>
      </c>
      <c r="P386" s="4" t="s">
        <v>593</v>
      </c>
      <c r="Q386" s="9">
        <v>35988</v>
      </c>
      <c r="R386" s="4" t="s">
        <v>973</v>
      </c>
      <c r="S386" s="4" t="s">
        <v>47</v>
      </c>
      <c r="T386" s="4" t="s">
        <v>47</v>
      </c>
      <c r="U386" s="4" t="s">
        <v>87</v>
      </c>
      <c r="V386">
        <v>1998</v>
      </c>
      <c r="W386" s="4" t="s">
        <v>47</v>
      </c>
      <c r="X386" s="4" t="s">
        <v>3875</v>
      </c>
      <c r="Y386" s="4" t="s">
        <v>47</v>
      </c>
      <c r="Z386" s="4" t="s">
        <v>3876</v>
      </c>
      <c r="AA386" s="4" t="s">
        <v>47</v>
      </c>
      <c r="AB386" s="4" t="s">
        <v>47</v>
      </c>
      <c r="AC386" s="4" t="s">
        <v>47</v>
      </c>
      <c r="AD386" s="4" t="s">
        <v>47</v>
      </c>
      <c r="AE386" s="4" t="s">
        <v>47</v>
      </c>
      <c r="AF386" s="4" t="s">
        <v>47</v>
      </c>
      <c r="AG386" s="4" t="s">
        <v>47</v>
      </c>
      <c r="AH386" s="4" t="s">
        <v>47</v>
      </c>
      <c r="AI386" s="4" t="s">
        <v>47</v>
      </c>
      <c r="AJ386" s="4" t="s">
        <v>47</v>
      </c>
      <c r="AK386" s="4" t="s">
        <v>47</v>
      </c>
      <c r="AL386" s="4" t="s">
        <v>47</v>
      </c>
      <c r="AM386" s="4" t="s">
        <v>47</v>
      </c>
      <c r="AN386" s="4" t="s">
        <v>3877</v>
      </c>
      <c r="AO386" s="4" t="s">
        <v>3878</v>
      </c>
      <c r="AP386" s="4" t="s">
        <v>3879</v>
      </c>
      <c r="AQ386" s="4" t="s">
        <v>3880</v>
      </c>
      <c r="AR386" s="4" t="s">
        <v>3881</v>
      </c>
    </row>
    <row r="387" spans="1:44" x14ac:dyDescent="0.2">
      <c r="A387" s="4" t="s">
        <v>95</v>
      </c>
      <c r="B387" s="4" t="s">
        <v>90</v>
      </c>
      <c r="C387">
        <v>1</v>
      </c>
      <c r="F387">
        <v>2</v>
      </c>
      <c r="I387" s="4" t="s">
        <v>2974</v>
      </c>
      <c r="J387" s="4" t="s">
        <v>47</v>
      </c>
      <c r="K387" s="4" t="s">
        <v>3882</v>
      </c>
      <c r="L387" s="4" t="s">
        <v>47</v>
      </c>
      <c r="M387">
        <v>44000</v>
      </c>
      <c r="N387" s="4" t="s">
        <v>3883</v>
      </c>
      <c r="O387" s="4" t="s">
        <v>47</v>
      </c>
      <c r="P387" s="4" t="s">
        <v>616</v>
      </c>
      <c r="Q387" s="9">
        <v>35987</v>
      </c>
      <c r="R387" s="4" t="s">
        <v>664</v>
      </c>
      <c r="S387" s="4" t="s">
        <v>47</v>
      </c>
      <c r="T387" s="4" t="s">
        <v>47</v>
      </c>
      <c r="U387" s="4" t="s">
        <v>87</v>
      </c>
      <c r="V387">
        <v>1998</v>
      </c>
      <c r="W387" s="4" t="s">
        <v>3884</v>
      </c>
      <c r="X387" s="4" t="s">
        <v>3885</v>
      </c>
      <c r="Y387" s="4" t="s">
        <v>3886</v>
      </c>
      <c r="Z387" s="4" t="s">
        <v>3887</v>
      </c>
      <c r="AA387" s="4" t="s">
        <v>47</v>
      </c>
      <c r="AB387" s="4" t="s">
        <v>47</v>
      </c>
      <c r="AC387" s="4" t="s">
        <v>47</v>
      </c>
      <c r="AD387" s="4" t="s">
        <v>47</v>
      </c>
      <c r="AE387" s="4" t="s">
        <v>47</v>
      </c>
      <c r="AF387" s="4" t="s">
        <v>47</v>
      </c>
      <c r="AG387" s="4" t="s">
        <v>47</v>
      </c>
      <c r="AH387" s="4" t="s">
        <v>47</v>
      </c>
      <c r="AI387" s="4" t="s">
        <v>47</v>
      </c>
      <c r="AJ387" s="4" t="s">
        <v>47</v>
      </c>
      <c r="AK387" s="4" t="s">
        <v>47</v>
      </c>
      <c r="AL387" s="4" t="s">
        <v>47</v>
      </c>
      <c r="AM387" s="4" t="s">
        <v>47</v>
      </c>
      <c r="AN387" s="4" t="s">
        <v>47</v>
      </c>
      <c r="AO387" s="4" t="s">
        <v>3888</v>
      </c>
      <c r="AP387" s="4" t="s">
        <v>3889</v>
      </c>
      <c r="AQ387" s="4" t="s">
        <v>3890</v>
      </c>
      <c r="AR387" s="4" t="s">
        <v>3891</v>
      </c>
    </row>
    <row r="388" spans="1:44" x14ac:dyDescent="0.2">
      <c r="A388" s="4" t="s">
        <v>87</v>
      </c>
      <c r="B388" s="4" t="s">
        <v>90</v>
      </c>
      <c r="C388">
        <v>2</v>
      </c>
      <c r="F388">
        <v>1</v>
      </c>
      <c r="I388" s="4" t="s">
        <v>3873</v>
      </c>
      <c r="J388" s="4" t="s">
        <v>47</v>
      </c>
      <c r="K388" s="4" t="s">
        <v>3882</v>
      </c>
      <c r="L388" s="4" t="s">
        <v>47</v>
      </c>
      <c r="M388">
        <v>80000</v>
      </c>
      <c r="N388" s="4" t="s">
        <v>3874</v>
      </c>
      <c r="O388" s="4" t="s">
        <v>47</v>
      </c>
      <c r="P388" s="4" t="s">
        <v>629</v>
      </c>
      <c r="Q388" s="9">
        <v>35984</v>
      </c>
      <c r="R388" s="4" t="s">
        <v>617</v>
      </c>
      <c r="S388" s="4" t="s">
        <v>47</v>
      </c>
      <c r="T388" s="4" t="s">
        <v>47</v>
      </c>
      <c r="U388" s="4" t="s">
        <v>87</v>
      </c>
      <c r="V388">
        <v>1998</v>
      </c>
      <c r="W388" s="4" t="s">
        <v>3892</v>
      </c>
      <c r="X388" s="4" t="s">
        <v>3893</v>
      </c>
      <c r="Y388" s="4" t="s">
        <v>3894</v>
      </c>
      <c r="Z388" s="4" t="s">
        <v>3895</v>
      </c>
      <c r="AA388" s="4" t="s">
        <v>47</v>
      </c>
      <c r="AB388" s="4" t="s">
        <v>47</v>
      </c>
      <c r="AC388" s="4" t="s">
        <v>47</v>
      </c>
      <c r="AD388" s="4" t="s">
        <v>47</v>
      </c>
      <c r="AE388" s="4" t="s">
        <v>47</v>
      </c>
      <c r="AF388" s="4" t="s">
        <v>47</v>
      </c>
      <c r="AG388" s="4" t="s">
        <v>47</v>
      </c>
      <c r="AH388" s="4" t="s">
        <v>47</v>
      </c>
      <c r="AI388" s="4" t="s">
        <v>47</v>
      </c>
      <c r="AJ388" s="4" t="s">
        <v>47</v>
      </c>
      <c r="AK388" s="4" t="s">
        <v>3896</v>
      </c>
      <c r="AL388" s="4" t="s">
        <v>47</v>
      </c>
      <c r="AM388" s="4" t="s">
        <v>47</v>
      </c>
      <c r="AN388" s="4" t="s">
        <v>47</v>
      </c>
      <c r="AO388" s="4" t="s">
        <v>47</v>
      </c>
      <c r="AP388" s="4" t="s">
        <v>3897</v>
      </c>
      <c r="AQ388" s="4" t="s">
        <v>3898</v>
      </c>
      <c r="AR388" s="4" t="s">
        <v>3899</v>
      </c>
    </row>
    <row r="389" spans="1:44" x14ac:dyDescent="0.2">
      <c r="A389" s="4" t="s">
        <v>12</v>
      </c>
      <c r="B389" s="4" t="s">
        <v>95</v>
      </c>
      <c r="C389">
        <v>1</v>
      </c>
      <c r="E389">
        <v>4</v>
      </c>
      <c r="F389">
        <v>1</v>
      </c>
      <c r="H389">
        <v>2</v>
      </c>
      <c r="I389" s="4" t="s">
        <v>3872</v>
      </c>
      <c r="J389" s="4" t="s">
        <v>47</v>
      </c>
      <c r="K389" s="4" t="s">
        <v>2974</v>
      </c>
      <c r="L389" s="4" t="s">
        <v>47</v>
      </c>
      <c r="M389">
        <v>60000</v>
      </c>
      <c r="N389" s="4" t="s">
        <v>3900</v>
      </c>
      <c r="O389" s="4" t="s">
        <v>47</v>
      </c>
      <c r="P389" s="4" t="s">
        <v>629</v>
      </c>
      <c r="Q389" s="9">
        <v>35983</v>
      </c>
      <c r="R389" s="4" t="s">
        <v>678</v>
      </c>
      <c r="S389" s="4" t="s">
        <v>47</v>
      </c>
      <c r="T389" s="4" t="s">
        <v>1993</v>
      </c>
      <c r="U389" s="4" t="s">
        <v>87</v>
      </c>
      <c r="V389">
        <v>1998</v>
      </c>
      <c r="W389" s="4" t="s">
        <v>3901</v>
      </c>
      <c r="X389" s="4" t="s">
        <v>3902</v>
      </c>
      <c r="Y389" s="4" t="s">
        <v>3903</v>
      </c>
      <c r="Z389" s="4" t="s">
        <v>3904</v>
      </c>
      <c r="AA389" s="4" t="s">
        <v>47</v>
      </c>
      <c r="AB389" s="4" t="s">
        <v>47</v>
      </c>
      <c r="AC389" s="4" t="s">
        <v>47</v>
      </c>
      <c r="AD389" s="4" t="s">
        <v>47</v>
      </c>
      <c r="AE389" s="4" t="s">
        <v>47</v>
      </c>
      <c r="AF389" s="4" t="s">
        <v>47</v>
      </c>
      <c r="AG389" s="4" t="s">
        <v>3905</v>
      </c>
      <c r="AH389" s="4" t="s">
        <v>3906</v>
      </c>
      <c r="AI389" s="4" t="s">
        <v>47</v>
      </c>
      <c r="AJ389" s="4" t="s">
        <v>3907</v>
      </c>
      <c r="AK389" s="4" t="s">
        <v>47</v>
      </c>
      <c r="AL389" s="4" t="s">
        <v>47</v>
      </c>
      <c r="AM389" s="4" t="s">
        <v>47</v>
      </c>
      <c r="AN389" s="4" t="s">
        <v>47</v>
      </c>
      <c r="AO389" s="4" t="s">
        <v>3908</v>
      </c>
      <c r="AP389" s="4" t="s">
        <v>3909</v>
      </c>
      <c r="AQ389" s="4" t="s">
        <v>3910</v>
      </c>
      <c r="AR389" s="4" t="s">
        <v>3911</v>
      </c>
    </row>
    <row r="390" spans="1:44" x14ac:dyDescent="0.2">
      <c r="A390" s="4" t="s">
        <v>95</v>
      </c>
      <c r="B390" s="4" t="s">
        <v>26</v>
      </c>
      <c r="C390">
        <v>2</v>
      </c>
      <c r="F390">
        <v>1</v>
      </c>
      <c r="I390" s="4" t="s">
        <v>2974</v>
      </c>
      <c r="J390" s="4" t="s">
        <v>47</v>
      </c>
      <c r="K390" s="4" t="s">
        <v>3912</v>
      </c>
      <c r="L390" s="4" t="s">
        <v>47</v>
      </c>
      <c r="M390">
        <v>60000</v>
      </c>
      <c r="N390" s="4" t="s">
        <v>3900</v>
      </c>
      <c r="O390" s="4" t="s">
        <v>47</v>
      </c>
      <c r="P390" s="4" t="s">
        <v>651</v>
      </c>
      <c r="Q390" s="9">
        <v>35980</v>
      </c>
      <c r="R390" s="4" t="s">
        <v>617</v>
      </c>
      <c r="S390" s="4" t="s">
        <v>47</v>
      </c>
      <c r="T390" s="4" t="s">
        <v>47</v>
      </c>
      <c r="U390" s="4" t="s">
        <v>87</v>
      </c>
      <c r="V390">
        <v>1998</v>
      </c>
      <c r="W390" s="4" t="s">
        <v>3913</v>
      </c>
      <c r="X390" s="4" t="s">
        <v>3914</v>
      </c>
      <c r="Y390" s="4" t="s">
        <v>3915</v>
      </c>
      <c r="Z390" s="4" t="s">
        <v>3916</v>
      </c>
      <c r="AA390" s="4" t="s">
        <v>47</v>
      </c>
      <c r="AB390" s="4" t="s">
        <v>47</v>
      </c>
      <c r="AC390" s="4" t="s">
        <v>47</v>
      </c>
      <c r="AD390" s="4" t="s">
        <v>47</v>
      </c>
      <c r="AE390" s="4" t="s">
        <v>47</v>
      </c>
      <c r="AF390" s="4" t="s">
        <v>47</v>
      </c>
      <c r="AG390" s="4" t="s">
        <v>47</v>
      </c>
      <c r="AH390" s="4" t="s">
        <v>47</v>
      </c>
      <c r="AI390" s="4" t="s">
        <v>47</v>
      </c>
      <c r="AJ390" s="4" t="s">
        <v>47</v>
      </c>
      <c r="AK390" s="4" t="s">
        <v>47</v>
      </c>
      <c r="AL390" s="4" t="s">
        <v>47</v>
      </c>
      <c r="AM390" s="4" t="s">
        <v>3917</v>
      </c>
      <c r="AN390" s="4" t="s">
        <v>3918</v>
      </c>
      <c r="AO390" s="4" t="s">
        <v>3919</v>
      </c>
      <c r="AP390" s="4" t="s">
        <v>3920</v>
      </c>
      <c r="AQ390" s="4" t="s">
        <v>3921</v>
      </c>
      <c r="AR390" s="4" t="s">
        <v>3922</v>
      </c>
    </row>
    <row r="391" spans="1:44" x14ac:dyDescent="0.2">
      <c r="A391" s="4" t="s">
        <v>92</v>
      </c>
      <c r="B391" s="4" t="s">
        <v>90</v>
      </c>
      <c r="C391">
        <v>0</v>
      </c>
      <c r="F391">
        <v>3</v>
      </c>
      <c r="I391" s="4" t="s">
        <v>3923</v>
      </c>
      <c r="J391" s="4" t="s">
        <v>47</v>
      </c>
      <c r="K391" s="4" t="s">
        <v>3882</v>
      </c>
      <c r="L391" s="4" t="s">
        <v>47</v>
      </c>
      <c r="M391">
        <v>43300</v>
      </c>
      <c r="N391" s="4" t="s">
        <v>3924</v>
      </c>
      <c r="O391" s="4" t="s">
        <v>47</v>
      </c>
      <c r="P391" s="4" t="s">
        <v>651</v>
      </c>
      <c r="Q391" s="9">
        <v>35980</v>
      </c>
      <c r="R391" s="4" t="s">
        <v>973</v>
      </c>
      <c r="S391" s="4" t="s">
        <v>47</v>
      </c>
      <c r="T391" s="4" t="s">
        <v>47</v>
      </c>
      <c r="U391" s="4" t="s">
        <v>87</v>
      </c>
      <c r="V391">
        <v>1998</v>
      </c>
      <c r="W391" s="4" t="s">
        <v>47</v>
      </c>
      <c r="X391" s="4" t="s">
        <v>3925</v>
      </c>
      <c r="Y391" s="4" t="s">
        <v>47</v>
      </c>
      <c r="Z391" s="4" t="s">
        <v>3926</v>
      </c>
      <c r="AA391" s="4" t="s">
        <v>47</v>
      </c>
      <c r="AB391" s="4" t="s">
        <v>47</v>
      </c>
      <c r="AC391" s="4" t="s">
        <v>47</v>
      </c>
      <c r="AD391" s="4" t="s">
        <v>47</v>
      </c>
      <c r="AE391" s="4" t="s">
        <v>47</v>
      </c>
      <c r="AF391" s="4" t="s">
        <v>47</v>
      </c>
      <c r="AG391" s="4" t="s">
        <v>47</v>
      </c>
      <c r="AH391" s="4" t="s">
        <v>47</v>
      </c>
      <c r="AI391" s="4" t="s">
        <v>47</v>
      </c>
      <c r="AJ391" s="4" t="s">
        <v>47</v>
      </c>
      <c r="AK391" s="4" t="s">
        <v>3927</v>
      </c>
      <c r="AL391" s="4" t="s">
        <v>47</v>
      </c>
      <c r="AM391" s="4" t="s">
        <v>47</v>
      </c>
      <c r="AN391" s="4" t="s">
        <v>47</v>
      </c>
      <c r="AO391" s="4" t="s">
        <v>3928</v>
      </c>
      <c r="AP391" s="4" t="s">
        <v>3929</v>
      </c>
      <c r="AQ391" s="4" t="s">
        <v>3930</v>
      </c>
      <c r="AR391" s="4" t="s">
        <v>3931</v>
      </c>
    </row>
    <row r="392" spans="1:44" x14ac:dyDescent="0.2">
      <c r="A392" s="4" t="s">
        <v>97</v>
      </c>
      <c r="B392" s="4" t="s">
        <v>87</v>
      </c>
      <c r="C392">
        <v>0</v>
      </c>
      <c r="E392">
        <v>3</v>
      </c>
      <c r="F392">
        <v>0</v>
      </c>
      <c r="H392">
        <v>4</v>
      </c>
      <c r="I392" s="4" t="s">
        <v>3497</v>
      </c>
      <c r="J392" s="4" t="s">
        <v>47</v>
      </c>
      <c r="K392" s="4" t="s">
        <v>3873</v>
      </c>
      <c r="L392" s="4" t="s">
        <v>47</v>
      </c>
      <c r="M392">
        <v>80000</v>
      </c>
      <c r="N392" s="4" t="s">
        <v>3874</v>
      </c>
      <c r="O392" s="4" t="s">
        <v>47</v>
      </c>
      <c r="P392" s="4" t="s">
        <v>651</v>
      </c>
      <c r="Q392" s="9">
        <v>35979</v>
      </c>
      <c r="R392" s="4" t="s">
        <v>3932</v>
      </c>
      <c r="S392" s="4" t="s">
        <v>47</v>
      </c>
      <c r="T392" s="4" t="s">
        <v>3933</v>
      </c>
      <c r="U392" s="4" t="s">
        <v>87</v>
      </c>
      <c r="V392">
        <v>1998</v>
      </c>
      <c r="W392" s="4" t="s">
        <v>47</v>
      </c>
      <c r="X392" s="4" t="s">
        <v>47</v>
      </c>
      <c r="Y392" s="4" t="s">
        <v>47</v>
      </c>
      <c r="Z392" s="4" t="s">
        <v>47</v>
      </c>
      <c r="AA392" s="4" t="s">
        <v>47</v>
      </c>
      <c r="AB392" s="4" t="s">
        <v>47</v>
      </c>
      <c r="AC392" s="4" t="s">
        <v>47</v>
      </c>
      <c r="AD392" s="4" t="s">
        <v>47</v>
      </c>
      <c r="AE392" s="4" t="s">
        <v>47</v>
      </c>
      <c r="AF392" s="4" t="s">
        <v>47</v>
      </c>
      <c r="AG392" s="4" t="s">
        <v>3934</v>
      </c>
      <c r="AH392" s="4" t="s">
        <v>3935</v>
      </c>
      <c r="AI392" s="4" t="s">
        <v>3936</v>
      </c>
      <c r="AJ392" s="4" t="s">
        <v>3937</v>
      </c>
      <c r="AK392" s="4" t="s">
        <v>47</v>
      </c>
      <c r="AL392" s="4" t="s">
        <v>47</v>
      </c>
      <c r="AM392" s="4" t="s">
        <v>47</v>
      </c>
      <c r="AN392" s="4" t="s">
        <v>47</v>
      </c>
      <c r="AO392" s="4" t="s">
        <v>3938</v>
      </c>
      <c r="AP392" s="4" t="s">
        <v>3939</v>
      </c>
      <c r="AQ392" s="4" t="s">
        <v>3940</v>
      </c>
      <c r="AR392" s="4" t="s">
        <v>3941</v>
      </c>
    </row>
    <row r="393" spans="1:44" x14ac:dyDescent="0.2">
      <c r="A393" s="4" t="s">
        <v>12</v>
      </c>
      <c r="B393" s="4" t="s">
        <v>167</v>
      </c>
      <c r="C393">
        <v>3</v>
      </c>
      <c r="F393">
        <v>2</v>
      </c>
      <c r="I393" s="4" t="s">
        <v>3872</v>
      </c>
      <c r="J393" s="4" t="s">
        <v>47</v>
      </c>
      <c r="K393" s="4" t="s">
        <v>3942</v>
      </c>
      <c r="L393" s="4" t="s">
        <v>47</v>
      </c>
      <c r="M393">
        <v>49500</v>
      </c>
      <c r="N393" s="4" t="s">
        <v>3943</v>
      </c>
      <c r="O393" s="4" t="s">
        <v>47</v>
      </c>
      <c r="P393" s="4" t="s">
        <v>651</v>
      </c>
      <c r="Q393" s="9">
        <v>35979</v>
      </c>
      <c r="R393" s="4" t="s">
        <v>1130</v>
      </c>
      <c r="S393" s="4" t="s">
        <v>47</v>
      </c>
      <c r="T393" s="4" t="s">
        <v>47</v>
      </c>
      <c r="U393" s="4" t="s">
        <v>87</v>
      </c>
      <c r="V393">
        <v>1998</v>
      </c>
      <c r="W393" s="4" t="s">
        <v>3944</v>
      </c>
      <c r="X393" s="4" t="s">
        <v>3945</v>
      </c>
      <c r="Y393" s="4" t="s">
        <v>3946</v>
      </c>
      <c r="Z393" s="4" t="s">
        <v>3947</v>
      </c>
      <c r="AA393" s="4" t="s">
        <v>47</v>
      </c>
      <c r="AB393" s="4" t="s">
        <v>47</v>
      </c>
      <c r="AC393" s="4" t="s">
        <v>47</v>
      </c>
      <c r="AD393" s="4" t="s">
        <v>47</v>
      </c>
      <c r="AE393" s="4" t="s">
        <v>47</v>
      </c>
      <c r="AF393" s="4" t="s">
        <v>47</v>
      </c>
      <c r="AG393" s="4" t="s">
        <v>47</v>
      </c>
      <c r="AH393" s="4" t="s">
        <v>47</v>
      </c>
      <c r="AI393" s="4" t="s">
        <v>47</v>
      </c>
      <c r="AJ393" s="4" t="s">
        <v>47</v>
      </c>
      <c r="AK393" s="4" t="s">
        <v>47</v>
      </c>
      <c r="AL393" s="4" t="s">
        <v>47</v>
      </c>
      <c r="AM393" s="4" t="s">
        <v>47</v>
      </c>
      <c r="AN393" s="4" t="s">
        <v>47</v>
      </c>
      <c r="AO393" s="4" t="s">
        <v>3948</v>
      </c>
      <c r="AP393" s="4" t="s">
        <v>3949</v>
      </c>
      <c r="AQ393" s="4" t="s">
        <v>3950</v>
      </c>
      <c r="AR393" s="4" t="s">
        <v>3951</v>
      </c>
    </row>
    <row r="394" spans="1:44" x14ac:dyDescent="0.2">
      <c r="A394" s="4" t="s">
        <v>227</v>
      </c>
      <c r="B394" s="4" t="s">
        <v>90</v>
      </c>
      <c r="C394">
        <v>0</v>
      </c>
      <c r="F394">
        <v>1</v>
      </c>
      <c r="I394" s="4" t="s">
        <v>3952</v>
      </c>
      <c r="J394" s="4" t="s">
        <v>47</v>
      </c>
      <c r="K394" s="4" t="s">
        <v>3882</v>
      </c>
      <c r="L394" s="4" t="s">
        <v>47</v>
      </c>
      <c r="M394">
        <v>31800</v>
      </c>
      <c r="N394" s="4" t="s">
        <v>3953</v>
      </c>
      <c r="O394" s="4" t="s">
        <v>47</v>
      </c>
      <c r="P394" s="4" t="s">
        <v>714</v>
      </c>
      <c r="Q394" s="9">
        <v>35976</v>
      </c>
      <c r="R394" s="4" t="s">
        <v>963</v>
      </c>
      <c r="S394" s="4" t="s">
        <v>47</v>
      </c>
      <c r="T394" s="4" t="s">
        <v>47</v>
      </c>
      <c r="U394" s="4" t="s">
        <v>87</v>
      </c>
      <c r="V394">
        <v>1998</v>
      </c>
      <c r="W394" s="4" t="s">
        <v>47</v>
      </c>
      <c r="X394" s="4" t="s">
        <v>47</v>
      </c>
      <c r="Y394" s="4" t="s">
        <v>47</v>
      </c>
      <c r="Z394" s="4" t="s">
        <v>47</v>
      </c>
      <c r="AA394" s="4" t="s">
        <v>47</v>
      </c>
      <c r="AB394" s="4" t="s">
        <v>47</v>
      </c>
      <c r="AC394" s="4" t="s">
        <v>47</v>
      </c>
      <c r="AD394" s="4" t="s">
        <v>3954</v>
      </c>
      <c r="AE394" s="4" t="s">
        <v>47</v>
      </c>
      <c r="AF394" s="4" t="s">
        <v>47</v>
      </c>
      <c r="AG394" s="4" t="s">
        <v>47</v>
      </c>
      <c r="AH394" s="4" t="s">
        <v>47</v>
      </c>
      <c r="AI394" s="4" t="s">
        <v>47</v>
      </c>
      <c r="AJ394" s="4" t="s">
        <v>47</v>
      </c>
      <c r="AK394" s="4" t="s">
        <v>47</v>
      </c>
      <c r="AL394" s="4" t="s">
        <v>47</v>
      </c>
      <c r="AM394" s="4" t="s">
        <v>47</v>
      </c>
      <c r="AN394" s="4" t="s">
        <v>47</v>
      </c>
      <c r="AO394" s="4" t="s">
        <v>3955</v>
      </c>
      <c r="AP394" s="4" t="s">
        <v>3956</v>
      </c>
      <c r="AQ394" s="4" t="s">
        <v>3957</v>
      </c>
      <c r="AR394" s="4" t="s">
        <v>3958</v>
      </c>
    </row>
    <row r="395" spans="1:44" x14ac:dyDescent="0.2">
      <c r="A395" s="4" t="s">
        <v>26</v>
      </c>
      <c r="B395" s="4" t="s">
        <v>52</v>
      </c>
      <c r="C395">
        <v>2</v>
      </c>
      <c r="E395">
        <v>4</v>
      </c>
      <c r="F395">
        <v>2</v>
      </c>
      <c r="H395">
        <v>3</v>
      </c>
      <c r="I395" s="4" t="s">
        <v>3912</v>
      </c>
      <c r="J395" s="4" t="s">
        <v>47</v>
      </c>
      <c r="K395" s="4" t="s">
        <v>3959</v>
      </c>
      <c r="L395" s="4" t="s">
        <v>47</v>
      </c>
      <c r="M395">
        <v>30600</v>
      </c>
      <c r="N395" s="4" t="s">
        <v>3960</v>
      </c>
      <c r="O395" s="4" t="s">
        <v>47</v>
      </c>
      <c r="P395" s="4" t="s">
        <v>714</v>
      </c>
      <c r="Q395" s="9">
        <v>35976</v>
      </c>
      <c r="R395" s="4" t="s">
        <v>3961</v>
      </c>
      <c r="S395" s="4" t="s">
        <v>47</v>
      </c>
      <c r="T395" s="4" t="s">
        <v>596</v>
      </c>
      <c r="U395" s="4" t="s">
        <v>87</v>
      </c>
      <c r="V395">
        <v>1998</v>
      </c>
      <c r="W395" s="4" t="s">
        <v>3962</v>
      </c>
      <c r="X395" s="4" t="s">
        <v>3963</v>
      </c>
      <c r="Y395" s="4" t="s">
        <v>3964</v>
      </c>
      <c r="Z395" s="4" t="s">
        <v>3965</v>
      </c>
      <c r="AA395" s="4" t="s">
        <v>47</v>
      </c>
      <c r="AB395" s="4" t="s">
        <v>47</v>
      </c>
      <c r="AC395" s="4" t="s">
        <v>3966</v>
      </c>
      <c r="AD395" s="4" t="s">
        <v>3967</v>
      </c>
      <c r="AE395" s="4" t="s">
        <v>47</v>
      </c>
      <c r="AF395" s="4" t="s">
        <v>47</v>
      </c>
      <c r="AG395" s="4" t="s">
        <v>3968</v>
      </c>
      <c r="AH395" s="4" t="s">
        <v>3969</v>
      </c>
      <c r="AI395" s="4" t="s">
        <v>3970</v>
      </c>
      <c r="AJ395" s="4" t="s">
        <v>3971</v>
      </c>
      <c r="AK395" s="4" t="s">
        <v>47</v>
      </c>
      <c r="AL395" s="4" t="s">
        <v>3972</v>
      </c>
      <c r="AM395" s="4" t="s">
        <v>47</v>
      </c>
      <c r="AN395" s="4" t="s">
        <v>47</v>
      </c>
      <c r="AO395" s="4" t="s">
        <v>3973</v>
      </c>
      <c r="AP395" s="4" t="s">
        <v>3974</v>
      </c>
      <c r="AQ395" s="4" t="s">
        <v>3975</v>
      </c>
      <c r="AR395" s="4" t="s">
        <v>3976</v>
      </c>
    </row>
    <row r="396" spans="1:44" x14ac:dyDescent="0.2">
      <c r="A396" s="4" t="s">
        <v>92</v>
      </c>
      <c r="B396" s="4" t="s">
        <v>106</v>
      </c>
      <c r="C396">
        <v>2</v>
      </c>
      <c r="F396">
        <v>1</v>
      </c>
      <c r="I396" s="4" t="s">
        <v>3923</v>
      </c>
      <c r="J396" s="4" t="s">
        <v>47</v>
      </c>
      <c r="K396" s="4" t="s">
        <v>3977</v>
      </c>
      <c r="L396" s="4" t="s">
        <v>47</v>
      </c>
      <c r="M396">
        <v>29800</v>
      </c>
      <c r="N396" s="4" t="s">
        <v>3978</v>
      </c>
      <c r="O396" s="4" t="s">
        <v>47</v>
      </c>
      <c r="P396" s="4" t="s">
        <v>714</v>
      </c>
      <c r="Q396" s="9">
        <v>35975</v>
      </c>
      <c r="R396" s="4" t="s">
        <v>617</v>
      </c>
      <c r="S396" s="4" t="s">
        <v>47</v>
      </c>
      <c r="T396" s="4" t="s">
        <v>47</v>
      </c>
      <c r="U396" s="4" t="s">
        <v>87</v>
      </c>
      <c r="V396">
        <v>1998</v>
      </c>
      <c r="W396" s="4" t="s">
        <v>3979</v>
      </c>
      <c r="X396" s="4" t="s">
        <v>3980</v>
      </c>
      <c r="Y396" s="4" t="s">
        <v>3981</v>
      </c>
      <c r="Z396" s="4" t="s">
        <v>3982</v>
      </c>
      <c r="AA396" s="4" t="s">
        <v>47</v>
      </c>
      <c r="AB396" s="4" t="s">
        <v>47</v>
      </c>
      <c r="AC396" s="4" t="s">
        <v>47</v>
      </c>
      <c r="AD396" s="4" t="s">
        <v>47</v>
      </c>
      <c r="AE396" s="4" t="s">
        <v>47</v>
      </c>
      <c r="AF396" s="4" t="s">
        <v>47</v>
      </c>
      <c r="AG396" s="4" t="s">
        <v>47</v>
      </c>
      <c r="AH396" s="4" t="s">
        <v>47</v>
      </c>
      <c r="AI396" s="4" t="s">
        <v>47</v>
      </c>
      <c r="AJ396" s="4" t="s">
        <v>47</v>
      </c>
      <c r="AK396" s="4" t="s">
        <v>47</v>
      </c>
      <c r="AL396" s="4" t="s">
        <v>47</v>
      </c>
      <c r="AM396" s="4" t="s">
        <v>47</v>
      </c>
      <c r="AN396" s="4" t="s">
        <v>47</v>
      </c>
      <c r="AO396" s="4" t="s">
        <v>3983</v>
      </c>
      <c r="AP396" s="4" t="s">
        <v>3984</v>
      </c>
      <c r="AQ396" s="4" t="s">
        <v>3985</v>
      </c>
      <c r="AR396" s="4" t="s">
        <v>3986</v>
      </c>
    </row>
    <row r="397" spans="1:44" x14ac:dyDescent="0.2">
      <c r="A397" s="4" t="s">
        <v>95</v>
      </c>
      <c r="B397" s="4" t="s">
        <v>3987</v>
      </c>
      <c r="C397">
        <v>2</v>
      </c>
      <c r="F397">
        <v>1</v>
      </c>
      <c r="I397" s="4" t="s">
        <v>2974</v>
      </c>
      <c r="J397" s="4" t="s">
        <v>47</v>
      </c>
      <c r="K397" s="4" t="s">
        <v>3988</v>
      </c>
      <c r="L397" s="4" t="s">
        <v>47</v>
      </c>
      <c r="M397">
        <v>33000</v>
      </c>
      <c r="N397" s="4" t="s">
        <v>3989</v>
      </c>
      <c r="O397" s="4" t="s">
        <v>47</v>
      </c>
      <c r="P397" s="4" t="s">
        <v>714</v>
      </c>
      <c r="Q397" s="9">
        <v>35975</v>
      </c>
      <c r="R397" s="4" t="s">
        <v>617</v>
      </c>
      <c r="S397" s="4" t="s">
        <v>47</v>
      </c>
      <c r="T397" s="4" t="s">
        <v>47</v>
      </c>
      <c r="U397" s="4" t="s">
        <v>87</v>
      </c>
      <c r="V397">
        <v>1998</v>
      </c>
      <c r="W397" s="4" t="s">
        <v>3990</v>
      </c>
      <c r="X397" s="4" t="s">
        <v>3991</v>
      </c>
      <c r="Y397" s="4" t="s">
        <v>3992</v>
      </c>
      <c r="Z397" s="4" t="s">
        <v>3993</v>
      </c>
      <c r="AA397" s="4" t="s">
        <v>47</v>
      </c>
      <c r="AB397" s="4" t="s">
        <v>47</v>
      </c>
      <c r="AC397" s="4" t="s">
        <v>47</v>
      </c>
      <c r="AD397" s="4" t="s">
        <v>47</v>
      </c>
      <c r="AE397" s="4" t="s">
        <v>47</v>
      </c>
      <c r="AF397" s="4" t="s">
        <v>47</v>
      </c>
      <c r="AG397" s="4" t="s">
        <v>47</v>
      </c>
      <c r="AH397" s="4" t="s">
        <v>47</v>
      </c>
      <c r="AI397" s="4" t="s">
        <v>47</v>
      </c>
      <c r="AJ397" s="4" t="s">
        <v>47</v>
      </c>
      <c r="AK397" s="4" t="s">
        <v>47</v>
      </c>
      <c r="AL397" s="4" t="s">
        <v>47</v>
      </c>
      <c r="AM397" s="4" t="s">
        <v>47</v>
      </c>
      <c r="AN397" s="4" t="s">
        <v>47</v>
      </c>
      <c r="AO397" s="4" t="s">
        <v>47</v>
      </c>
      <c r="AP397" s="4" t="s">
        <v>3994</v>
      </c>
      <c r="AQ397" s="4" t="s">
        <v>47</v>
      </c>
      <c r="AR397" s="4" t="s">
        <v>3995</v>
      </c>
    </row>
    <row r="398" spans="1:44" x14ac:dyDescent="0.2">
      <c r="A398" s="4" t="s">
        <v>87</v>
      </c>
      <c r="B398" s="4" t="s">
        <v>202</v>
      </c>
      <c r="C398">
        <v>1</v>
      </c>
      <c r="F398">
        <v>0</v>
      </c>
      <c r="I398" s="4" t="s">
        <v>3873</v>
      </c>
      <c r="J398" s="4" t="s">
        <v>47</v>
      </c>
      <c r="K398" s="4" t="s">
        <v>3996</v>
      </c>
      <c r="L398" s="4" t="s">
        <v>47</v>
      </c>
      <c r="M398">
        <v>31800</v>
      </c>
      <c r="N398" s="4" t="s">
        <v>3997</v>
      </c>
      <c r="O398" s="4" t="s">
        <v>47</v>
      </c>
      <c r="P398" s="4" t="s">
        <v>714</v>
      </c>
      <c r="Q398" s="9">
        <v>35974</v>
      </c>
      <c r="R398" s="4" t="s">
        <v>652</v>
      </c>
      <c r="S398" s="4" t="s">
        <v>47</v>
      </c>
      <c r="T398" s="4" t="s">
        <v>1258</v>
      </c>
      <c r="U398" s="4" t="s">
        <v>87</v>
      </c>
      <c r="V398">
        <v>1998</v>
      </c>
      <c r="W398" s="4" t="s">
        <v>3998</v>
      </c>
      <c r="X398" s="4" t="s">
        <v>47</v>
      </c>
      <c r="Y398" s="4" t="s">
        <v>3999</v>
      </c>
      <c r="Z398" s="4" t="s">
        <v>47</v>
      </c>
      <c r="AA398" s="4" t="s">
        <v>47</v>
      </c>
      <c r="AB398" s="4" t="s">
        <v>47</v>
      </c>
      <c r="AC398" s="4" t="s">
        <v>47</v>
      </c>
      <c r="AD398" s="4" t="s">
        <v>47</v>
      </c>
      <c r="AE398" s="4" t="s">
        <v>47</v>
      </c>
      <c r="AF398" s="4" t="s">
        <v>47</v>
      </c>
      <c r="AG398" s="4" t="s">
        <v>47</v>
      </c>
      <c r="AH398" s="4" t="s">
        <v>47</v>
      </c>
      <c r="AI398" s="4" t="s">
        <v>47</v>
      </c>
      <c r="AJ398" s="4" t="s">
        <v>47</v>
      </c>
      <c r="AK398" s="4" t="s">
        <v>47</v>
      </c>
      <c r="AL398" s="4" t="s">
        <v>47</v>
      </c>
      <c r="AM398" s="4" t="s">
        <v>47</v>
      </c>
      <c r="AN398" s="4" t="s">
        <v>47</v>
      </c>
      <c r="AO398" s="4" t="s">
        <v>47</v>
      </c>
      <c r="AP398" s="4" t="s">
        <v>4000</v>
      </c>
      <c r="AQ398" s="4" t="s">
        <v>4001</v>
      </c>
      <c r="AR398" s="4" t="s">
        <v>4002</v>
      </c>
    </row>
    <row r="399" spans="1:44" x14ac:dyDescent="0.2">
      <c r="A399" s="4" t="s">
        <v>177</v>
      </c>
      <c r="B399" s="4" t="s">
        <v>167</v>
      </c>
      <c r="C399">
        <v>1</v>
      </c>
      <c r="F399">
        <v>4</v>
      </c>
      <c r="I399" s="4" t="s">
        <v>3555</v>
      </c>
      <c r="J399" s="4" t="s">
        <v>47</v>
      </c>
      <c r="K399" s="4" t="s">
        <v>3942</v>
      </c>
      <c r="L399" s="4" t="s">
        <v>47</v>
      </c>
      <c r="M399">
        <v>77000</v>
      </c>
      <c r="N399" s="4" t="s">
        <v>3874</v>
      </c>
      <c r="O399" s="4" t="s">
        <v>47</v>
      </c>
      <c r="P399" s="4" t="s">
        <v>714</v>
      </c>
      <c r="Q399" s="9">
        <v>35974</v>
      </c>
      <c r="R399" s="4" t="s">
        <v>2101</v>
      </c>
      <c r="S399" s="4" t="s">
        <v>47</v>
      </c>
      <c r="T399" s="4" t="s">
        <v>47</v>
      </c>
      <c r="U399" s="4" t="s">
        <v>87</v>
      </c>
      <c r="V399">
        <v>1998</v>
      </c>
      <c r="W399" s="4" t="s">
        <v>4003</v>
      </c>
      <c r="X399" s="4" t="s">
        <v>4004</v>
      </c>
      <c r="Y399" s="4" t="s">
        <v>4005</v>
      </c>
      <c r="Z399" s="4" t="s">
        <v>4006</v>
      </c>
      <c r="AA399" s="4" t="s">
        <v>47</v>
      </c>
      <c r="AB399" s="4" t="s">
        <v>47</v>
      </c>
      <c r="AC399" s="4" t="s">
        <v>47</v>
      </c>
      <c r="AD399" s="4" t="s">
        <v>47</v>
      </c>
      <c r="AE399" s="4" t="s">
        <v>47</v>
      </c>
      <c r="AF399" s="4" t="s">
        <v>47</v>
      </c>
      <c r="AG399" s="4" t="s">
        <v>47</v>
      </c>
      <c r="AH399" s="4" t="s">
        <v>47</v>
      </c>
      <c r="AI399" s="4" t="s">
        <v>47</v>
      </c>
      <c r="AJ399" s="4" t="s">
        <v>47</v>
      </c>
      <c r="AK399" s="4" t="s">
        <v>47</v>
      </c>
      <c r="AL399" s="4" t="s">
        <v>47</v>
      </c>
      <c r="AM399" s="4" t="s">
        <v>47</v>
      </c>
      <c r="AN399" s="4" t="s">
        <v>47</v>
      </c>
      <c r="AO399" s="4" t="s">
        <v>4007</v>
      </c>
      <c r="AP399" s="4" t="s">
        <v>4008</v>
      </c>
      <c r="AQ399" s="4" t="s">
        <v>4009</v>
      </c>
      <c r="AR399" s="4" t="s">
        <v>4010</v>
      </c>
    </row>
    <row r="400" spans="1:44" x14ac:dyDescent="0.2">
      <c r="A400" s="4" t="s">
        <v>97</v>
      </c>
      <c r="B400" s="4" t="s">
        <v>19</v>
      </c>
      <c r="C400">
        <v>1</v>
      </c>
      <c r="F400">
        <v>0</v>
      </c>
      <c r="I400" s="4" t="s">
        <v>3497</v>
      </c>
      <c r="J400" s="4" t="s">
        <v>47</v>
      </c>
      <c r="K400" s="4" t="s">
        <v>4011</v>
      </c>
      <c r="L400" s="4" t="s">
        <v>47</v>
      </c>
      <c r="M400">
        <v>55000</v>
      </c>
      <c r="N400" s="4" t="s">
        <v>3900</v>
      </c>
      <c r="O400" s="4" t="s">
        <v>47</v>
      </c>
      <c r="P400" s="4" t="s">
        <v>714</v>
      </c>
      <c r="Q400" s="9">
        <v>35973</v>
      </c>
      <c r="R400" s="4" t="s">
        <v>652</v>
      </c>
      <c r="S400" s="4" t="s">
        <v>47</v>
      </c>
      <c r="T400" s="4" t="s">
        <v>47</v>
      </c>
      <c r="U400" s="4" t="s">
        <v>87</v>
      </c>
      <c r="V400">
        <v>1998</v>
      </c>
      <c r="W400" s="4" t="s">
        <v>3452</v>
      </c>
      <c r="X400" s="4" t="s">
        <v>47</v>
      </c>
      <c r="Y400" s="4" t="s">
        <v>4012</v>
      </c>
      <c r="Z400" s="4" t="s">
        <v>47</v>
      </c>
      <c r="AA400" s="4" t="s">
        <v>47</v>
      </c>
      <c r="AB400" s="4" t="s">
        <v>47</v>
      </c>
      <c r="AC400" s="4" t="s">
        <v>47</v>
      </c>
      <c r="AD400" s="4" t="s">
        <v>47</v>
      </c>
      <c r="AE400" s="4" t="s">
        <v>47</v>
      </c>
      <c r="AF400" s="4" t="s">
        <v>47</v>
      </c>
      <c r="AG400" s="4" t="s">
        <v>47</v>
      </c>
      <c r="AH400" s="4" t="s">
        <v>47</v>
      </c>
      <c r="AI400" s="4" t="s">
        <v>47</v>
      </c>
      <c r="AJ400" s="4" t="s">
        <v>47</v>
      </c>
      <c r="AK400" s="4" t="s">
        <v>47</v>
      </c>
      <c r="AL400" s="4" t="s">
        <v>47</v>
      </c>
      <c r="AM400" s="4" t="s">
        <v>47</v>
      </c>
      <c r="AN400" s="4" t="s">
        <v>47</v>
      </c>
      <c r="AO400" s="4" t="s">
        <v>4013</v>
      </c>
      <c r="AP400" s="4" t="s">
        <v>4014</v>
      </c>
      <c r="AQ400" s="4" t="s">
        <v>4015</v>
      </c>
      <c r="AR400" s="4" t="s">
        <v>4016</v>
      </c>
    </row>
    <row r="401" spans="1:44" x14ac:dyDescent="0.2">
      <c r="A401" s="4" t="s">
        <v>12</v>
      </c>
      <c r="B401" s="4" t="s">
        <v>113</v>
      </c>
      <c r="C401">
        <v>4</v>
      </c>
      <c r="F401">
        <v>1</v>
      </c>
      <c r="I401" s="4" t="s">
        <v>3872</v>
      </c>
      <c r="J401" s="4" t="s">
        <v>47</v>
      </c>
      <c r="K401" s="4" t="s">
        <v>4017</v>
      </c>
      <c r="L401" s="4" t="s">
        <v>47</v>
      </c>
      <c r="M401">
        <v>45500</v>
      </c>
      <c r="N401" s="4" t="s">
        <v>3883</v>
      </c>
      <c r="O401" s="4" t="s">
        <v>47</v>
      </c>
      <c r="P401" s="4" t="s">
        <v>714</v>
      </c>
      <c r="Q401" s="9">
        <v>35973</v>
      </c>
      <c r="R401" s="4" t="s">
        <v>757</v>
      </c>
      <c r="S401" s="4" t="s">
        <v>47</v>
      </c>
      <c r="T401" s="4" t="s">
        <v>47</v>
      </c>
      <c r="U401" s="4" t="s">
        <v>87</v>
      </c>
      <c r="V401">
        <v>1998</v>
      </c>
      <c r="W401" s="4" t="s">
        <v>4018</v>
      </c>
      <c r="X401" s="4" t="s">
        <v>4019</v>
      </c>
      <c r="Y401" s="4" t="s">
        <v>4020</v>
      </c>
      <c r="Z401" s="4" t="s">
        <v>4021</v>
      </c>
      <c r="AA401" s="4" t="s">
        <v>47</v>
      </c>
      <c r="AB401" s="4" t="s">
        <v>47</v>
      </c>
      <c r="AC401" s="4" t="s">
        <v>4022</v>
      </c>
      <c r="AD401" s="4" t="s">
        <v>47</v>
      </c>
      <c r="AE401" s="4" t="s">
        <v>47</v>
      </c>
      <c r="AF401" s="4" t="s">
        <v>47</v>
      </c>
      <c r="AG401" s="4" t="s">
        <v>47</v>
      </c>
      <c r="AH401" s="4" t="s">
        <v>47</v>
      </c>
      <c r="AI401" s="4" t="s">
        <v>47</v>
      </c>
      <c r="AJ401" s="4" t="s">
        <v>47</v>
      </c>
      <c r="AK401" s="4" t="s">
        <v>47</v>
      </c>
      <c r="AL401" s="4" t="s">
        <v>47</v>
      </c>
      <c r="AM401" s="4" t="s">
        <v>47</v>
      </c>
      <c r="AN401" s="4" t="s">
        <v>47</v>
      </c>
      <c r="AO401" s="4" t="s">
        <v>4023</v>
      </c>
      <c r="AP401" s="4" t="s">
        <v>4024</v>
      </c>
      <c r="AQ401" s="4" t="s">
        <v>4025</v>
      </c>
      <c r="AR401" s="4" t="s">
        <v>4026</v>
      </c>
    </row>
    <row r="402" spans="1:44" x14ac:dyDescent="0.2">
      <c r="A402" s="4" t="s">
        <v>26</v>
      </c>
      <c r="B402" s="4" t="s">
        <v>90</v>
      </c>
      <c r="C402">
        <v>1</v>
      </c>
      <c r="F402">
        <v>0</v>
      </c>
      <c r="I402" s="4" t="s">
        <v>3912</v>
      </c>
      <c r="J402" s="4" t="s">
        <v>47</v>
      </c>
      <c r="K402" s="4" t="s">
        <v>3882</v>
      </c>
      <c r="L402" s="4" t="s">
        <v>47</v>
      </c>
      <c r="M402">
        <v>31800</v>
      </c>
      <c r="N402" s="4" t="s">
        <v>3953</v>
      </c>
      <c r="O402" s="4" t="s">
        <v>47</v>
      </c>
      <c r="P402" s="4" t="s">
        <v>811</v>
      </c>
      <c r="Q402" s="9">
        <v>35972</v>
      </c>
      <c r="R402" s="4" t="s">
        <v>652</v>
      </c>
      <c r="S402" s="4" t="s">
        <v>47</v>
      </c>
      <c r="T402" s="4" t="s">
        <v>47</v>
      </c>
      <c r="U402" s="4" t="s">
        <v>87</v>
      </c>
      <c r="V402">
        <v>1998</v>
      </c>
      <c r="W402" s="4" t="s">
        <v>4027</v>
      </c>
      <c r="X402" s="4" t="s">
        <v>47</v>
      </c>
      <c r="Y402" s="4" t="s">
        <v>4028</v>
      </c>
      <c r="Z402" s="4" t="s">
        <v>47</v>
      </c>
      <c r="AA402" s="4" t="s">
        <v>47</v>
      </c>
      <c r="AB402" s="4" t="s">
        <v>47</v>
      </c>
      <c r="AC402" s="4" t="s">
        <v>47</v>
      </c>
      <c r="AD402" s="4" t="s">
        <v>47</v>
      </c>
      <c r="AE402" s="4" t="s">
        <v>47</v>
      </c>
      <c r="AF402" s="4" t="s">
        <v>47</v>
      </c>
      <c r="AG402" s="4" t="s">
        <v>47</v>
      </c>
      <c r="AH402" s="4" t="s">
        <v>47</v>
      </c>
      <c r="AI402" s="4" t="s">
        <v>47</v>
      </c>
      <c r="AJ402" s="4" t="s">
        <v>47</v>
      </c>
      <c r="AK402" s="4" t="s">
        <v>47</v>
      </c>
      <c r="AL402" s="4" t="s">
        <v>47</v>
      </c>
      <c r="AM402" s="4" t="s">
        <v>47</v>
      </c>
      <c r="AN402" s="4" t="s">
        <v>47</v>
      </c>
      <c r="AO402" s="4" t="s">
        <v>4029</v>
      </c>
      <c r="AP402" s="4" t="s">
        <v>4030</v>
      </c>
      <c r="AQ402" s="4" t="s">
        <v>4031</v>
      </c>
      <c r="AR402" s="4" t="s">
        <v>4032</v>
      </c>
    </row>
    <row r="403" spans="1:44" x14ac:dyDescent="0.2">
      <c r="A403" s="4" t="s">
        <v>161</v>
      </c>
      <c r="B403" s="4" t="s">
        <v>260</v>
      </c>
      <c r="C403">
        <v>1</v>
      </c>
      <c r="F403">
        <v>2</v>
      </c>
      <c r="I403" s="4" t="s">
        <v>2486</v>
      </c>
      <c r="J403" s="4" t="s">
        <v>47</v>
      </c>
      <c r="K403" s="4" t="s">
        <v>4033</v>
      </c>
      <c r="L403" s="4" t="s">
        <v>47</v>
      </c>
      <c r="M403">
        <v>39100</v>
      </c>
      <c r="N403" s="4" t="s">
        <v>3924</v>
      </c>
      <c r="O403" s="4" t="s">
        <v>47</v>
      </c>
      <c r="P403" s="4" t="s">
        <v>811</v>
      </c>
      <c r="Q403" s="9">
        <v>35972</v>
      </c>
      <c r="R403" s="4" t="s">
        <v>664</v>
      </c>
      <c r="S403" s="4" t="s">
        <v>47</v>
      </c>
      <c r="T403" s="4" t="s">
        <v>47</v>
      </c>
      <c r="U403" s="4" t="s">
        <v>87</v>
      </c>
      <c r="V403">
        <v>1998</v>
      </c>
      <c r="W403" s="4" t="s">
        <v>4034</v>
      </c>
      <c r="X403" s="4" t="s">
        <v>4035</v>
      </c>
      <c r="Y403" s="4" t="s">
        <v>4036</v>
      </c>
      <c r="Z403" s="4" t="s">
        <v>4037</v>
      </c>
      <c r="AA403" s="4" t="s">
        <v>47</v>
      </c>
      <c r="AB403" s="4" t="s">
        <v>47</v>
      </c>
      <c r="AC403" s="4" t="s">
        <v>47</v>
      </c>
      <c r="AD403" s="4" t="s">
        <v>47</v>
      </c>
      <c r="AE403" s="4" t="s">
        <v>47</v>
      </c>
      <c r="AF403" s="4" t="s">
        <v>47</v>
      </c>
      <c r="AG403" s="4" t="s">
        <v>47</v>
      </c>
      <c r="AH403" s="4" t="s">
        <v>47</v>
      </c>
      <c r="AI403" s="4" t="s">
        <v>47</v>
      </c>
      <c r="AJ403" s="4" t="s">
        <v>47</v>
      </c>
      <c r="AK403" s="4" t="s">
        <v>47</v>
      </c>
      <c r="AL403" s="4" t="s">
        <v>47</v>
      </c>
      <c r="AM403" s="4" t="s">
        <v>47</v>
      </c>
      <c r="AN403" s="4" t="s">
        <v>47</v>
      </c>
      <c r="AO403" s="4" t="s">
        <v>4038</v>
      </c>
      <c r="AP403" s="4" t="s">
        <v>4039</v>
      </c>
      <c r="AQ403" s="4" t="s">
        <v>4040</v>
      </c>
      <c r="AR403" s="4" t="s">
        <v>4041</v>
      </c>
    </row>
    <row r="404" spans="1:44" x14ac:dyDescent="0.2">
      <c r="A404" s="4" t="s">
        <v>227</v>
      </c>
      <c r="B404" s="4" t="s">
        <v>213</v>
      </c>
      <c r="C404">
        <v>1</v>
      </c>
      <c r="F404">
        <v>1</v>
      </c>
      <c r="I404" s="4" t="s">
        <v>3952</v>
      </c>
      <c r="J404" s="4" t="s">
        <v>47</v>
      </c>
      <c r="K404" s="4" t="s">
        <v>4042</v>
      </c>
      <c r="L404" s="4" t="s">
        <v>47</v>
      </c>
      <c r="M404">
        <v>80000</v>
      </c>
      <c r="N404" s="4" t="s">
        <v>3874</v>
      </c>
      <c r="O404" s="4" t="s">
        <v>47</v>
      </c>
      <c r="P404" s="4" t="s">
        <v>811</v>
      </c>
      <c r="Q404" s="9">
        <v>35972</v>
      </c>
      <c r="R404" s="4" t="s">
        <v>1046</v>
      </c>
      <c r="S404" s="4" t="s">
        <v>47</v>
      </c>
      <c r="T404" s="4" t="s">
        <v>47</v>
      </c>
      <c r="U404" s="4" t="s">
        <v>87</v>
      </c>
      <c r="V404">
        <v>1998</v>
      </c>
      <c r="W404" s="4" t="s">
        <v>4043</v>
      </c>
      <c r="X404" s="4" t="s">
        <v>47</v>
      </c>
      <c r="Y404" s="4" t="s">
        <v>4044</v>
      </c>
      <c r="Z404" s="4" t="s">
        <v>47</v>
      </c>
      <c r="AA404" s="4" t="s">
        <v>47</v>
      </c>
      <c r="AB404" s="4" t="s">
        <v>47</v>
      </c>
      <c r="AC404" s="4" t="s">
        <v>47</v>
      </c>
      <c r="AD404" s="4" t="s">
        <v>4045</v>
      </c>
      <c r="AE404" s="4" t="s">
        <v>47</v>
      </c>
      <c r="AF404" s="4" t="s">
        <v>47</v>
      </c>
      <c r="AG404" s="4" t="s">
        <v>47</v>
      </c>
      <c r="AH404" s="4" t="s">
        <v>47</v>
      </c>
      <c r="AI404" s="4" t="s">
        <v>47</v>
      </c>
      <c r="AJ404" s="4" t="s">
        <v>47</v>
      </c>
      <c r="AK404" s="4" t="s">
        <v>47</v>
      </c>
      <c r="AL404" s="4" t="s">
        <v>47</v>
      </c>
      <c r="AM404" s="4" t="s">
        <v>47</v>
      </c>
      <c r="AN404" s="4" t="s">
        <v>47</v>
      </c>
      <c r="AO404" s="4" t="s">
        <v>47</v>
      </c>
      <c r="AP404" s="4" t="s">
        <v>4046</v>
      </c>
      <c r="AQ404" s="4" t="s">
        <v>4047</v>
      </c>
      <c r="AR404" s="4" t="s">
        <v>4048</v>
      </c>
    </row>
    <row r="405" spans="1:44" x14ac:dyDescent="0.2">
      <c r="A405" s="4" t="s">
        <v>153</v>
      </c>
      <c r="B405" s="4" t="s">
        <v>52</v>
      </c>
      <c r="C405">
        <v>0</v>
      </c>
      <c r="F405">
        <v>2</v>
      </c>
      <c r="I405" s="4" t="s">
        <v>1450</v>
      </c>
      <c r="J405" s="4" t="s">
        <v>47</v>
      </c>
      <c r="K405" s="4" t="s">
        <v>3959</v>
      </c>
      <c r="L405" s="4" t="s">
        <v>47</v>
      </c>
      <c r="M405">
        <v>42000</v>
      </c>
      <c r="N405" s="4" t="s">
        <v>3997</v>
      </c>
      <c r="O405" s="4" t="s">
        <v>47</v>
      </c>
      <c r="P405" s="4" t="s">
        <v>811</v>
      </c>
      <c r="Q405" s="9">
        <v>35972</v>
      </c>
      <c r="R405" s="4" t="s">
        <v>824</v>
      </c>
      <c r="S405" s="4" t="s">
        <v>47</v>
      </c>
      <c r="T405" s="4" t="s">
        <v>47</v>
      </c>
      <c r="U405" s="4" t="s">
        <v>87</v>
      </c>
      <c r="V405">
        <v>1998</v>
      </c>
      <c r="W405" s="4" t="s">
        <v>47</v>
      </c>
      <c r="X405" s="4" t="s">
        <v>4049</v>
      </c>
      <c r="Y405" s="4" t="s">
        <v>47</v>
      </c>
      <c r="Z405" s="4" t="s">
        <v>4050</v>
      </c>
      <c r="AA405" s="4" t="s">
        <v>47</v>
      </c>
      <c r="AB405" s="4" t="s">
        <v>47</v>
      </c>
      <c r="AC405" s="4" t="s">
        <v>47</v>
      </c>
      <c r="AD405" s="4" t="s">
        <v>47</v>
      </c>
      <c r="AE405" s="4" t="s">
        <v>47</v>
      </c>
      <c r="AF405" s="4" t="s">
        <v>47</v>
      </c>
      <c r="AG405" s="4" t="s">
        <v>47</v>
      </c>
      <c r="AH405" s="4" t="s">
        <v>47</v>
      </c>
      <c r="AI405" s="4" t="s">
        <v>47</v>
      </c>
      <c r="AJ405" s="4" t="s">
        <v>47</v>
      </c>
      <c r="AK405" s="4" t="s">
        <v>47</v>
      </c>
      <c r="AL405" s="4" t="s">
        <v>47</v>
      </c>
      <c r="AM405" s="4" t="s">
        <v>47</v>
      </c>
      <c r="AN405" s="4" t="s">
        <v>47</v>
      </c>
      <c r="AO405" s="4" t="s">
        <v>4051</v>
      </c>
      <c r="AP405" s="4" t="s">
        <v>4052</v>
      </c>
      <c r="AQ405" s="4" t="s">
        <v>4053</v>
      </c>
      <c r="AR405" s="4" t="s">
        <v>4054</v>
      </c>
    </row>
    <row r="406" spans="1:44" x14ac:dyDescent="0.2">
      <c r="A406" s="4" t="s">
        <v>95</v>
      </c>
      <c r="B406" s="4" t="s">
        <v>106</v>
      </c>
      <c r="C406">
        <v>2</v>
      </c>
      <c r="F406">
        <v>2</v>
      </c>
      <c r="I406" s="4" t="s">
        <v>2974</v>
      </c>
      <c r="J406" s="4" t="s">
        <v>47</v>
      </c>
      <c r="K406" s="4" t="s">
        <v>3977</v>
      </c>
      <c r="L406" s="4" t="s">
        <v>47</v>
      </c>
      <c r="M406">
        <v>30600</v>
      </c>
      <c r="N406" s="4" t="s">
        <v>3960</v>
      </c>
      <c r="O406" s="4" t="s">
        <v>47</v>
      </c>
      <c r="P406" s="4" t="s">
        <v>811</v>
      </c>
      <c r="Q406" s="9">
        <v>35971</v>
      </c>
      <c r="R406" s="4" t="s">
        <v>1487</v>
      </c>
      <c r="S406" s="4" t="s">
        <v>47</v>
      </c>
      <c r="T406" s="4" t="s">
        <v>47</v>
      </c>
      <c r="U406" s="4" t="s">
        <v>87</v>
      </c>
      <c r="V406">
        <v>1998</v>
      </c>
      <c r="W406" s="4" t="s">
        <v>4055</v>
      </c>
      <c r="X406" s="4" t="s">
        <v>4056</v>
      </c>
      <c r="Y406" s="4" t="s">
        <v>4057</v>
      </c>
      <c r="Z406" s="4" t="s">
        <v>4058</v>
      </c>
      <c r="AA406" s="4" t="s">
        <v>47</v>
      </c>
      <c r="AB406" s="4" t="s">
        <v>47</v>
      </c>
      <c r="AC406" s="4" t="s">
        <v>47</v>
      </c>
      <c r="AD406" s="4" t="s">
        <v>47</v>
      </c>
      <c r="AE406" s="4" t="s">
        <v>47</v>
      </c>
      <c r="AF406" s="4" t="s">
        <v>47</v>
      </c>
      <c r="AG406" s="4" t="s">
        <v>47</v>
      </c>
      <c r="AH406" s="4" t="s">
        <v>47</v>
      </c>
      <c r="AI406" s="4" t="s">
        <v>47</v>
      </c>
      <c r="AJ406" s="4" t="s">
        <v>47</v>
      </c>
      <c r="AK406" s="4" t="s">
        <v>47</v>
      </c>
      <c r="AL406" s="4" t="s">
        <v>4059</v>
      </c>
      <c r="AM406" s="4" t="s">
        <v>47</v>
      </c>
      <c r="AN406" s="4" t="s">
        <v>47</v>
      </c>
      <c r="AO406" s="4" t="s">
        <v>4060</v>
      </c>
      <c r="AP406" s="4" t="s">
        <v>4061</v>
      </c>
      <c r="AQ406" s="4" t="s">
        <v>4062</v>
      </c>
      <c r="AR406" s="4" t="s">
        <v>4063</v>
      </c>
    </row>
    <row r="407" spans="1:44" x14ac:dyDescent="0.2">
      <c r="A407" s="4" t="s">
        <v>148</v>
      </c>
      <c r="B407" s="4" t="s">
        <v>175</v>
      </c>
      <c r="C407">
        <v>1</v>
      </c>
      <c r="F407">
        <v>1</v>
      </c>
      <c r="I407" s="4" t="s">
        <v>4064</v>
      </c>
      <c r="J407" s="4" t="s">
        <v>47</v>
      </c>
      <c r="K407" s="4" t="s">
        <v>4065</v>
      </c>
      <c r="L407" s="4" t="s">
        <v>47</v>
      </c>
      <c r="M407">
        <v>45500</v>
      </c>
      <c r="N407" s="4" t="s">
        <v>3883</v>
      </c>
      <c r="O407" s="4" t="s">
        <v>47</v>
      </c>
      <c r="P407" s="4" t="s">
        <v>811</v>
      </c>
      <c r="Q407" s="9">
        <v>35971</v>
      </c>
      <c r="R407" s="4" t="s">
        <v>1046</v>
      </c>
      <c r="S407" s="4" t="s">
        <v>47</v>
      </c>
      <c r="T407" s="4" t="s">
        <v>47</v>
      </c>
      <c r="U407" s="4" t="s">
        <v>87</v>
      </c>
      <c r="V407">
        <v>1998</v>
      </c>
      <c r="W407" s="4" t="s">
        <v>4066</v>
      </c>
      <c r="X407" s="4" t="s">
        <v>4067</v>
      </c>
      <c r="Y407" s="4" t="s">
        <v>4068</v>
      </c>
      <c r="Z407" s="4" t="s">
        <v>4069</v>
      </c>
      <c r="AA407" s="4" t="s">
        <v>47</v>
      </c>
      <c r="AB407" s="4" t="s">
        <v>47</v>
      </c>
      <c r="AC407" s="4" t="s">
        <v>47</v>
      </c>
      <c r="AD407" s="4" t="s">
        <v>47</v>
      </c>
      <c r="AE407" s="4" t="s">
        <v>47</v>
      </c>
      <c r="AF407" s="4" t="s">
        <v>47</v>
      </c>
      <c r="AG407" s="4" t="s">
        <v>47</v>
      </c>
      <c r="AH407" s="4" t="s">
        <v>47</v>
      </c>
      <c r="AI407" s="4" t="s">
        <v>47</v>
      </c>
      <c r="AJ407" s="4" t="s">
        <v>47</v>
      </c>
      <c r="AK407" s="4" t="s">
        <v>47</v>
      </c>
      <c r="AL407" s="4" t="s">
        <v>47</v>
      </c>
      <c r="AM407" s="4" t="s">
        <v>47</v>
      </c>
      <c r="AN407" s="4" t="s">
        <v>47</v>
      </c>
      <c r="AO407" s="4" t="s">
        <v>4070</v>
      </c>
      <c r="AP407" s="4" t="s">
        <v>4071</v>
      </c>
      <c r="AQ407" s="4" t="s">
        <v>4072</v>
      </c>
      <c r="AR407" s="4" t="s">
        <v>4073</v>
      </c>
    </row>
    <row r="408" spans="1:44" x14ac:dyDescent="0.2">
      <c r="A408" s="4" t="s">
        <v>102</v>
      </c>
      <c r="B408" s="4" t="s">
        <v>3987</v>
      </c>
      <c r="C408">
        <v>0</v>
      </c>
      <c r="F408">
        <v>1</v>
      </c>
      <c r="I408" s="4" t="s">
        <v>4074</v>
      </c>
      <c r="J408" s="4" t="s">
        <v>47</v>
      </c>
      <c r="K408" s="4" t="s">
        <v>3988</v>
      </c>
      <c r="L408" s="4" t="s">
        <v>47</v>
      </c>
      <c r="M408">
        <v>38500</v>
      </c>
      <c r="N408" s="4" t="s">
        <v>3943</v>
      </c>
      <c r="O408" s="4" t="s">
        <v>47</v>
      </c>
      <c r="P408" s="4" t="s">
        <v>811</v>
      </c>
      <c r="Q408" s="9">
        <v>35971</v>
      </c>
      <c r="R408" s="4" t="s">
        <v>963</v>
      </c>
      <c r="S408" s="4" t="s">
        <v>47</v>
      </c>
      <c r="T408" s="4" t="s">
        <v>47</v>
      </c>
      <c r="U408" s="4" t="s">
        <v>87</v>
      </c>
      <c r="V408">
        <v>1998</v>
      </c>
      <c r="W408" s="4" t="s">
        <v>47</v>
      </c>
      <c r="X408" s="4" t="s">
        <v>4075</v>
      </c>
      <c r="Y408" s="4" t="s">
        <v>47</v>
      </c>
      <c r="Z408" s="4" t="s">
        <v>4076</v>
      </c>
      <c r="AA408" s="4" t="s">
        <v>47</v>
      </c>
      <c r="AB408" s="4" t="s">
        <v>47</v>
      </c>
      <c r="AC408" s="4" t="s">
        <v>47</v>
      </c>
      <c r="AD408" s="4" t="s">
        <v>47</v>
      </c>
      <c r="AE408" s="4" t="s">
        <v>47</v>
      </c>
      <c r="AF408" s="4" t="s">
        <v>47</v>
      </c>
      <c r="AG408" s="4" t="s">
        <v>47</v>
      </c>
      <c r="AH408" s="4" t="s">
        <v>47</v>
      </c>
      <c r="AI408" s="4" t="s">
        <v>47</v>
      </c>
      <c r="AJ408" s="4" t="s">
        <v>47</v>
      </c>
      <c r="AK408" s="4" t="s">
        <v>47</v>
      </c>
      <c r="AL408" s="4" t="s">
        <v>47</v>
      </c>
      <c r="AM408" s="4" t="s">
        <v>47</v>
      </c>
      <c r="AN408" s="4" t="s">
        <v>47</v>
      </c>
      <c r="AO408" s="4" t="s">
        <v>4077</v>
      </c>
      <c r="AP408" s="4" t="s">
        <v>4078</v>
      </c>
      <c r="AQ408" s="4" t="s">
        <v>4079</v>
      </c>
      <c r="AR408" s="4" t="s">
        <v>4080</v>
      </c>
    </row>
    <row r="409" spans="1:44" x14ac:dyDescent="0.2">
      <c r="A409" s="4" t="s">
        <v>92</v>
      </c>
      <c r="B409" s="4" t="s">
        <v>165</v>
      </c>
      <c r="C409">
        <v>2</v>
      </c>
      <c r="F409">
        <v>0</v>
      </c>
      <c r="I409" s="4" t="s">
        <v>3923</v>
      </c>
      <c r="J409" s="4" t="s">
        <v>47</v>
      </c>
      <c r="K409" s="4" t="s">
        <v>4081</v>
      </c>
      <c r="L409" s="4" t="s">
        <v>47</v>
      </c>
      <c r="M409">
        <v>35500</v>
      </c>
      <c r="N409" s="4" t="s">
        <v>3978</v>
      </c>
      <c r="O409" s="4" t="s">
        <v>47</v>
      </c>
      <c r="P409" s="4" t="s">
        <v>811</v>
      </c>
      <c r="Q409" s="9">
        <v>35971</v>
      </c>
      <c r="R409" s="4" t="s">
        <v>630</v>
      </c>
      <c r="S409" s="4" t="s">
        <v>47</v>
      </c>
      <c r="T409" s="4" t="s">
        <v>47</v>
      </c>
      <c r="U409" s="4" t="s">
        <v>87</v>
      </c>
      <c r="V409">
        <v>1998</v>
      </c>
      <c r="W409" s="4" t="s">
        <v>4082</v>
      </c>
      <c r="X409" s="4" t="s">
        <v>47</v>
      </c>
      <c r="Y409" s="4" t="s">
        <v>4083</v>
      </c>
      <c r="Z409" s="4" t="s">
        <v>47</v>
      </c>
      <c r="AA409" s="4" t="s">
        <v>47</v>
      </c>
      <c r="AB409" s="4" t="s">
        <v>47</v>
      </c>
      <c r="AC409" s="4" t="s">
        <v>47</v>
      </c>
      <c r="AD409" s="4" t="s">
        <v>47</v>
      </c>
      <c r="AE409" s="4" t="s">
        <v>47</v>
      </c>
      <c r="AF409" s="4" t="s">
        <v>47</v>
      </c>
      <c r="AG409" s="4" t="s">
        <v>47</v>
      </c>
      <c r="AH409" s="4" t="s">
        <v>47</v>
      </c>
      <c r="AI409" s="4" t="s">
        <v>47</v>
      </c>
      <c r="AJ409" s="4" t="s">
        <v>47</v>
      </c>
      <c r="AK409" s="4" t="s">
        <v>47</v>
      </c>
      <c r="AL409" s="4" t="s">
        <v>47</v>
      </c>
      <c r="AM409" s="4" t="s">
        <v>47</v>
      </c>
      <c r="AN409" s="4" t="s">
        <v>47</v>
      </c>
      <c r="AO409" s="4" t="s">
        <v>4084</v>
      </c>
      <c r="AP409" s="4" t="s">
        <v>4085</v>
      </c>
      <c r="AQ409" s="4" t="s">
        <v>4086</v>
      </c>
      <c r="AR409" s="4" t="s">
        <v>4087</v>
      </c>
    </row>
    <row r="410" spans="1:44" x14ac:dyDescent="0.2">
      <c r="A410" s="4" t="s">
        <v>94</v>
      </c>
      <c r="B410" s="4" t="s">
        <v>240</v>
      </c>
      <c r="C410">
        <v>2</v>
      </c>
      <c r="F410">
        <v>2</v>
      </c>
      <c r="I410" s="4" t="s">
        <v>3442</v>
      </c>
      <c r="J410" s="4" t="s">
        <v>47</v>
      </c>
      <c r="K410" s="4" t="s">
        <v>4088</v>
      </c>
      <c r="L410" s="4" t="s">
        <v>47</v>
      </c>
      <c r="M410">
        <v>31800</v>
      </c>
      <c r="N410" s="4" t="s">
        <v>3953</v>
      </c>
      <c r="O410" s="4" t="s">
        <v>47</v>
      </c>
      <c r="P410" s="4" t="s">
        <v>811</v>
      </c>
      <c r="Q410" s="9">
        <v>35970</v>
      </c>
      <c r="R410" s="4" t="s">
        <v>1487</v>
      </c>
      <c r="S410" s="4" t="s">
        <v>47</v>
      </c>
      <c r="T410" s="4" t="s">
        <v>47</v>
      </c>
      <c r="U410" s="4" t="s">
        <v>87</v>
      </c>
      <c r="V410">
        <v>1998</v>
      </c>
      <c r="W410" s="4" t="s">
        <v>4089</v>
      </c>
      <c r="X410" s="4" t="s">
        <v>47</v>
      </c>
      <c r="Y410" s="4" t="s">
        <v>4090</v>
      </c>
      <c r="Z410" s="4" t="s">
        <v>47</v>
      </c>
      <c r="AA410" s="4" t="s">
        <v>47</v>
      </c>
      <c r="AB410" s="4" t="s">
        <v>47</v>
      </c>
      <c r="AC410" s="4" t="s">
        <v>4091</v>
      </c>
      <c r="AD410" s="4" t="s">
        <v>4092</v>
      </c>
      <c r="AE410" s="4" t="s">
        <v>47</v>
      </c>
      <c r="AF410" s="4" t="s">
        <v>47</v>
      </c>
      <c r="AG410" s="4" t="s">
        <v>47</v>
      </c>
      <c r="AH410" s="4" t="s">
        <v>47</v>
      </c>
      <c r="AI410" s="4" t="s">
        <v>47</v>
      </c>
      <c r="AJ410" s="4" t="s">
        <v>47</v>
      </c>
      <c r="AK410" s="4" t="s">
        <v>47</v>
      </c>
      <c r="AL410" s="4" t="s">
        <v>47</v>
      </c>
      <c r="AM410" s="4" t="s">
        <v>47</v>
      </c>
      <c r="AN410" s="4" t="s">
        <v>47</v>
      </c>
      <c r="AO410" s="4" t="s">
        <v>4093</v>
      </c>
      <c r="AP410" s="4" t="s">
        <v>4094</v>
      </c>
      <c r="AQ410" s="4" t="s">
        <v>4095</v>
      </c>
      <c r="AR410" s="4" t="s">
        <v>4096</v>
      </c>
    </row>
    <row r="411" spans="1:44" x14ac:dyDescent="0.2">
      <c r="A411" s="4" t="s">
        <v>87</v>
      </c>
      <c r="B411" s="4" t="s">
        <v>167</v>
      </c>
      <c r="C411">
        <v>2</v>
      </c>
      <c r="F411">
        <v>1</v>
      </c>
      <c r="I411" s="4" t="s">
        <v>3873</v>
      </c>
      <c r="J411" s="4" t="s">
        <v>47</v>
      </c>
      <c r="K411" s="4" t="s">
        <v>3942</v>
      </c>
      <c r="L411" s="4" t="s">
        <v>47</v>
      </c>
      <c r="M411">
        <v>39100</v>
      </c>
      <c r="N411" s="4" t="s">
        <v>3924</v>
      </c>
      <c r="O411" s="4" t="s">
        <v>47</v>
      </c>
      <c r="P411" s="4" t="s">
        <v>811</v>
      </c>
      <c r="Q411" s="9">
        <v>35970</v>
      </c>
      <c r="R411" s="4" t="s">
        <v>617</v>
      </c>
      <c r="S411" s="4" t="s">
        <v>47</v>
      </c>
      <c r="T411" s="4" t="s">
        <v>47</v>
      </c>
      <c r="U411" s="4" t="s">
        <v>87</v>
      </c>
      <c r="V411">
        <v>1998</v>
      </c>
      <c r="W411" s="4" t="s">
        <v>4097</v>
      </c>
      <c r="X411" s="4" t="s">
        <v>47</v>
      </c>
      <c r="Y411" s="4" t="s">
        <v>4098</v>
      </c>
      <c r="Z411" s="4" t="s">
        <v>47</v>
      </c>
      <c r="AA411" s="4" t="s">
        <v>47</v>
      </c>
      <c r="AB411" s="4" t="s">
        <v>47</v>
      </c>
      <c r="AC411" s="4" t="s">
        <v>4099</v>
      </c>
      <c r="AD411" s="4" t="s">
        <v>4100</v>
      </c>
      <c r="AE411" s="4" t="s">
        <v>47</v>
      </c>
      <c r="AF411" s="4" t="s">
        <v>47</v>
      </c>
      <c r="AG411" s="4" t="s">
        <v>47</v>
      </c>
      <c r="AH411" s="4" t="s">
        <v>47</v>
      </c>
      <c r="AI411" s="4" t="s">
        <v>47</v>
      </c>
      <c r="AJ411" s="4" t="s">
        <v>47</v>
      </c>
      <c r="AK411" s="4" t="s">
        <v>47</v>
      </c>
      <c r="AL411" s="4" t="s">
        <v>47</v>
      </c>
      <c r="AM411" s="4" t="s">
        <v>47</v>
      </c>
      <c r="AN411" s="4" t="s">
        <v>47</v>
      </c>
      <c r="AO411" s="4" t="s">
        <v>4101</v>
      </c>
      <c r="AP411" s="4" t="s">
        <v>4102</v>
      </c>
      <c r="AQ411" s="4" t="s">
        <v>4103</v>
      </c>
      <c r="AR411" s="4" t="s">
        <v>4104</v>
      </c>
    </row>
    <row r="412" spans="1:44" x14ac:dyDescent="0.2">
      <c r="A412" s="4" t="s">
        <v>20</v>
      </c>
      <c r="B412" s="4" t="s">
        <v>293</v>
      </c>
      <c r="C412">
        <v>6</v>
      </c>
      <c r="F412">
        <v>1</v>
      </c>
      <c r="I412" s="4" t="s">
        <v>4105</v>
      </c>
      <c r="J412" s="4" t="s">
        <v>47</v>
      </c>
      <c r="K412" s="4" t="s">
        <v>4106</v>
      </c>
      <c r="L412" s="4" t="s">
        <v>47</v>
      </c>
      <c r="M412">
        <v>41275</v>
      </c>
      <c r="N412" s="4" t="s">
        <v>3997</v>
      </c>
      <c r="O412" s="4" t="s">
        <v>47</v>
      </c>
      <c r="P412" s="4" t="s">
        <v>811</v>
      </c>
      <c r="Q412" s="9">
        <v>35970</v>
      </c>
      <c r="R412" s="4" t="s">
        <v>728</v>
      </c>
      <c r="S412" s="4" t="s">
        <v>47</v>
      </c>
      <c r="T412" s="4" t="s">
        <v>47</v>
      </c>
      <c r="U412" s="4" t="s">
        <v>87</v>
      </c>
      <c r="V412">
        <v>1998</v>
      </c>
      <c r="W412" s="4" t="s">
        <v>4107</v>
      </c>
      <c r="X412" s="4" t="s">
        <v>4108</v>
      </c>
      <c r="Y412" s="4" t="s">
        <v>4109</v>
      </c>
      <c r="Z412" s="4" t="s">
        <v>4110</v>
      </c>
      <c r="AA412" s="4" t="s">
        <v>4111</v>
      </c>
      <c r="AB412" s="4" t="s">
        <v>47</v>
      </c>
      <c r="AC412" s="4" t="s">
        <v>4112</v>
      </c>
      <c r="AD412" s="4" t="s">
        <v>47</v>
      </c>
      <c r="AE412" s="4" t="s">
        <v>47</v>
      </c>
      <c r="AF412" s="4" t="s">
        <v>47</v>
      </c>
      <c r="AG412" s="4" t="s">
        <v>47</v>
      </c>
      <c r="AH412" s="4" t="s">
        <v>47</v>
      </c>
      <c r="AI412" s="4" t="s">
        <v>47</v>
      </c>
      <c r="AJ412" s="4" t="s">
        <v>47</v>
      </c>
      <c r="AK412" s="4" t="s">
        <v>47</v>
      </c>
      <c r="AL412" s="4" t="s">
        <v>47</v>
      </c>
      <c r="AM412" s="4" t="s">
        <v>47</v>
      </c>
      <c r="AN412" s="4" t="s">
        <v>47</v>
      </c>
      <c r="AO412" s="4" t="s">
        <v>4113</v>
      </c>
      <c r="AP412" s="4" t="s">
        <v>4114</v>
      </c>
      <c r="AQ412" s="4" t="s">
        <v>4115</v>
      </c>
      <c r="AR412" s="4" t="s">
        <v>4116</v>
      </c>
    </row>
    <row r="413" spans="1:44" x14ac:dyDescent="0.2">
      <c r="A413" s="4" t="s">
        <v>177</v>
      </c>
      <c r="B413" s="4" t="s">
        <v>202</v>
      </c>
      <c r="C413">
        <v>1</v>
      </c>
      <c r="F413">
        <v>3</v>
      </c>
      <c r="I413" s="4" t="s">
        <v>3555</v>
      </c>
      <c r="J413" s="4" t="s">
        <v>47</v>
      </c>
      <c r="K413" s="4" t="s">
        <v>3996</v>
      </c>
      <c r="L413" s="4" t="s">
        <v>47</v>
      </c>
      <c r="M413">
        <v>33400</v>
      </c>
      <c r="N413" s="4" t="s">
        <v>3989</v>
      </c>
      <c r="O413" s="4" t="s">
        <v>47</v>
      </c>
      <c r="P413" s="4" t="s">
        <v>811</v>
      </c>
      <c r="Q413" s="9">
        <v>35970</v>
      </c>
      <c r="R413" s="4" t="s">
        <v>1098</v>
      </c>
      <c r="S413" s="4" t="s">
        <v>47</v>
      </c>
      <c r="T413" s="4" t="s">
        <v>47</v>
      </c>
      <c r="U413" s="4" t="s">
        <v>87</v>
      </c>
      <c r="V413">
        <v>1998</v>
      </c>
      <c r="W413" s="4" t="s">
        <v>4117</v>
      </c>
      <c r="X413" s="4" t="s">
        <v>4118</v>
      </c>
      <c r="Y413" s="4" t="s">
        <v>4119</v>
      </c>
      <c r="Z413" s="4" t="s">
        <v>4120</v>
      </c>
      <c r="AA413" s="4" t="s">
        <v>47</v>
      </c>
      <c r="AB413" s="4" t="s">
        <v>47</v>
      </c>
      <c r="AC413" s="4" t="s">
        <v>47</v>
      </c>
      <c r="AD413" s="4" t="s">
        <v>47</v>
      </c>
      <c r="AE413" s="4" t="s">
        <v>47</v>
      </c>
      <c r="AF413" s="4" t="s">
        <v>47</v>
      </c>
      <c r="AG413" s="4" t="s">
        <v>47</v>
      </c>
      <c r="AH413" s="4" t="s">
        <v>47</v>
      </c>
      <c r="AI413" s="4" t="s">
        <v>47</v>
      </c>
      <c r="AJ413" s="4" t="s">
        <v>47</v>
      </c>
      <c r="AK413" s="4" t="s">
        <v>47</v>
      </c>
      <c r="AL413" s="4" t="s">
        <v>47</v>
      </c>
      <c r="AM413" s="4" t="s">
        <v>47</v>
      </c>
      <c r="AN413" s="4" t="s">
        <v>47</v>
      </c>
      <c r="AO413" s="4" t="s">
        <v>4121</v>
      </c>
      <c r="AP413" s="4" t="s">
        <v>47</v>
      </c>
      <c r="AQ413" s="4" t="s">
        <v>4122</v>
      </c>
      <c r="AR413" s="4" t="s">
        <v>4123</v>
      </c>
    </row>
    <row r="414" spans="1:44" x14ac:dyDescent="0.2">
      <c r="A414" s="4" t="s">
        <v>97</v>
      </c>
      <c r="B414" s="4" t="s">
        <v>173</v>
      </c>
      <c r="C414">
        <v>2</v>
      </c>
      <c r="F414">
        <v>1</v>
      </c>
      <c r="I414" s="4" t="s">
        <v>3497</v>
      </c>
      <c r="J414" s="4" t="s">
        <v>47</v>
      </c>
      <c r="K414" s="4" t="s">
        <v>4124</v>
      </c>
      <c r="L414" s="4" t="s">
        <v>47</v>
      </c>
      <c r="M414">
        <v>80000</v>
      </c>
      <c r="N414" s="4" t="s">
        <v>3874</v>
      </c>
      <c r="O414" s="4" t="s">
        <v>47</v>
      </c>
      <c r="P414" s="4" t="s">
        <v>811</v>
      </c>
      <c r="Q414" s="9">
        <v>35969</v>
      </c>
      <c r="R414" s="4" t="s">
        <v>617</v>
      </c>
      <c r="S414" s="4" t="s">
        <v>47</v>
      </c>
      <c r="T414" s="4" t="s">
        <v>47</v>
      </c>
      <c r="U414" s="4" t="s">
        <v>87</v>
      </c>
      <c r="V414">
        <v>1998</v>
      </c>
      <c r="W414" s="4" t="s">
        <v>4125</v>
      </c>
      <c r="X414" s="4" t="s">
        <v>47</v>
      </c>
      <c r="Y414" s="4" t="s">
        <v>4126</v>
      </c>
      <c r="Z414" s="4" t="s">
        <v>47</v>
      </c>
      <c r="AA414" s="4" t="s">
        <v>47</v>
      </c>
      <c r="AB414" s="4" t="s">
        <v>47</v>
      </c>
      <c r="AC414" s="4" t="s">
        <v>47</v>
      </c>
      <c r="AD414" s="4" t="s">
        <v>4127</v>
      </c>
      <c r="AE414" s="4" t="s">
        <v>47</v>
      </c>
      <c r="AF414" s="4" t="s">
        <v>47</v>
      </c>
      <c r="AG414" s="4" t="s">
        <v>47</v>
      </c>
      <c r="AH414" s="4" t="s">
        <v>47</v>
      </c>
      <c r="AI414" s="4" t="s">
        <v>47</v>
      </c>
      <c r="AJ414" s="4" t="s">
        <v>47</v>
      </c>
      <c r="AK414" s="4" t="s">
        <v>47</v>
      </c>
      <c r="AL414" s="4" t="s">
        <v>47</v>
      </c>
      <c r="AM414" s="4" t="s">
        <v>47</v>
      </c>
      <c r="AN414" s="4" t="s">
        <v>47</v>
      </c>
      <c r="AO414" s="4" t="s">
        <v>4128</v>
      </c>
      <c r="AP414" s="4" t="s">
        <v>4129</v>
      </c>
      <c r="AQ414" s="4" t="s">
        <v>4130</v>
      </c>
      <c r="AR414" s="4" t="s">
        <v>4131</v>
      </c>
    </row>
    <row r="415" spans="1:44" x14ac:dyDescent="0.2">
      <c r="A415" s="4" t="s">
        <v>113</v>
      </c>
      <c r="B415" s="4" t="s">
        <v>209</v>
      </c>
      <c r="C415">
        <v>1</v>
      </c>
      <c r="F415">
        <v>1</v>
      </c>
      <c r="I415" s="4" t="s">
        <v>4017</v>
      </c>
      <c r="J415" s="4" t="s">
        <v>47</v>
      </c>
      <c r="K415" s="4" t="s">
        <v>4132</v>
      </c>
      <c r="L415" s="4" t="s">
        <v>47</v>
      </c>
      <c r="M415">
        <v>39500</v>
      </c>
      <c r="N415" s="4" t="s">
        <v>3943</v>
      </c>
      <c r="O415" s="4" t="s">
        <v>47</v>
      </c>
      <c r="P415" s="4" t="s">
        <v>811</v>
      </c>
      <c r="Q415" s="9">
        <v>35969</v>
      </c>
      <c r="R415" s="4" t="s">
        <v>1046</v>
      </c>
      <c r="S415" s="4" t="s">
        <v>47</v>
      </c>
      <c r="T415" s="4" t="s">
        <v>47</v>
      </c>
      <c r="U415" s="4" t="s">
        <v>87</v>
      </c>
      <c r="V415">
        <v>1998</v>
      </c>
      <c r="W415" s="4" t="s">
        <v>4133</v>
      </c>
      <c r="X415" s="4" t="s">
        <v>4134</v>
      </c>
      <c r="Y415" s="4" t="s">
        <v>4135</v>
      </c>
      <c r="Z415" s="4" t="s">
        <v>4136</v>
      </c>
      <c r="AA415" s="4" t="s">
        <v>47</v>
      </c>
      <c r="AB415" s="4" t="s">
        <v>47</v>
      </c>
      <c r="AC415" s="4" t="s">
        <v>47</v>
      </c>
      <c r="AD415" s="4" t="s">
        <v>47</v>
      </c>
      <c r="AE415" s="4" t="s">
        <v>47</v>
      </c>
      <c r="AF415" s="4" t="s">
        <v>47</v>
      </c>
      <c r="AG415" s="4" t="s">
        <v>47</v>
      </c>
      <c r="AH415" s="4" t="s">
        <v>47</v>
      </c>
      <c r="AI415" s="4" t="s">
        <v>47</v>
      </c>
      <c r="AJ415" s="4" t="s">
        <v>47</v>
      </c>
      <c r="AK415" s="4" t="s">
        <v>47</v>
      </c>
      <c r="AL415" s="4" t="s">
        <v>4137</v>
      </c>
      <c r="AM415" s="4" t="s">
        <v>47</v>
      </c>
      <c r="AN415" s="4" t="s">
        <v>47</v>
      </c>
      <c r="AO415" s="4" t="s">
        <v>4138</v>
      </c>
      <c r="AP415" s="4" t="s">
        <v>4139</v>
      </c>
      <c r="AQ415" s="4" t="s">
        <v>4140</v>
      </c>
      <c r="AR415" s="4" t="s">
        <v>4141</v>
      </c>
    </row>
    <row r="416" spans="1:44" x14ac:dyDescent="0.2">
      <c r="A416" s="4" t="s">
        <v>12</v>
      </c>
      <c r="B416" s="4" t="s">
        <v>19</v>
      </c>
      <c r="C416">
        <v>1</v>
      </c>
      <c r="F416">
        <v>2</v>
      </c>
      <c r="I416" s="4" t="s">
        <v>3872</v>
      </c>
      <c r="J416" s="4" t="s">
        <v>47</v>
      </c>
      <c r="K416" s="4" t="s">
        <v>4011</v>
      </c>
      <c r="L416" s="4" t="s">
        <v>47</v>
      </c>
      <c r="M416">
        <v>57000</v>
      </c>
      <c r="N416" s="4" t="s">
        <v>3900</v>
      </c>
      <c r="O416" s="4" t="s">
        <v>47</v>
      </c>
      <c r="P416" s="4" t="s">
        <v>811</v>
      </c>
      <c r="Q416" s="9">
        <v>35969</v>
      </c>
      <c r="R416" s="4" t="s">
        <v>664</v>
      </c>
      <c r="S416" s="4" t="s">
        <v>47</v>
      </c>
      <c r="T416" s="4" t="s">
        <v>47</v>
      </c>
      <c r="U416" s="4" t="s">
        <v>87</v>
      </c>
      <c r="V416">
        <v>1998</v>
      </c>
      <c r="W416" s="4" t="s">
        <v>4142</v>
      </c>
      <c r="X416" s="4" t="s">
        <v>4143</v>
      </c>
      <c r="Y416" s="4" t="s">
        <v>4144</v>
      </c>
      <c r="Z416" s="4" t="s">
        <v>4145</v>
      </c>
      <c r="AA416" s="4" t="s">
        <v>47</v>
      </c>
      <c r="AB416" s="4" t="s">
        <v>47</v>
      </c>
      <c r="AC416" s="4" t="s">
        <v>47</v>
      </c>
      <c r="AD416" s="4" t="s">
        <v>4146</v>
      </c>
      <c r="AE416" s="4" t="s">
        <v>47</v>
      </c>
      <c r="AF416" s="4" t="s">
        <v>47</v>
      </c>
      <c r="AG416" s="4" t="s">
        <v>47</v>
      </c>
      <c r="AH416" s="4" t="s">
        <v>47</v>
      </c>
      <c r="AI416" s="4" t="s">
        <v>47</v>
      </c>
      <c r="AJ416" s="4" t="s">
        <v>47</v>
      </c>
      <c r="AK416" s="4" t="s">
        <v>47</v>
      </c>
      <c r="AL416" s="4" t="s">
        <v>47</v>
      </c>
      <c r="AM416" s="4" t="s">
        <v>47</v>
      </c>
      <c r="AN416" s="4" t="s">
        <v>47</v>
      </c>
      <c r="AO416" s="4" t="s">
        <v>47</v>
      </c>
      <c r="AP416" s="4" t="s">
        <v>4147</v>
      </c>
      <c r="AQ416" s="4" t="s">
        <v>47</v>
      </c>
      <c r="AR416" s="4" t="s">
        <v>4148</v>
      </c>
    </row>
    <row r="417" spans="1:44" x14ac:dyDescent="0.2">
      <c r="A417" s="4" t="s">
        <v>205</v>
      </c>
      <c r="B417" s="4" t="s">
        <v>144</v>
      </c>
      <c r="C417">
        <v>0</v>
      </c>
      <c r="F417">
        <v>3</v>
      </c>
      <c r="I417" s="4" t="s">
        <v>4149</v>
      </c>
      <c r="J417" s="4" t="s">
        <v>47</v>
      </c>
      <c r="K417" s="4" t="s">
        <v>3114</v>
      </c>
      <c r="L417" s="4" t="s">
        <v>47</v>
      </c>
      <c r="M417">
        <v>36000</v>
      </c>
      <c r="N417" s="4" t="s">
        <v>3960</v>
      </c>
      <c r="O417" s="4" t="s">
        <v>47</v>
      </c>
      <c r="P417" s="4" t="s">
        <v>811</v>
      </c>
      <c r="Q417" s="9">
        <v>35969</v>
      </c>
      <c r="R417" s="4" t="s">
        <v>973</v>
      </c>
      <c r="S417" s="4" t="s">
        <v>47</v>
      </c>
      <c r="T417" s="4" t="s">
        <v>47</v>
      </c>
      <c r="U417" s="4" t="s">
        <v>87</v>
      </c>
      <c r="V417">
        <v>1998</v>
      </c>
      <c r="W417" s="4" t="s">
        <v>47</v>
      </c>
      <c r="X417" s="4" t="s">
        <v>4150</v>
      </c>
      <c r="Y417" s="4" t="s">
        <v>47</v>
      </c>
      <c r="Z417" s="4" t="s">
        <v>4151</v>
      </c>
      <c r="AA417" s="4" t="s">
        <v>47</v>
      </c>
      <c r="AB417" s="4" t="s">
        <v>47</v>
      </c>
      <c r="AC417" s="4" t="s">
        <v>47</v>
      </c>
      <c r="AD417" s="4" t="s">
        <v>47</v>
      </c>
      <c r="AE417" s="4" t="s">
        <v>47</v>
      </c>
      <c r="AF417" s="4" t="s">
        <v>47</v>
      </c>
      <c r="AG417" s="4" t="s">
        <v>47</v>
      </c>
      <c r="AH417" s="4" t="s">
        <v>47</v>
      </c>
      <c r="AI417" s="4" t="s">
        <v>47</v>
      </c>
      <c r="AJ417" s="4" t="s">
        <v>47</v>
      </c>
      <c r="AK417" s="4" t="s">
        <v>4152</v>
      </c>
      <c r="AL417" s="4" t="s">
        <v>47</v>
      </c>
      <c r="AM417" s="4" t="s">
        <v>47</v>
      </c>
      <c r="AN417" s="4" t="s">
        <v>47</v>
      </c>
      <c r="AO417" s="4" t="s">
        <v>4153</v>
      </c>
      <c r="AP417" s="4" t="s">
        <v>4154</v>
      </c>
      <c r="AQ417" s="4" t="s">
        <v>4155</v>
      </c>
      <c r="AR417" s="4" t="s">
        <v>4156</v>
      </c>
    </row>
    <row r="418" spans="1:44" x14ac:dyDescent="0.2">
      <c r="A418" s="4" t="s">
        <v>153</v>
      </c>
      <c r="B418" s="4" t="s">
        <v>213</v>
      </c>
      <c r="C418">
        <v>1</v>
      </c>
      <c r="F418">
        <v>0</v>
      </c>
      <c r="I418" s="4" t="s">
        <v>1450</v>
      </c>
      <c r="J418" s="4" t="s">
        <v>47</v>
      </c>
      <c r="K418" s="4" t="s">
        <v>4157</v>
      </c>
      <c r="L418" s="4" t="s">
        <v>47</v>
      </c>
      <c r="M418">
        <v>35500</v>
      </c>
      <c r="N418" s="4" t="s">
        <v>3978</v>
      </c>
      <c r="O418" s="4" t="s">
        <v>47</v>
      </c>
      <c r="P418" s="4" t="s">
        <v>811</v>
      </c>
      <c r="Q418" s="9">
        <v>35968</v>
      </c>
      <c r="R418" s="4" t="s">
        <v>652</v>
      </c>
      <c r="S418" s="4" t="s">
        <v>47</v>
      </c>
      <c r="T418" s="4" t="s">
        <v>47</v>
      </c>
      <c r="U418" s="4" t="s">
        <v>87</v>
      </c>
      <c r="V418">
        <v>1998</v>
      </c>
      <c r="W418" s="4" t="s">
        <v>4158</v>
      </c>
      <c r="X418" s="4" t="s">
        <v>47</v>
      </c>
      <c r="Y418" s="4" t="s">
        <v>4159</v>
      </c>
      <c r="Z418" s="4" t="s">
        <v>47</v>
      </c>
      <c r="AA418" s="4" t="s">
        <v>47</v>
      </c>
      <c r="AB418" s="4" t="s">
        <v>47</v>
      </c>
      <c r="AC418" s="4" t="s">
        <v>47</v>
      </c>
      <c r="AD418" s="4" t="s">
        <v>47</v>
      </c>
      <c r="AE418" s="4" t="s">
        <v>47</v>
      </c>
      <c r="AF418" s="4" t="s">
        <v>47</v>
      </c>
      <c r="AG418" s="4" t="s">
        <v>47</v>
      </c>
      <c r="AH418" s="4" t="s">
        <v>47</v>
      </c>
      <c r="AI418" s="4" t="s">
        <v>47</v>
      </c>
      <c r="AJ418" s="4" t="s">
        <v>47</v>
      </c>
      <c r="AK418" s="4" t="s">
        <v>47</v>
      </c>
      <c r="AL418" s="4" t="s">
        <v>47</v>
      </c>
      <c r="AM418" s="4" t="s">
        <v>47</v>
      </c>
      <c r="AN418" s="4" t="s">
        <v>47</v>
      </c>
      <c r="AO418" s="4" t="s">
        <v>4160</v>
      </c>
      <c r="AP418" s="4" t="s">
        <v>4161</v>
      </c>
      <c r="AQ418" s="4" t="s">
        <v>4162</v>
      </c>
      <c r="AR418" s="4" t="s">
        <v>4163</v>
      </c>
    </row>
    <row r="419" spans="1:44" x14ac:dyDescent="0.2">
      <c r="A419" s="4" t="s">
        <v>227</v>
      </c>
      <c r="B419" s="4" t="s">
        <v>52</v>
      </c>
      <c r="C419">
        <v>2</v>
      </c>
      <c r="F419">
        <v>1</v>
      </c>
      <c r="I419" s="4" t="s">
        <v>3952</v>
      </c>
      <c r="J419" s="4" t="s">
        <v>47</v>
      </c>
      <c r="K419" s="4" t="s">
        <v>3959</v>
      </c>
      <c r="L419" s="4" t="s">
        <v>47</v>
      </c>
      <c r="M419">
        <v>33140</v>
      </c>
      <c r="N419" s="4" t="s">
        <v>3989</v>
      </c>
      <c r="O419" s="4" t="s">
        <v>47</v>
      </c>
      <c r="P419" s="4" t="s">
        <v>811</v>
      </c>
      <c r="Q419" s="9">
        <v>35968</v>
      </c>
      <c r="R419" s="4" t="s">
        <v>617</v>
      </c>
      <c r="S419" s="4" t="s">
        <v>47</v>
      </c>
      <c r="T419" s="4" t="s">
        <v>47</v>
      </c>
      <c r="U419" s="4" t="s">
        <v>87</v>
      </c>
      <c r="V419">
        <v>1998</v>
      </c>
      <c r="W419" s="4" t="s">
        <v>4164</v>
      </c>
      <c r="X419" s="4" t="s">
        <v>4165</v>
      </c>
      <c r="Y419" s="4" t="s">
        <v>4166</v>
      </c>
      <c r="Z419" s="4" t="s">
        <v>4167</v>
      </c>
      <c r="AA419" s="4" t="s">
        <v>47</v>
      </c>
      <c r="AB419" s="4" t="s">
        <v>47</v>
      </c>
      <c r="AC419" s="4" t="s">
        <v>47</v>
      </c>
      <c r="AD419" s="4" t="s">
        <v>47</v>
      </c>
      <c r="AE419" s="4" t="s">
        <v>47</v>
      </c>
      <c r="AF419" s="4" t="s">
        <v>47</v>
      </c>
      <c r="AG419" s="4" t="s">
        <v>47</v>
      </c>
      <c r="AH419" s="4" t="s">
        <v>47</v>
      </c>
      <c r="AI419" s="4" t="s">
        <v>47</v>
      </c>
      <c r="AJ419" s="4" t="s">
        <v>47</v>
      </c>
      <c r="AK419" s="4" t="s">
        <v>47</v>
      </c>
      <c r="AL419" s="4" t="s">
        <v>47</v>
      </c>
      <c r="AM419" s="4" t="s">
        <v>47</v>
      </c>
      <c r="AN419" s="4" t="s">
        <v>47</v>
      </c>
      <c r="AO419" s="4" t="s">
        <v>4168</v>
      </c>
      <c r="AP419" s="4" t="s">
        <v>47</v>
      </c>
      <c r="AQ419" s="4" t="s">
        <v>4169</v>
      </c>
      <c r="AR419" s="4" t="s">
        <v>4170</v>
      </c>
    </row>
    <row r="420" spans="1:44" x14ac:dyDescent="0.2">
      <c r="A420" s="4" t="s">
        <v>92</v>
      </c>
      <c r="B420" s="4" t="s">
        <v>3987</v>
      </c>
      <c r="C420">
        <v>2</v>
      </c>
      <c r="F420">
        <v>2</v>
      </c>
      <c r="I420" s="4" t="s">
        <v>3923</v>
      </c>
      <c r="J420" s="4" t="s">
        <v>47</v>
      </c>
      <c r="K420" s="4" t="s">
        <v>3988</v>
      </c>
      <c r="L420" s="4" t="s">
        <v>47</v>
      </c>
      <c r="M420">
        <v>41275</v>
      </c>
      <c r="N420" s="4" t="s">
        <v>3997</v>
      </c>
      <c r="O420" s="4" t="s">
        <v>47</v>
      </c>
      <c r="P420" s="4" t="s">
        <v>811</v>
      </c>
      <c r="Q420" s="9">
        <v>35967</v>
      </c>
      <c r="R420" s="4" t="s">
        <v>1487</v>
      </c>
      <c r="S420" s="4" t="s">
        <v>47</v>
      </c>
      <c r="T420" s="4" t="s">
        <v>47</v>
      </c>
      <c r="U420" s="4" t="s">
        <v>87</v>
      </c>
      <c r="V420">
        <v>1998</v>
      </c>
      <c r="W420" s="4" t="s">
        <v>4171</v>
      </c>
      <c r="X420" s="4" t="s">
        <v>4172</v>
      </c>
      <c r="Y420" s="4" t="s">
        <v>4173</v>
      </c>
      <c r="Z420" s="4" t="s">
        <v>4174</v>
      </c>
      <c r="AA420" s="4" t="s">
        <v>4175</v>
      </c>
      <c r="AB420" s="4" t="s">
        <v>47</v>
      </c>
      <c r="AC420" s="4" t="s">
        <v>47</v>
      </c>
      <c r="AD420" s="4" t="s">
        <v>47</v>
      </c>
      <c r="AE420" s="4" t="s">
        <v>47</v>
      </c>
      <c r="AF420" s="4" t="s">
        <v>47</v>
      </c>
      <c r="AG420" s="4" t="s">
        <v>47</v>
      </c>
      <c r="AH420" s="4" t="s">
        <v>47</v>
      </c>
      <c r="AI420" s="4" t="s">
        <v>47</v>
      </c>
      <c r="AJ420" s="4" t="s">
        <v>47</v>
      </c>
      <c r="AK420" s="4" t="s">
        <v>47</v>
      </c>
      <c r="AL420" s="4" t="s">
        <v>47</v>
      </c>
      <c r="AM420" s="4" t="s">
        <v>47</v>
      </c>
      <c r="AN420" s="4" t="s">
        <v>47</v>
      </c>
      <c r="AO420" s="4" t="s">
        <v>4176</v>
      </c>
      <c r="AP420" s="4" t="s">
        <v>47</v>
      </c>
      <c r="AQ420" s="4" t="s">
        <v>4177</v>
      </c>
      <c r="AR420" s="4" t="s">
        <v>4178</v>
      </c>
    </row>
    <row r="421" spans="1:44" x14ac:dyDescent="0.2">
      <c r="A421" s="4" t="s">
        <v>26</v>
      </c>
      <c r="B421" s="4" t="s">
        <v>260</v>
      </c>
      <c r="C421">
        <v>5</v>
      </c>
      <c r="F421">
        <v>0</v>
      </c>
      <c r="I421" s="4" t="s">
        <v>3912</v>
      </c>
      <c r="J421" s="4" t="s">
        <v>47</v>
      </c>
      <c r="K421" s="4" t="s">
        <v>4033</v>
      </c>
      <c r="L421" s="4" t="s">
        <v>47</v>
      </c>
      <c r="M421">
        <v>45500</v>
      </c>
      <c r="N421" s="4" t="s">
        <v>3883</v>
      </c>
      <c r="O421" s="4" t="s">
        <v>47</v>
      </c>
      <c r="P421" s="4" t="s">
        <v>811</v>
      </c>
      <c r="Q421" s="9">
        <v>35967</v>
      </c>
      <c r="R421" s="4" t="s">
        <v>1840</v>
      </c>
      <c r="S421" s="4" t="s">
        <v>47</v>
      </c>
      <c r="T421" s="4" t="s">
        <v>47</v>
      </c>
      <c r="U421" s="4" t="s">
        <v>87</v>
      </c>
      <c r="V421">
        <v>1998</v>
      </c>
      <c r="W421" s="4" t="s">
        <v>4179</v>
      </c>
      <c r="X421" s="4" t="s">
        <v>47</v>
      </c>
      <c r="Y421" s="4" t="s">
        <v>4180</v>
      </c>
      <c r="Z421" s="4" t="s">
        <v>47</v>
      </c>
      <c r="AA421" s="4" t="s">
        <v>47</v>
      </c>
      <c r="AB421" s="4" t="s">
        <v>47</v>
      </c>
      <c r="AC421" s="4" t="s">
        <v>4181</v>
      </c>
      <c r="AD421" s="4" t="s">
        <v>47</v>
      </c>
      <c r="AE421" s="4" t="s">
        <v>47</v>
      </c>
      <c r="AF421" s="4" t="s">
        <v>47</v>
      </c>
      <c r="AG421" s="4" t="s">
        <v>47</v>
      </c>
      <c r="AH421" s="4" t="s">
        <v>47</v>
      </c>
      <c r="AI421" s="4" t="s">
        <v>47</v>
      </c>
      <c r="AJ421" s="4" t="s">
        <v>47</v>
      </c>
      <c r="AK421" s="4" t="s">
        <v>47</v>
      </c>
      <c r="AL421" s="4" t="s">
        <v>47</v>
      </c>
      <c r="AM421" s="4" t="s">
        <v>47</v>
      </c>
      <c r="AN421" s="4" t="s">
        <v>4182</v>
      </c>
      <c r="AO421" s="4" t="s">
        <v>4183</v>
      </c>
      <c r="AP421" s="4" t="s">
        <v>4184</v>
      </c>
      <c r="AQ421" s="4" t="s">
        <v>4185</v>
      </c>
      <c r="AR421" s="4" t="s">
        <v>4186</v>
      </c>
    </row>
    <row r="422" spans="1:44" x14ac:dyDescent="0.2">
      <c r="A422" s="4" t="s">
        <v>102</v>
      </c>
      <c r="B422" s="4" t="s">
        <v>165</v>
      </c>
      <c r="C422">
        <v>1</v>
      </c>
      <c r="F422">
        <v>2</v>
      </c>
      <c r="I422" s="4" t="s">
        <v>4074</v>
      </c>
      <c r="J422" s="4" t="s">
        <v>47</v>
      </c>
      <c r="K422" s="4" t="s">
        <v>4081</v>
      </c>
      <c r="L422" s="4" t="s">
        <v>47</v>
      </c>
      <c r="M422">
        <v>43300</v>
      </c>
      <c r="N422" s="4" t="s">
        <v>3924</v>
      </c>
      <c r="O422" s="4" t="s">
        <v>47</v>
      </c>
      <c r="P422" s="4" t="s">
        <v>811</v>
      </c>
      <c r="Q422" s="9">
        <v>35967</v>
      </c>
      <c r="R422" s="4" t="s">
        <v>664</v>
      </c>
      <c r="S422" s="4" t="s">
        <v>47</v>
      </c>
      <c r="T422" s="4" t="s">
        <v>47</v>
      </c>
      <c r="U422" s="4" t="s">
        <v>87</v>
      </c>
      <c r="V422">
        <v>1998</v>
      </c>
      <c r="W422" s="4" t="s">
        <v>4187</v>
      </c>
      <c r="X422" s="4" t="s">
        <v>4188</v>
      </c>
      <c r="Y422" s="4" t="s">
        <v>4189</v>
      </c>
      <c r="Z422" s="4" t="s">
        <v>4190</v>
      </c>
      <c r="AA422" s="4" t="s">
        <v>47</v>
      </c>
      <c r="AB422" s="4" t="s">
        <v>47</v>
      </c>
      <c r="AC422" s="4" t="s">
        <v>47</v>
      </c>
      <c r="AD422" s="4" t="s">
        <v>47</v>
      </c>
      <c r="AE422" s="4" t="s">
        <v>47</v>
      </c>
      <c r="AF422" s="4" t="s">
        <v>47</v>
      </c>
      <c r="AG422" s="4" t="s">
        <v>47</v>
      </c>
      <c r="AH422" s="4" t="s">
        <v>47</v>
      </c>
      <c r="AI422" s="4" t="s">
        <v>47</v>
      </c>
      <c r="AJ422" s="4" t="s">
        <v>47</v>
      </c>
      <c r="AK422" s="4" t="s">
        <v>47</v>
      </c>
      <c r="AL422" s="4" t="s">
        <v>47</v>
      </c>
      <c r="AM422" s="4" t="s">
        <v>47</v>
      </c>
      <c r="AN422" s="4" t="s">
        <v>47</v>
      </c>
      <c r="AO422" s="4" t="s">
        <v>4191</v>
      </c>
      <c r="AP422" s="4" t="s">
        <v>4192</v>
      </c>
      <c r="AQ422" s="4" t="s">
        <v>4193</v>
      </c>
      <c r="AR422" s="4" t="s">
        <v>4194</v>
      </c>
    </row>
    <row r="423" spans="1:44" x14ac:dyDescent="0.2">
      <c r="A423" s="4" t="s">
        <v>161</v>
      </c>
      <c r="B423" s="4" t="s">
        <v>90</v>
      </c>
      <c r="C423">
        <v>0</v>
      </c>
      <c r="F423">
        <v>1</v>
      </c>
      <c r="I423" s="4" t="s">
        <v>2486</v>
      </c>
      <c r="J423" s="4" t="s">
        <v>47</v>
      </c>
      <c r="K423" s="4" t="s">
        <v>3882</v>
      </c>
      <c r="L423" s="4" t="s">
        <v>47</v>
      </c>
      <c r="M423">
        <v>35500</v>
      </c>
      <c r="N423" s="4" t="s">
        <v>3943</v>
      </c>
      <c r="O423" s="4" t="s">
        <v>47</v>
      </c>
      <c r="P423" s="4" t="s">
        <v>811</v>
      </c>
      <c r="Q423" s="9">
        <v>35966</v>
      </c>
      <c r="R423" s="4" t="s">
        <v>963</v>
      </c>
      <c r="S423" s="4" t="s">
        <v>47</v>
      </c>
      <c r="T423" s="4" t="s">
        <v>47</v>
      </c>
      <c r="U423" s="4" t="s">
        <v>87</v>
      </c>
      <c r="V423">
        <v>1998</v>
      </c>
      <c r="W423" s="4" t="s">
        <v>47</v>
      </c>
      <c r="X423" s="4" t="s">
        <v>4195</v>
      </c>
      <c r="Y423" s="4" t="s">
        <v>47</v>
      </c>
      <c r="Z423" s="4" t="s">
        <v>4196</v>
      </c>
      <c r="AA423" s="4" t="s">
        <v>47</v>
      </c>
      <c r="AB423" s="4" t="s">
        <v>47</v>
      </c>
      <c r="AC423" s="4" t="s">
        <v>47</v>
      </c>
      <c r="AD423" s="4" t="s">
        <v>47</v>
      </c>
      <c r="AE423" s="4" t="s">
        <v>47</v>
      </c>
      <c r="AF423" s="4" t="s">
        <v>47</v>
      </c>
      <c r="AG423" s="4" t="s">
        <v>47</v>
      </c>
      <c r="AH423" s="4" t="s">
        <v>47</v>
      </c>
      <c r="AI423" s="4" t="s">
        <v>47</v>
      </c>
      <c r="AJ423" s="4" t="s">
        <v>47</v>
      </c>
      <c r="AK423" s="4" t="s">
        <v>47</v>
      </c>
      <c r="AL423" s="4" t="s">
        <v>47</v>
      </c>
      <c r="AM423" s="4" t="s">
        <v>47</v>
      </c>
      <c r="AN423" s="4" t="s">
        <v>47</v>
      </c>
      <c r="AO423" s="4" t="s">
        <v>4197</v>
      </c>
      <c r="AP423" s="4" t="s">
        <v>4198</v>
      </c>
      <c r="AQ423" s="4" t="s">
        <v>4199</v>
      </c>
      <c r="AR423" s="4" t="s">
        <v>4200</v>
      </c>
    </row>
    <row r="424" spans="1:44" x14ac:dyDescent="0.2">
      <c r="A424" s="4" t="s">
        <v>148</v>
      </c>
      <c r="B424" s="4" t="s">
        <v>106</v>
      </c>
      <c r="C424">
        <v>2</v>
      </c>
      <c r="F424">
        <v>2</v>
      </c>
      <c r="I424" s="4" t="s">
        <v>4064</v>
      </c>
      <c r="J424" s="4" t="s">
        <v>47</v>
      </c>
      <c r="K424" s="4" t="s">
        <v>3977</v>
      </c>
      <c r="L424" s="4" t="s">
        <v>47</v>
      </c>
      <c r="M424">
        <v>31800</v>
      </c>
      <c r="N424" s="4" t="s">
        <v>3953</v>
      </c>
      <c r="O424" s="4" t="s">
        <v>47</v>
      </c>
      <c r="P424" s="4" t="s">
        <v>811</v>
      </c>
      <c r="Q424" s="9">
        <v>35966</v>
      </c>
      <c r="R424" s="4" t="s">
        <v>1487</v>
      </c>
      <c r="S424" s="4" t="s">
        <v>47</v>
      </c>
      <c r="T424" s="4" t="s">
        <v>47</v>
      </c>
      <c r="U424" s="4" t="s">
        <v>87</v>
      </c>
      <c r="V424">
        <v>1998</v>
      </c>
      <c r="W424" s="4" t="s">
        <v>4201</v>
      </c>
      <c r="X424" s="4" t="s">
        <v>4202</v>
      </c>
      <c r="Y424" s="4" t="s">
        <v>4203</v>
      </c>
      <c r="Z424" s="4" t="s">
        <v>4204</v>
      </c>
      <c r="AA424" s="4" t="s">
        <v>47</v>
      </c>
      <c r="AB424" s="4" t="s">
        <v>47</v>
      </c>
      <c r="AC424" s="4" t="s">
        <v>47</v>
      </c>
      <c r="AD424" s="4" t="s">
        <v>4205</v>
      </c>
      <c r="AE424" s="4" t="s">
        <v>47</v>
      </c>
      <c r="AF424" s="4" t="s">
        <v>47</v>
      </c>
      <c r="AG424" s="4" t="s">
        <v>47</v>
      </c>
      <c r="AH424" s="4" t="s">
        <v>47</v>
      </c>
      <c r="AI424" s="4" t="s">
        <v>47</v>
      </c>
      <c r="AJ424" s="4" t="s">
        <v>47</v>
      </c>
      <c r="AK424" s="4" t="s">
        <v>4206</v>
      </c>
      <c r="AL424" s="4" t="s">
        <v>4207</v>
      </c>
      <c r="AM424" s="4" t="s">
        <v>47</v>
      </c>
      <c r="AN424" s="4" t="s">
        <v>47</v>
      </c>
      <c r="AO424" s="4" t="s">
        <v>4208</v>
      </c>
      <c r="AP424" s="4" t="s">
        <v>4209</v>
      </c>
      <c r="AQ424" s="4" t="s">
        <v>4210</v>
      </c>
      <c r="AR424" s="4" t="s">
        <v>4211</v>
      </c>
    </row>
    <row r="425" spans="1:44" x14ac:dyDescent="0.2">
      <c r="A425" s="4" t="s">
        <v>95</v>
      </c>
      <c r="B425" s="4" t="s">
        <v>175</v>
      </c>
      <c r="C425">
        <v>5</v>
      </c>
      <c r="F425">
        <v>0</v>
      </c>
      <c r="I425" s="4" t="s">
        <v>2974</v>
      </c>
      <c r="J425" s="4" t="s">
        <v>47</v>
      </c>
      <c r="K425" s="4" t="s">
        <v>4212</v>
      </c>
      <c r="L425" s="4" t="s">
        <v>47</v>
      </c>
      <c r="M425">
        <v>55000</v>
      </c>
      <c r="N425" s="4" t="s">
        <v>3900</v>
      </c>
      <c r="O425" s="4" t="s">
        <v>47</v>
      </c>
      <c r="P425" s="4" t="s">
        <v>811</v>
      </c>
      <c r="Q425" s="9">
        <v>35966</v>
      </c>
      <c r="R425" s="4" t="s">
        <v>1840</v>
      </c>
      <c r="S425" s="4" t="s">
        <v>47</v>
      </c>
      <c r="T425" s="4" t="s">
        <v>47</v>
      </c>
      <c r="U425" s="4" t="s">
        <v>87</v>
      </c>
      <c r="V425">
        <v>1998</v>
      </c>
      <c r="W425" s="4" t="s">
        <v>4213</v>
      </c>
      <c r="X425" s="4" t="s">
        <v>47</v>
      </c>
      <c r="Y425" s="4" t="s">
        <v>4214</v>
      </c>
      <c r="Z425" s="4" t="s">
        <v>47</v>
      </c>
      <c r="AA425" s="4" t="s">
        <v>47</v>
      </c>
      <c r="AB425" s="4" t="s">
        <v>47</v>
      </c>
      <c r="AC425" s="4" t="s">
        <v>47</v>
      </c>
      <c r="AD425" s="4" t="s">
        <v>47</v>
      </c>
      <c r="AE425" s="4" t="s">
        <v>47</v>
      </c>
      <c r="AF425" s="4" t="s">
        <v>47</v>
      </c>
      <c r="AG425" s="4" t="s">
        <v>47</v>
      </c>
      <c r="AH425" s="4" t="s">
        <v>47</v>
      </c>
      <c r="AI425" s="4" t="s">
        <v>47</v>
      </c>
      <c r="AJ425" s="4" t="s">
        <v>47</v>
      </c>
      <c r="AK425" s="4" t="s">
        <v>47</v>
      </c>
      <c r="AL425" s="4" t="s">
        <v>47</v>
      </c>
      <c r="AM425" s="4" t="s">
        <v>47</v>
      </c>
      <c r="AN425" s="4" t="s">
        <v>47</v>
      </c>
      <c r="AO425" s="4" t="s">
        <v>47</v>
      </c>
      <c r="AP425" s="4" t="s">
        <v>4215</v>
      </c>
      <c r="AQ425" s="4" t="s">
        <v>4216</v>
      </c>
      <c r="AR425" s="4" t="s">
        <v>4217</v>
      </c>
    </row>
    <row r="426" spans="1:44" x14ac:dyDescent="0.2">
      <c r="A426" s="4" t="s">
        <v>177</v>
      </c>
      <c r="B426" s="4" t="s">
        <v>293</v>
      </c>
      <c r="C426">
        <v>1</v>
      </c>
      <c r="F426">
        <v>0</v>
      </c>
      <c r="I426" s="4" t="s">
        <v>3555</v>
      </c>
      <c r="J426" s="4" t="s">
        <v>47</v>
      </c>
      <c r="K426" s="4" t="s">
        <v>4106</v>
      </c>
      <c r="L426" s="4" t="s">
        <v>47</v>
      </c>
      <c r="M426">
        <v>48000</v>
      </c>
      <c r="N426" s="4" t="s">
        <v>3883</v>
      </c>
      <c r="O426" s="4" t="s">
        <v>47</v>
      </c>
      <c r="P426" s="4" t="s">
        <v>811</v>
      </c>
      <c r="Q426" s="9">
        <v>35965</v>
      </c>
      <c r="R426" s="4" t="s">
        <v>652</v>
      </c>
      <c r="S426" s="4" t="s">
        <v>47</v>
      </c>
      <c r="T426" s="4" t="s">
        <v>47</v>
      </c>
      <c r="U426" s="4" t="s">
        <v>87</v>
      </c>
      <c r="V426">
        <v>1998</v>
      </c>
      <c r="W426" s="4" t="s">
        <v>4218</v>
      </c>
      <c r="X426" s="4" t="s">
        <v>47</v>
      </c>
      <c r="Y426" s="4" t="s">
        <v>4219</v>
      </c>
      <c r="Z426" s="4" t="s">
        <v>47</v>
      </c>
      <c r="AA426" s="4" t="s">
        <v>47</v>
      </c>
      <c r="AB426" s="4" t="s">
        <v>47</v>
      </c>
      <c r="AC426" s="4" t="s">
        <v>47</v>
      </c>
      <c r="AD426" s="4" t="s">
        <v>47</v>
      </c>
      <c r="AE426" s="4" t="s">
        <v>47</v>
      </c>
      <c r="AF426" s="4" t="s">
        <v>47</v>
      </c>
      <c r="AG426" s="4" t="s">
        <v>47</v>
      </c>
      <c r="AH426" s="4" t="s">
        <v>47</v>
      </c>
      <c r="AI426" s="4" t="s">
        <v>47</v>
      </c>
      <c r="AJ426" s="4" t="s">
        <v>47</v>
      </c>
      <c r="AK426" s="4" t="s">
        <v>47</v>
      </c>
      <c r="AL426" s="4" t="s">
        <v>47</v>
      </c>
      <c r="AM426" s="4" t="s">
        <v>47</v>
      </c>
      <c r="AN426" s="4" t="s">
        <v>47</v>
      </c>
      <c r="AO426" s="4" t="s">
        <v>4220</v>
      </c>
      <c r="AP426" s="4" t="s">
        <v>4221</v>
      </c>
      <c r="AQ426" s="4" t="s">
        <v>4222</v>
      </c>
      <c r="AR426" s="4" t="s">
        <v>4223</v>
      </c>
    </row>
    <row r="427" spans="1:44" x14ac:dyDescent="0.2">
      <c r="A427" s="4" t="s">
        <v>20</v>
      </c>
      <c r="B427" s="4" t="s">
        <v>202</v>
      </c>
      <c r="C427">
        <v>0</v>
      </c>
      <c r="F427">
        <v>0</v>
      </c>
      <c r="I427" s="4" t="s">
        <v>4105</v>
      </c>
      <c r="J427" s="4" t="s">
        <v>47</v>
      </c>
      <c r="K427" s="4" t="s">
        <v>3996</v>
      </c>
      <c r="L427" s="4" t="s">
        <v>47</v>
      </c>
      <c r="M427">
        <v>36000</v>
      </c>
      <c r="N427" s="4" t="s">
        <v>3960</v>
      </c>
      <c r="O427" s="4" t="s">
        <v>47</v>
      </c>
      <c r="P427" s="4" t="s">
        <v>811</v>
      </c>
      <c r="Q427" s="9">
        <v>35965</v>
      </c>
      <c r="R427" s="4" t="s">
        <v>869</v>
      </c>
      <c r="S427" s="4" t="s">
        <v>47</v>
      </c>
      <c r="T427" s="4" t="s">
        <v>47</v>
      </c>
      <c r="U427" s="4" t="s">
        <v>87</v>
      </c>
      <c r="V427">
        <v>1998</v>
      </c>
      <c r="W427" s="4" t="s">
        <v>47</v>
      </c>
      <c r="X427" s="4" t="s">
        <v>47</v>
      </c>
      <c r="Y427" s="4" t="s">
        <v>47</v>
      </c>
      <c r="Z427" s="4" t="s">
        <v>47</v>
      </c>
      <c r="AA427" s="4" t="s">
        <v>47</v>
      </c>
      <c r="AB427" s="4" t="s">
        <v>47</v>
      </c>
      <c r="AC427" s="4" t="s">
        <v>47</v>
      </c>
      <c r="AD427" s="4" t="s">
        <v>47</v>
      </c>
      <c r="AE427" s="4" t="s">
        <v>47</v>
      </c>
      <c r="AF427" s="4" t="s">
        <v>47</v>
      </c>
      <c r="AG427" s="4" t="s">
        <v>47</v>
      </c>
      <c r="AH427" s="4" t="s">
        <v>47</v>
      </c>
      <c r="AI427" s="4" t="s">
        <v>47</v>
      </c>
      <c r="AJ427" s="4" t="s">
        <v>47</v>
      </c>
      <c r="AK427" s="4" t="s">
        <v>47</v>
      </c>
      <c r="AL427" s="4" t="s">
        <v>47</v>
      </c>
      <c r="AM427" s="4" t="s">
        <v>47</v>
      </c>
      <c r="AN427" s="4" t="s">
        <v>47</v>
      </c>
      <c r="AO427" s="4" t="s">
        <v>4224</v>
      </c>
      <c r="AP427" s="4" t="s">
        <v>4225</v>
      </c>
      <c r="AQ427" s="4" t="s">
        <v>4226</v>
      </c>
      <c r="AR427" s="4" t="s">
        <v>4227</v>
      </c>
    </row>
    <row r="428" spans="1:44" x14ac:dyDescent="0.2">
      <c r="A428" s="4" t="s">
        <v>94</v>
      </c>
      <c r="B428" s="4" t="s">
        <v>167</v>
      </c>
      <c r="C428">
        <v>1</v>
      </c>
      <c r="F428">
        <v>1</v>
      </c>
      <c r="I428" s="4" t="s">
        <v>3442</v>
      </c>
      <c r="J428" s="4" t="s">
        <v>47</v>
      </c>
      <c r="K428" s="4" t="s">
        <v>3942</v>
      </c>
      <c r="L428" s="4" t="s">
        <v>47</v>
      </c>
      <c r="M428">
        <v>33500</v>
      </c>
      <c r="N428" s="4" t="s">
        <v>3989</v>
      </c>
      <c r="O428" s="4" t="s">
        <v>47</v>
      </c>
      <c r="P428" s="4" t="s">
        <v>811</v>
      </c>
      <c r="Q428" s="9">
        <v>35964</v>
      </c>
      <c r="R428" s="4" t="s">
        <v>1046</v>
      </c>
      <c r="S428" s="4" t="s">
        <v>47</v>
      </c>
      <c r="T428" s="4" t="s">
        <v>47</v>
      </c>
      <c r="U428" s="4" t="s">
        <v>87</v>
      </c>
      <c r="V428">
        <v>1998</v>
      </c>
      <c r="W428" s="4" t="s">
        <v>4228</v>
      </c>
      <c r="X428" s="4" t="s">
        <v>4229</v>
      </c>
      <c r="Y428" s="4" t="s">
        <v>4230</v>
      </c>
      <c r="Z428" s="4" t="s">
        <v>4231</v>
      </c>
      <c r="AA428" s="4" t="s">
        <v>47</v>
      </c>
      <c r="AB428" s="4" t="s">
        <v>47</v>
      </c>
      <c r="AC428" s="4" t="s">
        <v>47</v>
      </c>
      <c r="AD428" s="4" t="s">
        <v>47</v>
      </c>
      <c r="AE428" s="4" t="s">
        <v>47</v>
      </c>
      <c r="AF428" s="4" t="s">
        <v>47</v>
      </c>
      <c r="AG428" s="4" t="s">
        <v>47</v>
      </c>
      <c r="AH428" s="4" t="s">
        <v>47</v>
      </c>
      <c r="AI428" s="4" t="s">
        <v>47</v>
      </c>
      <c r="AJ428" s="4" t="s">
        <v>47</v>
      </c>
      <c r="AK428" s="4" t="s">
        <v>4232</v>
      </c>
      <c r="AL428" s="4" t="s">
        <v>4233</v>
      </c>
      <c r="AM428" s="4" t="s">
        <v>47</v>
      </c>
      <c r="AN428" s="4" t="s">
        <v>47</v>
      </c>
      <c r="AO428" s="4" t="s">
        <v>4234</v>
      </c>
      <c r="AP428" s="4" t="s">
        <v>4235</v>
      </c>
      <c r="AQ428" s="4" t="s">
        <v>4236</v>
      </c>
      <c r="AR428" s="4" t="s">
        <v>4237</v>
      </c>
    </row>
    <row r="429" spans="1:44" x14ac:dyDescent="0.2">
      <c r="A429" s="4" t="s">
        <v>87</v>
      </c>
      <c r="B429" s="4" t="s">
        <v>240</v>
      </c>
      <c r="C429">
        <v>4</v>
      </c>
      <c r="F429">
        <v>0</v>
      </c>
      <c r="I429" s="4" t="s">
        <v>3873</v>
      </c>
      <c r="J429" s="4" t="s">
        <v>47</v>
      </c>
      <c r="K429" s="4" t="s">
        <v>2646</v>
      </c>
      <c r="L429" s="4" t="s">
        <v>47</v>
      </c>
      <c r="M429">
        <v>80000</v>
      </c>
      <c r="N429" s="4" t="s">
        <v>3874</v>
      </c>
      <c r="O429" s="4" t="s">
        <v>47</v>
      </c>
      <c r="P429" s="4" t="s">
        <v>811</v>
      </c>
      <c r="Q429" s="9">
        <v>35964</v>
      </c>
      <c r="R429" s="4" t="s">
        <v>2300</v>
      </c>
      <c r="S429" s="4" t="s">
        <v>47</v>
      </c>
      <c r="T429" s="4" t="s">
        <v>47</v>
      </c>
      <c r="U429" s="4" t="s">
        <v>87</v>
      </c>
      <c r="V429">
        <v>1998</v>
      </c>
      <c r="W429" s="4" t="s">
        <v>4238</v>
      </c>
      <c r="X429" s="4" t="s">
        <v>47</v>
      </c>
      <c r="Y429" s="4" t="s">
        <v>4239</v>
      </c>
      <c r="Z429" s="4" t="s">
        <v>47</v>
      </c>
      <c r="AA429" s="4" t="s">
        <v>47</v>
      </c>
      <c r="AB429" s="4" t="s">
        <v>47</v>
      </c>
      <c r="AC429" s="4" t="s">
        <v>47</v>
      </c>
      <c r="AD429" s="4" t="s">
        <v>47</v>
      </c>
      <c r="AE429" s="4" t="s">
        <v>47</v>
      </c>
      <c r="AF429" s="4" t="s">
        <v>47</v>
      </c>
      <c r="AG429" s="4" t="s">
        <v>47</v>
      </c>
      <c r="AH429" s="4" t="s">
        <v>47</v>
      </c>
      <c r="AI429" s="4" t="s">
        <v>47</v>
      </c>
      <c r="AJ429" s="4" t="s">
        <v>47</v>
      </c>
      <c r="AK429" s="4" t="s">
        <v>4240</v>
      </c>
      <c r="AL429" s="4" t="s">
        <v>4241</v>
      </c>
      <c r="AM429" s="4" t="s">
        <v>47</v>
      </c>
      <c r="AN429" s="4" t="s">
        <v>47</v>
      </c>
      <c r="AO429" s="4" t="s">
        <v>4242</v>
      </c>
      <c r="AP429" s="4" t="s">
        <v>4243</v>
      </c>
      <c r="AQ429" s="4" t="s">
        <v>4244</v>
      </c>
      <c r="AR429" s="4" t="s">
        <v>4245</v>
      </c>
    </row>
    <row r="430" spans="1:44" x14ac:dyDescent="0.2">
      <c r="A430" s="4" t="s">
        <v>113</v>
      </c>
      <c r="B430" s="4" t="s">
        <v>173</v>
      </c>
      <c r="C430">
        <v>1</v>
      </c>
      <c r="F430">
        <v>1</v>
      </c>
      <c r="I430" s="4" t="s">
        <v>4017</v>
      </c>
      <c r="J430" s="4" t="s">
        <v>47</v>
      </c>
      <c r="K430" s="4" t="s">
        <v>4124</v>
      </c>
      <c r="L430" s="4" t="s">
        <v>47</v>
      </c>
      <c r="M430">
        <v>36000</v>
      </c>
      <c r="N430" s="4" t="s">
        <v>3960</v>
      </c>
      <c r="O430" s="4" t="s">
        <v>47</v>
      </c>
      <c r="P430" s="4" t="s">
        <v>811</v>
      </c>
      <c r="Q430" s="9">
        <v>35963</v>
      </c>
      <c r="R430" s="4" t="s">
        <v>1046</v>
      </c>
      <c r="S430" s="4" t="s">
        <v>47</v>
      </c>
      <c r="T430" s="4" t="s">
        <v>47</v>
      </c>
      <c r="U430" s="4" t="s">
        <v>87</v>
      </c>
      <c r="V430">
        <v>1998</v>
      </c>
      <c r="W430" s="4" t="s">
        <v>4246</v>
      </c>
      <c r="X430" s="4" t="s">
        <v>4247</v>
      </c>
      <c r="Y430" s="4" t="s">
        <v>4248</v>
      </c>
      <c r="Z430" s="4" t="s">
        <v>4249</v>
      </c>
      <c r="AA430" s="4" t="s">
        <v>47</v>
      </c>
      <c r="AB430" s="4" t="s">
        <v>47</v>
      </c>
      <c r="AC430" s="4" t="s">
        <v>47</v>
      </c>
      <c r="AD430" s="4" t="s">
        <v>47</v>
      </c>
      <c r="AE430" s="4" t="s">
        <v>47</v>
      </c>
      <c r="AF430" s="4" t="s">
        <v>47</v>
      </c>
      <c r="AG430" s="4" t="s">
        <v>47</v>
      </c>
      <c r="AH430" s="4" t="s">
        <v>47</v>
      </c>
      <c r="AI430" s="4" t="s">
        <v>47</v>
      </c>
      <c r="AJ430" s="4" t="s">
        <v>47</v>
      </c>
      <c r="AK430" s="4" t="s">
        <v>47</v>
      </c>
      <c r="AL430" s="4" t="s">
        <v>47</v>
      </c>
      <c r="AM430" s="4" t="s">
        <v>47</v>
      </c>
      <c r="AN430" s="4" t="s">
        <v>47</v>
      </c>
      <c r="AO430" s="4" t="s">
        <v>4250</v>
      </c>
      <c r="AP430" s="4" t="s">
        <v>4251</v>
      </c>
      <c r="AQ430" s="4" t="s">
        <v>4252</v>
      </c>
      <c r="AR430" s="4" t="s">
        <v>4253</v>
      </c>
    </row>
    <row r="431" spans="1:44" x14ac:dyDescent="0.2">
      <c r="A431" s="4" t="s">
        <v>97</v>
      </c>
      <c r="B431" s="4" t="s">
        <v>209</v>
      </c>
      <c r="C431">
        <v>3</v>
      </c>
      <c r="F431">
        <v>0</v>
      </c>
      <c r="I431" s="4" t="s">
        <v>3497</v>
      </c>
      <c r="J431" s="4" t="s">
        <v>47</v>
      </c>
      <c r="K431" s="4" t="s">
        <v>4132</v>
      </c>
      <c r="L431" s="4" t="s">
        <v>47</v>
      </c>
      <c r="M431">
        <v>35500</v>
      </c>
      <c r="N431" s="4" t="s">
        <v>3978</v>
      </c>
      <c r="O431" s="4" t="s">
        <v>47</v>
      </c>
      <c r="P431" s="4" t="s">
        <v>811</v>
      </c>
      <c r="Q431" s="9">
        <v>35963</v>
      </c>
      <c r="R431" s="4" t="s">
        <v>638</v>
      </c>
      <c r="S431" s="4" t="s">
        <v>47</v>
      </c>
      <c r="T431" s="4" t="s">
        <v>47</v>
      </c>
      <c r="U431" s="4" t="s">
        <v>87</v>
      </c>
      <c r="V431">
        <v>1998</v>
      </c>
      <c r="W431" s="4" t="s">
        <v>4254</v>
      </c>
      <c r="X431" s="4" t="s">
        <v>47</v>
      </c>
      <c r="Y431" s="4" t="s">
        <v>4255</v>
      </c>
      <c r="Z431" s="4" t="s">
        <v>47</v>
      </c>
      <c r="AA431" s="4" t="s">
        <v>47</v>
      </c>
      <c r="AB431" s="4" t="s">
        <v>47</v>
      </c>
      <c r="AC431" s="4" t="s">
        <v>47</v>
      </c>
      <c r="AD431" s="4" t="s">
        <v>47</v>
      </c>
      <c r="AE431" s="4" t="s">
        <v>47</v>
      </c>
      <c r="AF431" s="4" t="s">
        <v>47</v>
      </c>
      <c r="AG431" s="4" t="s">
        <v>47</v>
      </c>
      <c r="AH431" s="4" t="s">
        <v>47</v>
      </c>
      <c r="AI431" s="4" t="s">
        <v>47</v>
      </c>
      <c r="AJ431" s="4" t="s">
        <v>47</v>
      </c>
      <c r="AK431" s="4" t="s">
        <v>47</v>
      </c>
      <c r="AL431" s="4" t="s">
        <v>4256</v>
      </c>
      <c r="AM431" s="4" t="s">
        <v>47</v>
      </c>
      <c r="AN431" s="4" t="s">
        <v>47</v>
      </c>
      <c r="AO431" s="4" t="s">
        <v>4257</v>
      </c>
      <c r="AP431" s="4" t="s">
        <v>4258</v>
      </c>
      <c r="AQ431" s="4" t="s">
        <v>4259</v>
      </c>
      <c r="AR431" s="4" t="s">
        <v>4260</v>
      </c>
    </row>
    <row r="432" spans="1:44" x14ac:dyDescent="0.2">
      <c r="A432" s="4" t="s">
        <v>205</v>
      </c>
      <c r="B432" s="4" t="s">
        <v>19</v>
      </c>
      <c r="C432">
        <v>1</v>
      </c>
      <c r="F432">
        <v>1</v>
      </c>
      <c r="I432" s="4" t="s">
        <v>4149</v>
      </c>
      <c r="J432" s="4" t="s">
        <v>47</v>
      </c>
      <c r="K432" s="4" t="s">
        <v>4011</v>
      </c>
      <c r="L432" s="4" t="s">
        <v>47</v>
      </c>
      <c r="M432">
        <v>31800</v>
      </c>
      <c r="N432" s="4" t="s">
        <v>3953</v>
      </c>
      <c r="O432" s="4" t="s">
        <v>47</v>
      </c>
      <c r="P432" s="4" t="s">
        <v>811</v>
      </c>
      <c r="Q432" s="9">
        <v>35962</v>
      </c>
      <c r="R432" s="4" t="s">
        <v>1046</v>
      </c>
      <c r="S432" s="4" t="s">
        <v>47</v>
      </c>
      <c r="T432" s="4" t="s">
        <v>47</v>
      </c>
      <c r="U432" s="4" t="s">
        <v>87</v>
      </c>
      <c r="V432">
        <v>1998</v>
      </c>
      <c r="W432" s="4" t="s">
        <v>4261</v>
      </c>
      <c r="X432" s="4" t="s">
        <v>4262</v>
      </c>
      <c r="Y432" s="4" t="s">
        <v>4263</v>
      </c>
      <c r="Z432" s="4" t="s">
        <v>4264</v>
      </c>
      <c r="AA432" s="4" t="s">
        <v>47</v>
      </c>
      <c r="AB432" s="4" t="s">
        <v>47</v>
      </c>
      <c r="AC432" s="4" t="s">
        <v>47</v>
      </c>
      <c r="AD432" s="4" t="s">
        <v>47</v>
      </c>
      <c r="AE432" s="4" t="s">
        <v>47</v>
      </c>
      <c r="AF432" s="4" t="s">
        <v>47</v>
      </c>
      <c r="AG432" s="4" t="s">
        <v>47</v>
      </c>
      <c r="AH432" s="4" t="s">
        <v>47</v>
      </c>
      <c r="AI432" s="4" t="s">
        <v>47</v>
      </c>
      <c r="AJ432" s="4" t="s">
        <v>47</v>
      </c>
      <c r="AK432" s="4" t="s">
        <v>47</v>
      </c>
      <c r="AL432" s="4" t="s">
        <v>47</v>
      </c>
      <c r="AM432" s="4" t="s">
        <v>47</v>
      </c>
      <c r="AN432" s="4" t="s">
        <v>47</v>
      </c>
      <c r="AO432" s="4" t="s">
        <v>4265</v>
      </c>
      <c r="AP432" s="4" t="s">
        <v>4266</v>
      </c>
      <c r="AQ432" s="4" t="s">
        <v>4267</v>
      </c>
      <c r="AR432" s="4" t="s">
        <v>4268</v>
      </c>
    </row>
    <row r="433" spans="1:44" x14ac:dyDescent="0.2">
      <c r="A433" s="4" t="s">
        <v>12</v>
      </c>
      <c r="B433" s="4" t="s">
        <v>144</v>
      </c>
      <c r="C433">
        <v>3</v>
      </c>
      <c r="F433">
        <v>0</v>
      </c>
      <c r="I433" s="4" t="s">
        <v>3872</v>
      </c>
      <c r="J433" s="4" t="s">
        <v>47</v>
      </c>
      <c r="K433" s="4" t="s">
        <v>3114</v>
      </c>
      <c r="L433" s="4" t="s">
        <v>47</v>
      </c>
      <c r="M433">
        <v>38500</v>
      </c>
      <c r="N433" s="4" t="s">
        <v>3943</v>
      </c>
      <c r="O433" s="4" t="s">
        <v>47</v>
      </c>
      <c r="P433" s="4" t="s">
        <v>811</v>
      </c>
      <c r="Q433" s="9">
        <v>35962</v>
      </c>
      <c r="R433" s="4" t="s">
        <v>638</v>
      </c>
      <c r="S433" s="4" t="s">
        <v>47</v>
      </c>
      <c r="T433" s="4" t="s">
        <v>47</v>
      </c>
      <c r="U433" s="4" t="s">
        <v>87</v>
      </c>
      <c r="V433">
        <v>1998</v>
      </c>
      <c r="W433" s="4" t="s">
        <v>4269</v>
      </c>
      <c r="X433" s="4" t="s">
        <v>47</v>
      </c>
      <c r="Y433" s="4" t="s">
        <v>4270</v>
      </c>
      <c r="Z433" s="4" t="s">
        <v>47</v>
      </c>
      <c r="AA433" s="4" t="s">
        <v>47</v>
      </c>
      <c r="AB433" s="4" t="s">
        <v>47</v>
      </c>
      <c r="AC433" s="4" t="s">
        <v>47</v>
      </c>
      <c r="AD433" s="4" t="s">
        <v>47</v>
      </c>
      <c r="AE433" s="4" t="s">
        <v>47</v>
      </c>
      <c r="AF433" s="4" t="s">
        <v>47</v>
      </c>
      <c r="AG433" s="4" t="s">
        <v>47</v>
      </c>
      <c r="AH433" s="4" t="s">
        <v>47</v>
      </c>
      <c r="AI433" s="4" t="s">
        <v>47</v>
      </c>
      <c r="AJ433" s="4" t="s">
        <v>47</v>
      </c>
      <c r="AK433" s="4" t="s">
        <v>47</v>
      </c>
      <c r="AL433" s="4" t="s">
        <v>47</v>
      </c>
      <c r="AM433" s="4" t="s">
        <v>47</v>
      </c>
      <c r="AN433" s="4" t="s">
        <v>47</v>
      </c>
      <c r="AO433" s="4" t="s">
        <v>4271</v>
      </c>
      <c r="AP433" s="4" t="s">
        <v>4272</v>
      </c>
      <c r="AQ433" s="4" t="s">
        <v>4273</v>
      </c>
      <c r="AR433" s="4" t="s">
        <v>4274</v>
      </c>
    </row>
    <row r="434" spans="1:44" x14ac:dyDescent="0.2">
      <c r="A434" s="4" t="s">
        <v>52</v>
      </c>
      <c r="B434" s="4" t="s">
        <v>213</v>
      </c>
      <c r="C434">
        <v>2</v>
      </c>
      <c r="F434">
        <v>0</v>
      </c>
      <c r="I434" s="4" t="s">
        <v>3959</v>
      </c>
      <c r="J434" s="4" t="s">
        <v>47</v>
      </c>
      <c r="K434" s="4" t="s">
        <v>4157</v>
      </c>
      <c r="L434" s="4" t="s">
        <v>47</v>
      </c>
      <c r="M434">
        <v>54587</v>
      </c>
      <c r="N434" s="4" t="s">
        <v>3900</v>
      </c>
      <c r="O434" s="4" t="s">
        <v>47</v>
      </c>
      <c r="P434" s="4" t="s">
        <v>811</v>
      </c>
      <c r="Q434" s="9">
        <v>35961</v>
      </c>
      <c r="R434" s="4" t="s">
        <v>630</v>
      </c>
      <c r="S434" s="4" t="s">
        <v>47</v>
      </c>
      <c r="T434" s="4" t="s">
        <v>47</v>
      </c>
      <c r="U434" s="4" t="s">
        <v>87</v>
      </c>
      <c r="V434">
        <v>1998</v>
      </c>
      <c r="W434" s="4" t="s">
        <v>4275</v>
      </c>
      <c r="X434" s="4" t="s">
        <v>47</v>
      </c>
      <c r="Y434" s="4" t="s">
        <v>4276</v>
      </c>
      <c r="Z434" s="4" t="s">
        <v>47</v>
      </c>
      <c r="AA434" s="4" t="s">
        <v>47</v>
      </c>
      <c r="AB434" s="4" t="s">
        <v>47</v>
      </c>
      <c r="AC434" s="4" t="s">
        <v>47</v>
      </c>
      <c r="AD434" s="4" t="s">
        <v>47</v>
      </c>
      <c r="AE434" s="4" t="s">
        <v>47</v>
      </c>
      <c r="AF434" s="4" t="s">
        <v>47</v>
      </c>
      <c r="AG434" s="4" t="s">
        <v>47</v>
      </c>
      <c r="AH434" s="4" t="s">
        <v>47</v>
      </c>
      <c r="AI434" s="4" t="s">
        <v>47</v>
      </c>
      <c r="AJ434" s="4" t="s">
        <v>47</v>
      </c>
      <c r="AK434" s="4" t="s">
        <v>47</v>
      </c>
      <c r="AL434" s="4" t="s">
        <v>47</v>
      </c>
      <c r="AM434" s="4" t="s">
        <v>47</v>
      </c>
      <c r="AN434" s="4" t="s">
        <v>47</v>
      </c>
      <c r="AO434" s="4" t="s">
        <v>4277</v>
      </c>
      <c r="AP434" s="4" t="s">
        <v>4278</v>
      </c>
      <c r="AQ434" s="4" t="s">
        <v>4279</v>
      </c>
      <c r="AR434" s="4" t="s">
        <v>4280</v>
      </c>
    </row>
    <row r="435" spans="1:44" x14ac:dyDescent="0.2">
      <c r="A435" s="4" t="s">
        <v>227</v>
      </c>
      <c r="B435" s="4" t="s">
        <v>153</v>
      </c>
      <c r="C435">
        <v>1</v>
      </c>
      <c r="F435">
        <v>0</v>
      </c>
      <c r="I435" s="4" t="s">
        <v>3952</v>
      </c>
      <c r="J435" s="4" t="s">
        <v>47</v>
      </c>
      <c r="K435" s="4" t="s">
        <v>1450</v>
      </c>
      <c r="L435" s="4" t="s">
        <v>47</v>
      </c>
      <c r="M435">
        <v>43300</v>
      </c>
      <c r="N435" s="4" t="s">
        <v>3924</v>
      </c>
      <c r="O435" s="4" t="s">
        <v>47</v>
      </c>
      <c r="P435" s="4" t="s">
        <v>811</v>
      </c>
      <c r="Q435" s="9">
        <v>35961</v>
      </c>
      <c r="R435" s="4" t="s">
        <v>652</v>
      </c>
      <c r="S435" s="4" t="s">
        <v>47</v>
      </c>
      <c r="T435" s="4" t="s">
        <v>47</v>
      </c>
      <c r="U435" s="4" t="s">
        <v>87</v>
      </c>
      <c r="V435">
        <v>1998</v>
      </c>
      <c r="W435" s="4" t="s">
        <v>4281</v>
      </c>
      <c r="X435" s="4" t="s">
        <v>47</v>
      </c>
      <c r="Y435" s="4" t="s">
        <v>4282</v>
      </c>
      <c r="Z435" s="4" t="s">
        <v>47</v>
      </c>
      <c r="AA435" s="4" t="s">
        <v>47</v>
      </c>
      <c r="AB435" s="4" t="s">
        <v>47</v>
      </c>
      <c r="AC435" s="4" t="s">
        <v>47</v>
      </c>
      <c r="AD435" s="4" t="s">
        <v>47</v>
      </c>
      <c r="AE435" s="4" t="s">
        <v>47</v>
      </c>
      <c r="AF435" s="4" t="s">
        <v>47</v>
      </c>
      <c r="AG435" s="4" t="s">
        <v>47</v>
      </c>
      <c r="AH435" s="4" t="s">
        <v>47</v>
      </c>
      <c r="AI435" s="4" t="s">
        <v>47</v>
      </c>
      <c r="AJ435" s="4" t="s">
        <v>47</v>
      </c>
      <c r="AK435" s="4" t="s">
        <v>47</v>
      </c>
      <c r="AL435" s="4" t="s">
        <v>47</v>
      </c>
      <c r="AM435" s="4" t="s">
        <v>47</v>
      </c>
      <c r="AN435" s="4" t="s">
        <v>47</v>
      </c>
      <c r="AO435" s="4" t="s">
        <v>4283</v>
      </c>
      <c r="AP435" s="4" t="s">
        <v>4284</v>
      </c>
      <c r="AQ435" s="4" t="s">
        <v>4285</v>
      </c>
      <c r="AR435" s="4" t="s">
        <v>4286</v>
      </c>
    </row>
    <row r="436" spans="1:44" x14ac:dyDescent="0.2">
      <c r="A436" s="4" t="s">
        <v>92</v>
      </c>
      <c r="B436" s="4" t="s">
        <v>102</v>
      </c>
      <c r="C436">
        <v>2</v>
      </c>
      <c r="F436">
        <v>0</v>
      </c>
      <c r="I436" s="4" t="s">
        <v>3923</v>
      </c>
      <c r="J436" s="4" t="s">
        <v>47</v>
      </c>
      <c r="K436" s="4" t="s">
        <v>4074</v>
      </c>
      <c r="L436" s="4" t="s">
        <v>47</v>
      </c>
      <c r="M436">
        <v>49000</v>
      </c>
      <c r="N436" s="4" t="s">
        <v>3883</v>
      </c>
      <c r="O436" s="4" t="s">
        <v>47</v>
      </c>
      <c r="P436" s="4" t="s">
        <v>811</v>
      </c>
      <c r="Q436" s="9">
        <v>35961</v>
      </c>
      <c r="R436" s="4" t="s">
        <v>630</v>
      </c>
      <c r="S436" s="4" t="s">
        <v>47</v>
      </c>
      <c r="T436" s="4" t="s">
        <v>47</v>
      </c>
      <c r="U436" s="4" t="s">
        <v>87</v>
      </c>
      <c r="V436">
        <v>1998</v>
      </c>
      <c r="W436" s="4" t="s">
        <v>4287</v>
      </c>
      <c r="X436" s="4" t="s">
        <v>47</v>
      </c>
      <c r="Y436" s="4" t="s">
        <v>4288</v>
      </c>
      <c r="Z436" s="4" t="s">
        <v>47</v>
      </c>
      <c r="AA436" s="4" t="s">
        <v>47</v>
      </c>
      <c r="AB436" s="4" t="s">
        <v>47</v>
      </c>
      <c r="AC436" s="4" t="s">
        <v>47</v>
      </c>
      <c r="AD436" s="4" t="s">
        <v>47</v>
      </c>
      <c r="AE436" s="4" t="s">
        <v>47</v>
      </c>
      <c r="AF436" s="4" t="s">
        <v>47</v>
      </c>
      <c r="AG436" s="4" t="s">
        <v>47</v>
      </c>
      <c r="AH436" s="4" t="s">
        <v>47</v>
      </c>
      <c r="AI436" s="4" t="s">
        <v>47</v>
      </c>
      <c r="AJ436" s="4" t="s">
        <v>47</v>
      </c>
      <c r="AK436" s="4" t="s">
        <v>47</v>
      </c>
      <c r="AL436" s="4" t="s">
        <v>47</v>
      </c>
      <c r="AM436" s="4" t="s">
        <v>47</v>
      </c>
      <c r="AN436" s="4" t="s">
        <v>47</v>
      </c>
      <c r="AO436" s="4" t="s">
        <v>4289</v>
      </c>
      <c r="AP436" s="4" t="s">
        <v>4290</v>
      </c>
      <c r="AQ436" s="4" t="s">
        <v>4291</v>
      </c>
      <c r="AR436" s="4" t="s">
        <v>4292</v>
      </c>
    </row>
    <row r="437" spans="1:44" x14ac:dyDescent="0.2">
      <c r="A437" s="4" t="s">
        <v>26</v>
      </c>
      <c r="B437" s="4" t="s">
        <v>161</v>
      </c>
      <c r="C437">
        <v>1</v>
      </c>
      <c r="F437">
        <v>0</v>
      </c>
      <c r="I437" s="4" t="s">
        <v>3912</v>
      </c>
      <c r="J437" s="4" t="s">
        <v>47</v>
      </c>
      <c r="K437" s="4" t="s">
        <v>2486</v>
      </c>
      <c r="L437" s="4" t="s">
        <v>47</v>
      </c>
      <c r="M437">
        <v>33500</v>
      </c>
      <c r="N437" s="4" t="s">
        <v>3989</v>
      </c>
      <c r="O437" s="4" t="s">
        <v>47</v>
      </c>
      <c r="P437" s="4" t="s">
        <v>811</v>
      </c>
      <c r="Q437" s="9">
        <v>35960</v>
      </c>
      <c r="R437" s="4" t="s">
        <v>652</v>
      </c>
      <c r="S437" s="4" t="s">
        <v>47</v>
      </c>
      <c r="T437" s="4" t="s">
        <v>47</v>
      </c>
      <c r="U437" s="4" t="s">
        <v>87</v>
      </c>
      <c r="V437">
        <v>1998</v>
      </c>
      <c r="W437" s="4" t="s">
        <v>4293</v>
      </c>
      <c r="X437" s="4" t="s">
        <v>47</v>
      </c>
      <c r="Y437" s="4" t="s">
        <v>4294</v>
      </c>
      <c r="Z437" s="4" t="s">
        <v>47</v>
      </c>
      <c r="AA437" s="4" t="s">
        <v>47</v>
      </c>
      <c r="AB437" s="4" t="s">
        <v>47</v>
      </c>
      <c r="AC437" s="4" t="s">
        <v>47</v>
      </c>
      <c r="AD437" s="4" t="s">
        <v>47</v>
      </c>
      <c r="AE437" s="4" t="s">
        <v>47</v>
      </c>
      <c r="AF437" s="4" t="s">
        <v>47</v>
      </c>
      <c r="AG437" s="4" t="s">
        <v>47</v>
      </c>
      <c r="AH437" s="4" t="s">
        <v>47</v>
      </c>
      <c r="AI437" s="4" t="s">
        <v>47</v>
      </c>
      <c r="AJ437" s="4" t="s">
        <v>47</v>
      </c>
      <c r="AK437" s="4" t="s">
        <v>47</v>
      </c>
      <c r="AL437" s="4" t="s">
        <v>47</v>
      </c>
      <c r="AM437" s="4" t="s">
        <v>47</v>
      </c>
      <c r="AN437" s="4" t="s">
        <v>47</v>
      </c>
      <c r="AO437" s="4" t="s">
        <v>47</v>
      </c>
      <c r="AP437" s="4" t="s">
        <v>4295</v>
      </c>
      <c r="AQ437" s="4" t="s">
        <v>4296</v>
      </c>
      <c r="AR437" s="4" t="s">
        <v>4297</v>
      </c>
    </row>
    <row r="438" spans="1:44" x14ac:dyDescent="0.2">
      <c r="A438" s="4" t="s">
        <v>3987</v>
      </c>
      <c r="B438" s="4" t="s">
        <v>165</v>
      </c>
      <c r="C438">
        <v>1</v>
      </c>
      <c r="F438">
        <v>0</v>
      </c>
      <c r="I438" s="4" t="s">
        <v>3988</v>
      </c>
      <c r="J438" s="4" t="s">
        <v>47</v>
      </c>
      <c r="K438" s="4" t="s">
        <v>4081</v>
      </c>
      <c r="L438" s="4" t="s">
        <v>47</v>
      </c>
      <c r="M438">
        <v>36000</v>
      </c>
      <c r="N438" s="4" t="s">
        <v>3960</v>
      </c>
      <c r="O438" s="4" t="s">
        <v>47</v>
      </c>
      <c r="P438" s="4" t="s">
        <v>811</v>
      </c>
      <c r="Q438" s="9">
        <v>35960</v>
      </c>
      <c r="R438" s="4" t="s">
        <v>652</v>
      </c>
      <c r="S438" s="4" t="s">
        <v>47</v>
      </c>
      <c r="T438" s="4" t="s">
        <v>47</v>
      </c>
      <c r="U438" s="4" t="s">
        <v>87</v>
      </c>
      <c r="V438">
        <v>1998</v>
      </c>
      <c r="W438" s="4" t="s">
        <v>4298</v>
      </c>
      <c r="X438" s="4" t="s">
        <v>47</v>
      </c>
      <c r="Y438" s="4" t="s">
        <v>4299</v>
      </c>
      <c r="Z438" s="4" t="s">
        <v>47</v>
      </c>
      <c r="AA438" s="4" t="s">
        <v>47</v>
      </c>
      <c r="AB438" s="4" t="s">
        <v>47</v>
      </c>
      <c r="AC438" s="4" t="s">
        <v>47</v>
      </c>
      <c r="AD438" s="4" t="s">
        <v>47</v>
      </c>
      <c r="AE438" s="4" t="s">
        <v>47</v>
      </c>
      <c r="AF438" s="4" t="s">
        <v>47</v>
      </c>
      <c r="AG438" s="4" t="s">
        <v>47</v>
      </c>
      <c r="AH438" s="4" t="s">
        <v>47</v>
      </c>
      <c r="AI438" s="4" t="s">
        <v>47</v>
      </c>
      <c r="AJ438" s="4" t="s">
        <v>47</v>
      </c>
      <c r="AK438" s="4" t="s">
        <v>47</v>
      </c>
      <c r="AL438" s="4" t="s">
        <v>47</v>
      </c>
      <c r="AM438" s="4" t="s">
        <v>47</v>
      </c>
      <c r="AN438" s="4" t="s">
        <v>47</v>
      </c>
      <c r="AO438" s="4" t="s">
        <v>4300</v>
      </c>
      <c r="AP438" s="4" t="s">
        <v>47</v>
      </c>
      <c r="AQ438" s="4" t="s">
        <v>4301</v>
      </c>
      <c r="AR438" s="4" t="s">
        <v>4302</v>
      </c>
    </row>
    <row r="439" spans="1:44" x14ac:dyDescent="0.2">
      <c r="A439" s="4" t="s">
        <v>260</v>
      </c>
      <c r="B439" s="4" t="s">
        <v>90</v>
      </c>
      <c r="C439">
        <v>1</v>
      </c>
      <c r="F439">
        <v>3</v>
      </c>
      <c r="I439" s="4" t="s">
        <v>4033</v>
      </c>
      <c r="J439" s="4" t="s">
        <v>47</v>
      </c>
      <c r="K439" s="4" t="s">
        <v>3882</v>
      </c>
      <c r="L439" s="4" t="s">
        <v>47</v>
      </c>
      <c r="M439">
        <v>38100</v>
      </c>
      <c r="N439" s="4" t="s">
        <v>3997</v>
      </c>
      <c r="O439" s="4" t="s">
        <v>47</v>
      </c>
      <c r="P439" s="4" t="s">
        <v>811</v>
      </c>
      <c r="Q439" s="9">
        <v>35960</v>
      </c>
      <c r="R439" s="4" t="s">
        <v>1098</v>
      </c>
      <c r="S439" s="4" t="s">
        <v>47</v>
      </c>
      <c r="T439" s="4" t="s">
        <v>47</v>
      </c>
      <c r="U439" s="4" t="s">
        <v>87</v>
      </c>
      <c r="V439">
        <v>1998</v>
      </c>
      <c r="W439" s="4" t="s">
        <v>4303</v>
      </c>
      <c r="X439" s="4" t="s">
        <v>4304</v>
      </c>
      <c r="Y439" s="4" t="s">
        <v>4305</v>
      </c>
      <c r="Z439" s="4" t="s">
        <v>4306</v>
      </c>
      <c r="AA439" s="4" t="s">
        <v>47</v>
      </c>
      <c r="AB439" s="4" t="s">
        <v>47</v>
      </c>
      <c r="AC439" s="4" t="s">
        <v>47</v>
      </c>
      <c r="AD439" s="4" t="s">
        <v>47</v>
      </c>
      <c r="AE439" s="4" t="s">
        <v>47</v>
      </c>
      <c r="AF439" s="4" t="s">
        <v>47</v>
      </c>
      <c r="AG439" s="4" t="s">
        <v>47</v>
      </c>
      <c r="AH439" s="4" t="s">
        <v>47</v>
      </c>
      <c r="AI439" s="4" t="s">
        <v>47</v>
      </c>
      <c r="AJ439" s="4" t="s">
        <v>47</v>
      </c>
      <c r="AK439" s="4" t="s">
        <v>47</v>
      </c>
      <c r="AL439" s="4" t="s">
        <v>47</v>
      </c>
      <c r="AM439" s="4" t="s">
        <v>47</v>
      </c>
      <c r="AN439" s="4" t="s">
        <v>47</v>
      </c>
      <c r="AO439" s="4" t="s">
        <v>4307</v>
      </c>
      <c r="AP439" s="4" t="s">
        <v>4308</v>
      </c>
      <c r="AQ439" s="4" t="s">
        <v>4309</v>
      </c>
      <c r="AR439" s="4" t="s">
        <v>4310</v>
      </c>
    </row>
    <row r="440" spans="1:44" x14ac:dyDescent="0.2">
      <c r="A440" s="4" t="s">
        <v>20</v>
      </c>
      <c r="B440" s="4" t="s">
        <v>177</v>
      </c>
      <c r="C440">
        <v>2</v>
      </c>
      <c r="F440">
        <v>3</v>
      </c>
      <c r="I440" s="4" t="s">
        <v>4105</v>
      </c>
      <c r="J440" s="4" t="s">
        <v>47</v>
      </c>
      <c r="K440" s="4" t="s">
        <v>3555</v>
      </c>
      <c r="L440" s="4" t="s">
        <v>47</v>
      </c>
      <c r="M440">
        <v>38000</v>
      </c>
      <c r="N440" s="4" t="s">
        <v>3943</v>
      </c>
      <c r="O440" s="4" t="s">
        <v>47</v>
      </c>
      <c r="P440" s="4" t="s">
        <v>811</v>
      </c>
      <c r="Q440" s="9">
        <v>35959</v>
      </c>
      <c r="R440" s="4" t="s">
        <v>847</v>
      </c>
      <c r="S440" s="4" t="s">
        <v>47</v>
      </c>
      <c r="T440" s="4" t="s">
        <v>47</v>
      </c>
      <c r="U440" s="4" t="s">
        <v>87</v>
      </c>
      <c r="V440">
        <v>1998</v>
      </c>
      <c r="W440" s="4" t="s">
        <v>4311</v>
      </c>
      <c r="X440" s="4" t="s">
        <v>4312</v>
      </c>
      <c r="Y440" s="4" t="s">
        <v>4313</v>
      </c>
      <c r="Z440" s="4" t="s">
        <v>4314</v>
      </c>
      <c r="AA440" s="4" t="s">
        <v>47</v>
      </c>
      <c r="AB440" s="4" t="s">
        <v>4315</v>
      </c>
      <c r="AC440" s="4" t="s">
        <v>47</v>
      </c>
      <c r="AD440" s="4" t="s">
        <v>47</v>
      </c>
      <c r="AE440" s="4" t="s">
        <v>47</v>
      </c>
      <c r="AF440" s="4" t="s">
        <v>47</v>
      </c>
      <c r="AG440" s="4" t="s">
        <v>47</v>
      </c>
      <c r="AH440" s="4" t="s">
        <v>47</v>
      </c>
      <c r="AI440" s="4" t="s">
        <v>47</v>
      </c>
      <c r="AJ440" s="4" t="s">
        <v>47</v>
      </c>
      <c r="AK440" s="4" t="s">
        <v>47</v>
      </c>
      <c r="AL440" s="4" t="s">
        <v>47</v>
      </c>
      <c r="AM440" s="4" t="s">
        <v>47</v>
      </c>
      <c r="AN440" s="4" t="s">
        <v>47</v>
      </c>
      <c r="AO440" s="4" t="s">
        <v>4316</v>
      </c>
      <c r="AP440" s="4" t="s">
        <v>4317</v>
      </c>
      <c r="AQ440" s="4" t="s">
        <v>4318</v>
      </c>
      <c r="AR440" s="4" t="s">
        <v>4319</v>
      </c>
    </row>
    <row r="441" spans="1:44" x14ac:dyDescent="0.2">
      <c r="A441" s="4" t="s">
        <v>175</v>
      </c>
      <c r="B441" s="4" t="s">
        <v>106</v>
      </c>
      <c r="C441">
        <v>1</v>
      </c>
      <c r="F441">
        <v>3</v>
      </c>
      <c r="I441" s="4" t="s">
        <v>4212</v>
      </c>
      <c r="J441" s="4" t="s">
        <v>47</v>
      </c>
      <c r="K441" s="4" t="s">
        <v>3977</v>
      </c>
      <c r="L441" s="4" t="s">
        <v>47</v>
      </c>
      <c r="M441">
        <v>39100</v>
      </c>
      <c r="N441" s="4" t="s">
        <v>3924</v>
      </c>
      <c r="O441" s="4" t="s">
        <v>47</v>
      </c>
      <c r="P441" s="4" t="s">
        <v>811</v>
      </c>
      <c r="Q441" s="9">
        <v>35959</v>
      </c>
      <c r="R441" s="4" t="s">
        <v>1098</v>
      </c>
      <c r="S441" s="4" t="s">
        <v>47</v>
      </c>
      <c r="T441" s="4" t="s">
        <v>47</v>
      </c>
      <c r="U441" s="4" t="s">
        <v>87</v>
      </c>
      <c r="V441">
        <v>1998</v>
      </c>
      <c r="W441" s="4" t="s">
        <v>4320</v>
      </c>
      <c r="X441" s="4" t="s">
        <v>4321</v>
      </c>
      <c r="Y441" s="4" t="s">
        <v>4322</v>
      </c>
      <c r="Z441" s="4" t="s">
        <v>4323</v>
      </c>
      <c r="AA441" s="4" t="s">
        <v>47</v>
      </c>
      <c r="AB441" s="4" t="s">
        <v>47</v>
      </c>
      <c r="AC441" s="4" t="s">
        <v>47</v>
      </c>
      <c r="AD441" s="4" t="s">
        <v>47</v>
      </c>
      <c r="AE441" s="4" t="s">
        <v>47</v>
      </c>
      <c r="AF441" s="4" t="s">
        <v>47</v>
      </c>
      <c r="AG441" s="4" t="s">
        <v>47</v>
      </c>
      <c r="AH441" s="4" t="s">
        <v>47</v>
      </c>
      <c r="AI441" s="4" t="s">
        <v>47</v>
      </c>
      <c r="AJ441" s="4" t="s">
        <v>47</v>
      </c>
      <c r="AK441" s="4" t="s">
        <v>4324</v>
      </c>
      <c r="AL441" s="4" t="s">
        <v>47</v>
      </c>
      <c r="AM441" s="4" t="s">
        <v>47</v>
      </c>
      <c r="AN441" s="4" t="s">
        <v>47</v>
      </c>
      <c r="AO441" s="4" t="s">
        <v>4325</v>
      </c>
      <c r="AP441" s="4" t="s">
        <v>4326</v>
      </c>
      <c r="AQ441" s="4" t="s">
        <v>4327</v>
      </c>
      <c r="AR441" s="4" t="s">
        <v>4328</v>
      </c>
    </row>
    <row r="442" spans="1:44" x14ac:dyDescent="0.2">
      <c r="A442" s="4" t="s">
        <v>95</v>
      </c>
      <c r="B442" s="4" t="s">
        <v>148</v>
      </c>
      <c r="C442">
        <v>0</v>
      </c>
      <c r="F442">
        <v>0</v>
      </c>
      <c r="I442" s="4" t="s">
        <v>2974</v>
      </c>
      <c r="J442" s="4" t="s">
        <v>47</v>
      </c>
      <c r="K442" s="4" t="s">
        <v>4064</v>
      </c>
      <c r="L442" s="4" t="s">
        <v>47</v>
      </c>
      <c r="M442">
        <v>77000</v>
      </c>
      <c r="N442" s="4" t="s">
        <v>3874</v>
      </c>
      <c r="O442" s="4" t="s">
        <v>47</v>
      </c>
      <c r="P442" s="4" t="s">
        <v>811</v>
      </c>
      <c r="Q442" s="9">
        <v>35959</v>
      </c>
      <c r="R442" s="4" t="s">
        <v>869</v>
      </c>
      <c r="S442" s="4" t="s">
        <v>47</v>
      </c>
      <c r="T442" s="4" t="s">
        <v>47</v>
      </c>
      <c r="U442" s="4" t="s">
        <v>87</v>
      </c>
      <c r="V442">
        <v>1998</v>
      </c>
      <c r="W442" s="4" t="s">
        <v>47</v>
      </c>
      <c r="X442" s="4" t="s">
        <v>47</v>
      </c>
      <c r="Y442" s="4" t="s">
        <v>47</v>
      </c>
      <c r="Z442" s="4" t="s">
        <v>47</v>
      </c>
      <c r="AA442" s="4" t="s">
        <v>47</v>
      </c>
      <c r="AB442" s="4" t="s">
        <v>47</v>
      </c>
      <c r="AC442" s="4" t="s">
        <v>47</v>
      </c>
      <c r="AD442" s="4" t="s">
        <v>47</v>
      </c>
      <c r="AE442" s="4" t="s">
        <v>47</v>
      </c>
      <c r="AF442" s="4" t="s">
        <v>47</v>
      </c>
      <c r="AG442" s="4" t="s">
        <v>47</v>
      </c>
      <c r="AH442" s="4" t="s">
        <v>47</v>
      </c>
      <c r="AI442" s="4" t="s">
        <v>47</v>
      </c>
      <c r="AJ442" s="4" t="s">
        <v>47</v>
      </c>
      <c r="AK442" s="4" t="s">
        <v>4329</v>
      </c>
      <c r="AL442" s="4" t="s">
        <v>47</v>
      </c>
      <c r="AM442" s="4" t="s">
        <v>47</v>
      </c>
      <c r="AN442" s="4" t="s">
        <v>47</v>
      </c>
      <c r="AO442" s="4" t="s">
        <v>47</v>
      </c>
      <c r="AP442" s="4" t="s">
        <v>4330</v>
      </c>
      <c r="AQ442" s="4" t="s">
        <v>4331</v>
      </c>
      <c r="AR442" s="4" t="s">
        <v>4332</v>
      </c>
    </row>
    <row r="443" spans="1:44" x14ac:dyDescent="0.2">
      <c r="A443" s="4" t="s">
        <v>202</v>
      </c>
      <c r="B443" s="4" t="s">
        <v>293</v>
      </c>
      <c r="C443">
        <v>0</v>
      </c>
      <c r="F443">
        <v>0</v>
      </c>
      <c r="I443" s="4" t="s">
        <v>3996</v>
      </c>
      <c r="J443" s="4" t="s">
        <v>47</v>
      </c>
      <c r="K443" s="4" t="s">
        <v>4106</v>
      </c>
      <c r="L443" s="4" t="s">
        <v>47</v>
      </c>
      <c r="M443">
        <v>27650</v>
      </c>
      <c r="N443" s="4" t="s">
        <v>3978</v>
      </c>
      <c r="O443" s="4" t="s">
        <v>47</v>
      </c>
      <c r="P443" s="4" t="s">
        <v>811</v>
      </c>
      <c r="Q443" s="9">
        <v>35958</v>
      </c>
      <c r="R443" s="4" t="s">
        <v>869</v>
      </c>
      <c r="S443" s="4" t="s">
        <v>47</v>
      </c>
      <c r="T443" s="4" t="s">
        <v>47</v>
      </c>
      <c r="U443" s="4" t="s">
        <v>87</v>
      </c>
      <c r="V443">
        <v>1998</v>
      </c>
      <c r="W443" s="4" t="s">
        <v>47</v>
      </c>
      <c r="X443" s="4" t="s">
        <v>47</v>
      </c>
      <c r="Y443" s="4" t="s">
        <v>47</v>
      </c>
      <c r="Z443" s="4" t="s">
        <v>47</v>
      </c>
      <c r="AA443" s="4" t="s">
        <v>47</v>
      </c>
      <c r="AB443" s="4" t="s">
        <v>47</v>
      </c>
      <c r="AC443" s="4" t="s">
        <v>47</v>
      </c>
      <c r="AD443" s="4" t="s">
        <v>47</v>
      </c>
      <c r="AE443" s="4" t="s">
        <v>47</v>
      </c>
      <c r="AF443" s="4" t="s">
        <v>47</v>
      </c>
      <c r="AG443" s="4" t="s">
        <v>47</v>
      </c>
      <c r="AH443" s="4" t="s">
        <v>47</v>
      </c>
      <c r="AI443" s="4" t="s">
        <v>47</v>
      </c>
      <c r="AJ443" s="4" t="s">
        <v>47</v>
      </c>
      <c r="AK443" s="4" t="s">
        <v>47</v>
      </c>
      <c r="AL443" s="4" t="s">
        <v>47</v>
      </c>
      <c r="AM443" s="4" t="s">
        <v>47</v>
      </c>
      <c r="AN443" s="4" t="s">
        <v>4333</v>
      </c>
      <c r="AO443" s="4" t="s">
        <v>4334</v>
      </c>
      <c r="AP443" s="4" t="s">
        <v>4335</v>
      </c>
      <c r="AQ443" s="4" t="s">
        <v>4336</v>
      </c>
      <c r="AR443" s="4" t="s">
        <v>4337</v>
      </c>
    </row>
    <row r="444" spans="1:44" x14ac:dyDescent="0.2">
      <c r="A444" s="4" t="s">
        <v>240</v>
      </c>
      <c r="B444" s="4" t="s">
        <v>167</v>
      </c>
      <c r="C444">
        <v>0</v>
      </c>
      <c r="F444">
        <v>1</v>
      </c>
      <c r="I444" s="4" t="s">
        <v>2646</v>
      </c>
      <c r="J444" s="4" t="s">
        <v>47</v>
      </c>
      <c r="K444" s="4" t="s">
        <v>3942</v>
      </c>
      <c r="L444" s="4" t="s">
        <v>47</v>
      </c>
      <c r="M444">
        <v>38100</v>
      </c>
      <c r="N444" s="4" t="s">
        <v>3997</v>
      </c>
      <c r="O444" s="4" t="s">
        <v>47</v>
      </c>
      <c r="P444" s="4" t="s">
        <v>811</v>
      </c>
      <c r="Q444" s="9">
        <v>35958</v>
      </c>
      <c r="R444" s="4" t="s">
        <v>963</v>
      </c>
      <c r="S444" s="4" t="s">
        <v>47</v>
      </c>
      <c r="T444" s="4" t="s">
        <v>47</v>
      </c>
      <c r="U444" s="4" t="s">
        <v>87</v>
      </c>
      <c r="V444">
        <v>1998</v>
      </c>
      <c r="W444" s="4" t="s">
        <v>47</v>
      </c>
      <c r="X444" s="4" t="s">
        <v>4338</v>
      </c>
      <c r="Y444" s="4" t="s">
        <v>47</v>
      </c>
      <c r="Z444" s="4" t="s">
        <v>4339</v>
      </c>
      <c r="AA444" s="4" t="s">
        <v>47</v>
      </c>
      <c r="AB444" s="4" t="s">
        <v>47</v>
      </c>
      <c r="AC444" s="4" t="s">
        <v>47</v>
      </c>
      <c r="AD444" s="4" t="s">
        <v>47</v>
      </c>
      <c r="AE444" s="4" t="s">
        <v>47</v>
      </c>
      <c r="AF444" s="4" t="s">
        <v>47</v>
      </c>
      <c r="AG444" s="4" t="s">
        <v>47</v>
      </c>
      <c r="AH444" s="4" t="s">
        <v>47</v>
      </c>
      <c r="AI444" s="4" t="s">
        <v>47</v>
      </c>
      <c r="AJ444" s="4" t="s">
        <v>47</v>
      </c>
      <c r="AK444" s="4" t="s">
        <v>47</v>
      </c>
      <c r="AL444" s="4" t="s">
        <v>47</v>
      </c>
      <c r="AM444" s="4" t="s">
        <v>47</v>
      </c>
      <c r="AN444" s="4" t="s">
        <v>47</v>
      </c>
      <c r="AO444" s="4" t="s">
        <v>4340</v>
      </c>
      <c r="AP444" s="4" t="s">
        <v>4341</v>
      </c>
      <c r="AQ444" s="4" t="s">
        <v>4342</v>
      </c>
      <c r="AR444" s="4" t="s">
        <v>4343</v>
      </c>
    </row>
    <row r="445" spans="1:44" x14ac:dyDescent="0.2">
      <c r="A445" s="4" t="s">
        <v>87</v>
      </c>
      <c r="B445" s="4" t="s">
        <v>94</v>
      </c>
      <c r="C445">
        <v>3</v>
      </c>
      <c r="F445">
        <v>0</v>
      </c>
      <c r="I445" s="4" t="s">
        <v>3873</v>
      </c>
      <c r="J445" s="4" t="s">
        <v>47</v>
      </c>
      <c r="K445" s="4" t="s">
        <v>3442</v>
      </c>
      <c r="L445" s="4" t="s">
        <v>47</v>
      </c>
      <c r="M445">
        <v>55000</v>
      </c>
      <c r="N445" s="4" t="s">
        <v>3900</v>
      </c>
      <c r="O445" s="4" t="s">
        <v>47</v>
      </c>
      <c r="P445" s="4" t="s">
        <v>811</v>
      </c>
      <c r="Q445" s="9">
        <v>35958</v>
      </c>
      <c r="R445" s="4" t="s">
        <v>638</v>
      </c>
      <c r="S445" s="4" t="s">
        <v>47</v>
      </c>
      <c r="T445" s="4" t="s">
        <v>47</v>
      </c>
      <c r="U445" s="4" t="s">
        <v>87</v>
      </c>
      <c r="V445">
        <v>1998</v>
      </c>
      <c r="W445" s="4" t="s">
        <v>4344</v>
      </c>
      <c r="X445" s="4" t="s">
        <v>47</v>
      </c>
      <c r="Y445" s="4" t="s">
        <v>4345</v>
      </c>
      <c r="Z445" s="4" t="s">
        <v>47</v>
      </c>
      <c r="AA445" s="4" t="s">
        <v>4346</v>
      </c>
      <c r="AB445" s="4" t="s">
        <v>47</v>
      </c>
      <c r="AC445" s="4" t="s">
        <v>47</v>
      </c>
      <c r="AD445" s="4" t="s">
        <v>47</v>
      </c>
      <c r="AE445" s="4" t="s">
        <v>47</v>
      </c>
      <c r="AF445" s="4" t="s">
        <v>47</v>
      </c>
      <c r="AG445" s="4" t="s">
        <v>47</v>
      </c>
      <c r="AH445" s="4" t="s">
        <v>47</v>
      </c>
      <c r="AI445" s="4" t="s">
        <v>47</v>
      </c>
      <c r="AJ445" s="4" t="s">
        <v>47</v>
      </c>
      <c r="AK445" s="4" t="s">
        <v>47</v>
      </c>
      <c r="AL445" s="4" t="s">
        <v>47</v>
      </c>
      <c r="AM445" s="4" t="s">
        <v>47</v>
      </c>
      <c r="AN445" s="4" t="s">
        <v>47</v>
      </c>
      <c r="AO445" s="4" t="s">
        <v>4347</v>
      </c>
      <c r="AP445" s="4" t="s">
        <v>4348</v>
      </c>
      <c r="AQ445" s="4" t="s">
        <v>4349</v>
      </c>
      <c r="AR445" s="4" t="s">
        <v>4350</v>
      </c>
    </row>
    <row r="446" spans="1:44" x14ac:dyDescent="0.2">
      <c r="A446" s="4" t="s">
        <v>97</v>
      </c>
      <c r="B446" s="4" t="s">
        <v>113</v>
      </c>
      <c r="C446">
        <v>2</v>
      </c>
      <c r="F446">
        <v>2</v>
      </c>
      <c r="I446" s="4" t="s">
        <v>3497</v>
      </c>
      <c r="J446" s="4" t="s">
        <v>47</v>
      </c>
      <c r="K446" s="4" t="s">
        <v>4017</v>
      </c>
      <c r="L446" s="4" t="s">
        <v>47</v>
      </c>
      <c r="M446">
        <v>35200</v>
      </c>
      <c r="N446" s="4" t="s">
        <v>3953</v>
      </c>
      <c r="O446" s="4" t="s">
        <v>47</v>
      </c>
      <c r="P446" s="4" t="s">
        <v>811</v>
      </c>
      <c r="Q446" s="9">
        <v>35957</v>
      </c>
      <c r="R446" s="4" t="s">
        <v>1487</v>
      </c>
      <c r="S446" s="4" t="s">
        <v>47</v>
      </c>
      <c r="T446" s="4" t="s">
        <v>47</v>
      </c>
      <c r="U446" s="4" t="s">
        <v>87</v>
      </c>
      <c r="V446">
        <v>1998</v>
      </c>
      <c r="W446" s="4" t="s">
        <v>4351</v>
      </c>
      <c r="X446" s="4" t="s">
        <v>4352</v>
      </c>
      <c r="Y446" s="4" t="s">
        <v>4353</v>
      </c>
      <c r="Z446" s="4" t="s">
        <v>4354</v>
      </c>
      <c r="AA446" s="4" t="s">
        <v>47</v>
      </c>
      <c r="AB446" s="4" t="s">
        <v>47</v>
      </c>
      <c r="AC446" s="4" t="s">
        <v>4355</v>
      </c>
      <c r="AD446" s="4" t="s">
        <v>47</v>
      </c>
      <c r="AE446" s="4" t="s">
        <v>47</v>
      </c>
      <c r="AF446" s="4" t="s">
        <v>47</v>
      </c>
      <c r="AG446" s="4" t="s">
        <v>47</v>
      </c>
      <c r="AH446" s="4" t="s">
        <v>47</v>
      </c>
      <c r="AI446" s="4" t="s">
        <v>47</v>
      </c>
      <c r="AJ446" s="4" t="s">
        <v>47</v>
      </c>
      <c r="AK446" s="4" t="s">
        <v>47</v>
      </c>
      <c r="AL446" s="4" t="s">
        <v>47</v>
      </c>
      <c r="AM446" s="4" t="s">
        <v>47</v>
      </c>
      <c r="AN446" s="4" t="s">
        <v>47</v>
      </c>
      <c r="AO446" s="4" t="s">
        <v>4356</v>
      </c>
      <c r="AP446" s="4" t="s">
        <v>4357</v>
      </c>
      <c r="AQ446" s="4" t="s">
        <v>4358</v>
      </c>
      <c r="AR446" s="4" t="s">
        <v>4359</v>
      </c>
    </row>
    <row r="447" spans="1:44" x14ac:dyDescent="0.2">
      <c r="A447" s="4" t="s">
        <v>209</v>
      </c>
      <c r="B447" s="4" t="s">
        <v>173</v>
      </c>
      <c r="C447">
        <v>1</v>
      </c>
      <c r="F447">
        <v>1</v>
      </c>
      <c r="I447" s="4" t="s">
        <v>4132</v>
      </c>
      <c r="J447" s="4" t="s">
        <v>47</v>
      </c>
      <c r="K447" s="4" t="s">
        <v>4124</v>
      </c>
      <c r="L447" s="4" t="s">
        <v>47</v>
      </c>
      <c r="M447">
        <v>36500</v>
      </c>
      <c r="N447" s="4" t="s">
        <v>3989</v>
      </c>
      <c r="O447" s="4" t="s">
        <v>47</v>
      </c>
      <c r="P447" s="4" t="s">
        <v>811</v>
      </c>
      <c r="Q447" s="9">
        <v>35957</v>
      </c>
      <c r="R447" s="4" t="s">
        <v>1046</v>
      </c>
      <c r="S447" s="4" t="s">
        <v>47</v>
      </c>
      <c r="T447" s="4" t="s">
        <v>47</v>
      </c>
      <c r="U447" s="4" t="s">
        <v>87</v>
      </c>
      <c r="V447">
        <v>1998</v>
      </c>
      <c r="W447" s="4" t="s">
        <v>4360</v>
      </c>
      <c r="X447" s="4" t="s">
        <v>4361</v>
      </c>
      <c r="Y447" s="4" t="s">
        <v>4362</v>
      </c>
      <c r="Z447" s="4" t="s">
        <v>4363</v>
      </c>
      <c r="AA447" s="4" t="s">
        <v>47</v>
      </c>
      <c r="AB447" s="4" t="s">
        <v>47</v>
      </c>
      <c r="AC447" s="4" t="s">
        <v>47</v>
      </c>
      <c r="AD447" s="4" t="s">
        <v>47</v>
      </c>
      <c r="AE447" s="4" t="s">
        <v>47</v>
      </c>
      <c r="AF447" s="4" t="s">
        <v>47</v>
      </c>
      <c r="AG447" s="4" t="s">
        <v>47</v>
      </c>
      <c r="AH447" s="4" t="s">
        <v>47</v>
      </c>
      <c r="AI447" s="4" t="s">
        <v>47</v>
      </c>
      <c r="AJ447" s="4" t="s">
        <v>47</v>
      </c>
      <c r="AK447" s="4" t="s">
        <v>47</v>
      </c>
      <c r="AL447" s="4" t="s">
        <v>47</v>
      </c>
      <c r="AM447" s="4" t="s">
        <v>47</v>
      </c>
      <c r="AN447" s="4" t="s">
        <v>47</v>
      </c>
      <c r="AO447" s="4" t="s">
        <v>4364</v>
      </c>
      <c r="AP447" s="4" t="s">
        <v>4365</v>
      </c>
      <c r="AQ447" s="4" t="s">
        <v>4366</v>
      </c>
      <c r="AR447" s="4" t="s">
        <v>4367</v>
      </c>
    </row>
    <row r="448" spans="1:44" x14ac:dyDescent="0.2">
      <c r="A448" s="4" t="s">
        <v>12</v>
      </c>
      <c r="B448" s="4" t="s">
        <v>205</v>
      </c>
      <c r="C448">
        <v>2</v>
      </c>
      <c r="F448">
        <v>1</v>
      </c>
      <c r="I448" s="4" t="s">
        <v>3872</v>
      </c>
      <c r="J448" s="4" t="s">
        <v>47</v>
      </c>
      <c r="K448" s="4" t="s">
        <v>4149</v>
      </c>
      <c r="L448" s="4" t="s">
        <v>47</v>
      </c>
      <c r="M448">
        <v>80000</v>
      </c>
      <c r="N448" s="4" t="s">
        <v>3874</v>
      </c>
      <c r="O448" s="4" t="s">
        <v>47</v>
      </c>
      <c r="P448" s="4" t="s">
        <v>811</v>
      </c>
      <c r="Q448" s="9">
        <v>35956</v>
      </c>
      <c r="R448" s="4" t="s">
        <v>617</v>
      </c>
      <c r="S448" s="4" t="s">
        <v>47</v>
      </c>
      <c r="T448" s="4" t="s">
        <v>47</v>
      </c>
      <c r="U448" s="4" t="s">
        <v>87</v>
      </c>
      <c r="V448">
        <v>1998</v>
      </c>
      <c r="W448" s="4" t="s">
        <v>4368</v>
      </c>
      <c r="X448" s="4" t="s">
        <v>47</v>
      </c>
      <c r="Y448" s="4" t="s">
        <v>4369</v>
      </c>
      <c r="Z448" s="4" t="s">
        <v>47</v>
      </c>
      <c r="AA448" s="4" t="s">
        <v>4370</v>
      </c>
      <c r="AB448" s="4" t="s">
        <v>47</v>
      </c>
      <c r="AC448" s="4" t="s">
        <v>47</v>
      </c>
      <c r="AD448" s="4" t="s">
        <v>4371</v>
      </c>
      <c r="AE448" s="4" t="s">
        <v>47</v>
      </c>
      <c r="AF448" s="4" t="s">
        <v>47</v>
      </c>
      <c r="AG448" s="4" t="s">
        <v>47</v>
      </c>
      <c r="AH448" s="4" t="s">
        <v>47</v>
      </c>
      <c r="AI448" s="4" t="s">
        <v>47</v>
      </c>
      <c r="AJ448" s="4" t="s">
        <v>47</v>
      </c>
      <c r="AK448" s="4" t="s">
        <v>47</v>
      </c>
      <c r="AL448" s="4" t="s">
        <v>47</v>
      </c>
      <c r="AM448" s="4" t="s">
        <v>47</v>
      </c>
      <c r="AN448" s="4" t="s">
        <v>47</v>
      </c>
      <c r="AO448" s="4" t="s">
        <v>4372</v>
      </c>
      <c r="AP448" s="4" t="s">
        <v>4373</v>
      </c>
      <c r="AQ448" s="4" t="s">
        <v>4374</v>
      </c>
      <c r="AR448" s="4" t="s">
        <v>4375</v>
      </c>
    </row>
    <row r="449" spans="1:44" x14ac:dyDescent="0.2">
      <c r="A449" s="4" t="s">
        <v>144</v>
      </c>
      <c r="B449" s="4" t="s">
        <v>19</v>
      </c>
      <c r="C449">
        <v>2</v>
      </c>
      <c r="F449">
        <v>2</v>
      </c>
      <c r="I449" s="4" t="s">
        <v>3114</v>
      </c>
      <c r="J449" s="4" t="s">
        <v>47</v>
      </c>
      <c r="K449" s="4" t="s">
        <v>4011</v>
      </c>
      <c r="L449" s="4" t="s">
        <v>47</v>
      </c>
      <c r="M449">
        <v>29750</v>
      </c>
      <c r="N449" s="4" t="s">
        <v>3978</v>
      </c>
      <c r="O449" s="4" t="s">
        <v>47</v>
      </c>
      <c r="P449" s="4" t="s">
        <v>811</v>
      </c>
      <c r="Q449" s="9">
        <v>35956</v>
      </c>
      <c r="R449" s="4" t="s">
        <v>1487</v>
      </c>
      <c r="S449" s="4" t="s">
        <v>47</v>
      </c>
      <c r="T449" s="4" t="s">
        <v>47</v>
      </c>
      <c r="U449" s="4" t="s">
        <v>87</v>
      </c>
      <c r="V449">
        <v>1998</v>
      </c>
      <c r="W449" s="4" t="s">
        <v>4376</v>
      </c>
      <c r="X449" s="4" t="s">
        <v>4377</v>
      </c>
      <c r="Y449" s="4" t="s">
        <v>4378</v>
      </c>
      <c r="Z449" s="4" t="s">
        <v>4379</v>
      </c>
      <c r="AA449" s="4" t="s">
        <v>47</v>
      </c>
      <c r="AB449" s="4" t="s">
        <v>4380</v>
      </c>
      <c r="AC449" s="4" t="s">
        <v>47</v>
      </c>
      <c r="AD449" s="4" t="s">
        <v>47</v>
      </c>
      <c r="AE449" s="4" t="s">
        <v>47</v>
      </c>
      <c r="AF449" s="4" t="s">
        <v>47</v>
      </c>
      <c r="AG449" s="4" t="s">
        <v>47</v>
      </c>
      <c r="AH449" s="4" t="s">
        <v>47</v>
      </c>
      <c r="AI449" s="4" t="s">
        <v>47</v>
      </c>
      <c r="AJ449" s="4" t="s">
        <v>47</v>
      </c>
      <c r="AK449" s="4" t="s">
        <v>47</v>
      </c>
      <c r="AL449" s="4" t="s">
        <v>47</v>
      </c>
      <c r="AM449" s="4" t="s">
        <v>47</v>
      </c>
      <c r="AN449" s="4" t="s">
        <v>47</v>
      </c>
      <c r="AO449" s="4" t="s">
        <v>4381</v>
      </c>
      <c r="AP449" s="4" t="s">
        <v>47</v>
      </c>
      <c r="AQ449" s="4" t="s">
        <v>4382</v>
      </c>
      <c r="AR449" s="4" t="s">
        <v>4383</v>
      </c>
    </row>
    <row r="450" spans="1:44" x14ac:dyDescent="0.2">
      <c r="A450" s="4" t="s">
        <v>12</v>
      </c>
      <c r="B450" s="4" t="s">
        <v>97</v>
      </c>
      <c r="C450">
        <v>0</v>
      </c>
      <c r="E450">
        <v>3</v>
      </c>
      <c r="F450">
        <v>0</v>
      </c>
      <c r="H450">
        <v>2</v>
      </c>
      <c r="I450" s="4" t="s">
        <v>2646</v>
      </c>
      <c r="J450" s="4" t="s">
        <v>2461</v>
      </c>
      <c r="K450" s="4" t="s">
        <v>4384</v>
      </c>
      <c r="L450" s="4" t="s">
        <v>4385</v>
      </c>
      <c r="M450">
        <v>94194</v>
      </c>
      <c r="N450" s="4" t="s">
        <v>4386</v>
      </c>
      <c r="O450" s="4" t="s">
        <v>4387</v>
      </c>
      <c r="P450" s="4" t="s">
        <v>593</v>
      </c>
      <c r="Q450" s="9">
        <v>34532</v>
      </c>
      <c r="R450" s="4" t="s">
        <v>4388</v>
      </c>
      <c r="S450" s="4" t="s">
        <v>4389</v>
      </c>
      <c r="T450" s="4" t="s">
        <v>1993</v>
      </c>
      <c r="U450" s="4" t="s">
        <v>102</v>
      </c>
      <c r="V450">
        <v>1994</v>
      </c>
      <c r="W450" s="4" t="s">
        <v>47</v>
      </c>
      <c r="X450" s="4" t="s">
        <v>47</v>
      </c>
      <c r="Y450" s="4" t="s">
        <v>47</v>
      </c>
      <c r="Z450" s="4" t="s">
        <v>47</v>
      </c>
      <c r="AA450" s="4" t="s">
        <v>47</v>
      </c>
      <c r="AB450" s="4" t="s">
        <v>47</v>
      </c>
      <c r="AC450" s="4" t="s">
        <v>47</v>
      </c>
      <c r="AD450" s="4" t="s">
        <v>47</v>
      </c>
      <c r="AE450" s="4" t="s">
        <v>47</v>
      </c>
      <c r="AF450" s="4" t="s">
        <v>47</v>
      </c>
      <c r="AG450" s="4" t="s">
        <v>4390</v>
      </c>
      <c r="AH450" s="4" t="s">
        <v>4391</v>
      </c>
      <c r="AI450" s="4" t="s">
        <v>4392</v>
      </c>
      <c r="AJ450" s="4" t="s">
        <v>4393</v>
      </c>
      <c r="AK450" s="4" t="s">
        <v>47</v>
      </c>
      <c r="AL450" s="4" t="s">
        <v>47</v>
      </c>
      <c r="AM450" s="4" t="s">
        <v>47</v>
      </c>
      <c r="AN450" s="4" t="s">
        <v>47</v>
      </c>
      <c r="AO450" s="4" t="s">
        <v>4394</v>
      </c>
      <c r="AP450" s="4" t="s">
        <v>4395</v>
      </c>
      <c r="AQ450" s="4" t="s">
        <v>4396</v>
      </c>
      <c r="AR450" s="4" t="s">
        <v>4397</v>
      </c>
    </row>
    <row r="451" spans="1:44" x14ac:dyDescent="0.2">
      <c r="A451" s="4" t="s">
        <v>116</v>
      </c>
      <c r="B451" s="4" t="s">
        <v>293</v>
      </c>
      <c r="C451">
        <v>4</v>
      </c>
      <c r="F451">
        <v>0</v>
      </c>
      <c r="I451" s="4" t="s">
        <v>4398</v>
      </c>
      <c r="J451" s="4" t="s">
        <v>4399</v>
      </c>
      <c r="K451" s="4" t="s">
        <v>4400</v>
      </c>
      <c r="L451" s="4" t="s">
        <v>4401</v>
      </c>
      <c r="M451">
        <v>91500</v>
      </c>
      <c r="N451" s="4" t="s">
        <v>4386</v>
      </c>
      <c r="O451" s="4" t="s">
        <v>4402</v>
      </c>
      <c r="P451" s="4" t="s">
        <v>616</v>
      </c>
      <c r="Q451" s="9">
        <v>34531</v>
      </c>
      <c r="R451" s="4" t="s">
        <v>2300</v>
      </c>
      <c r="S451" s="4" t="s">
        <v>4403</v>
      </c>
      <c r="T451" s="4" t="s">
        <v>47</v>
      </c>
      <c r="U451" s="4" t="s">
        <v>102</v>
      </c>
      <c r="V451">
        <v>1994</v>
      </c>
      <c r="W451" s="4" t="s">
        <v>4404</v>
      </c>
      <c r="X451" s="4" t="s">
        <v>47</v>
      </c>
      <c r="Y451" s="4" t="s">
        <v>4405</v>
      </c>
      <c r="Z451" s="4" t="s">
        <v>47</v>
      </c>
      <c r="AA451" s="4" t="s">
        <v>47</v>
      </c>
      <c r="AB451" s="4" t="s">
        <v>47</v>
      </c>
      <c r="AC451" s="4" t="s">
        <v>47</v>
      </c>
      <c r="AD451" s="4" t="s">
        <v>47</v>
      </c>
      <c r="AE451" s="4" t="s">
        <v>47</v>
      </c>
      <c r="AF451" s="4" t="s">
        <v>47</v>
      </c>
      <c r="AG451" s="4" t="s">
        <v>47</v>
      </c>
      <c r="AH451" s="4" t="s">
        <v>47</v>
      </c>
      <c r="AI451" s="4" t="s">
        <v>47</v>
      </c>
      <c r="AJ451" s="4" t="s">
        <v>47</v>
      </c>
      <c r="AK451" s="4" t="s">
        <v>47</v>
      </c>
      <c r="AL451" s="4" t="s">
        <v>47</v>
      </c>
      <c r="AM451" s="4" t="s">
        <v>47</v>
      </c>
      <c r="AN451" s="4" t="s">
        <v>47</v>
      </c>
      <c r="AO451" s="4" t="s">
        <v>4406</v>
      </c>
      <c r="AP451" s="4" t="s">
        <v>4407</v>
      </c>
      <c r="AQ451" s="4" t="s">
        <v>4408</v>
      </c>
      <c r="AR451" s="4" t="s">
        <v>4409</v>
      </c>
    </row>
    <row r="452" spans="1:44" x14ac:dyDescent="0.2">
      <c r="A452" s="4" t="s">
        <v>293</v>
      </c>
      <c r="B452" s="4" t="s">
        <v>97</v>
      </c>
      <c r="C452">
        <v>1</v>
      </c>
      <c r="F452">
        <v>2</v>
      </c>
      <c r="I452" s="4" t="s">
        <v>4400</v>
      </c>
      <c r="J452" s="4" t="s">
        <v>4401</v>
      </c>
      <c r="K452" s="4" t="s">
        <v>4384</v>
      </c>
      <c r="L452" s="4" t="s">
        <v>4410</v>
      </c>
      <c r="M452">
        <v>74110</v>
      </c>
      <c r="N452" s="4" t="s">
        <v>4411</v>
      </c>
      <c r="O452" s="4" t="s">
        <v>4412</v>
      </c>
      <c r="P452" s="4" t="s">
        <v>629</v>
      </c>
      <c r="Q452" s="9">
        <v>34528</v>
      </c>
      <c r="R452" s="4" t="s">
        <v>664</v>
      </c>
      <c r="S452" s="4" t="s">
        <v>4413</v>
      </c>
      <c r="T452" s="4" t="s">
        <v>47</v>
      </c>
      <c r="U452" s="4" t="s">
        <v>102</v>
      </c>
      <c r="V452">
        <v>1994</v>
      </c>
      <c r="W452" s="4" t="s">
        <v>47</v>
      </c>
      <c r="X452" s="4" t="s">
        <v>4414</v>
      </c>
      <c r="Y452" s="4" t="s">
        <v>47</v>
      </c>
      <c r="Z452" s="4" t="s">
        <v>4415</v>
      </c>
      <c r="AA452" s="4" t="s">
        <v>47</v>
      </c>
      <c r="AB452" s="4" t="s">
        <v>47</v>
      </c>
      <c r="AC452" s="4" t="s">
        <v>4416</v>
      </c>
      <c r="AD452" s="4" t="s">
        <v>47</v>
      </c>
      <c r="AE452" s="4" t="s">
        <v>47</v>
      </c>
      <c r="AF452" s="4" t="s">
        <v>47</v>
      </c>
      <c r="AG452" s="4" t="s">
        <v>47</v>
      </c>
      <c r="AH452" s="4" t="s">
        <v>47</v>
      </c>
      <c r="AI452" s="4" t="s">
        <v>47</v>
      </c>
      <c r="AJ452" s="4" t="s">
        <v>47</v>
      </c>
      <c r="AK452" s="4" t="s">
        <v>47</v>
      </c>
      <c r="AL452" s="4" t="s">
        <v>47</v>
      </c>
      <c r="AM452" s="4" t="s">
        <v>47</v>
      </c>
      <c r="AN452" s="4" t="s">
        <v>47</v>
      </c>
      <c r="AO452" s="4" t="s">
        <v>4417</v>
      </c>
      <c r="AP452" s="4" t="s">
        <v>4418</v>
      </c>
      <c r="AQ452" s="4" t="s">
        <v>4419</v>
      </c>
      <c r="AR452" s="4" t="s">
        <v>4420</v>
      </c>
    </row>
    <row r="453" spans="1:44" x14ac:dyDescent="0.2">
      <c r="A453" s="4" t="s">
        <v>116</v>
      </c>
      <c r="B453" s="4" t="s">
        <v>12</v>
      </c>
      <c r="C453">
        <v>0</v>
      </c>
      <c r="F453">
        <v>1</v>
      </c>
      <c r="I453" s="4" t="s">
        <v>4398</v>
      </c>
      <c r="J453" s="4" t="s">
        <v>4421</v>
      </c>
      <c r="K453" s="4" t="s">
        <v>2646</v>
      </c>
      <c r="L453" s="4" t="s">
        <v>2461</v>
      </c>
      <c r="M453">
        <v>91856</v>
      </c>
      <c r="N453" s="4" t="s">
        <v>4386</v>
      </c>
      <c r="O453" s="4" t="s">
        <v>4422</v>
      </c>
      <c r="P453" s="4" t="s">
        <v>629</v>
      </c>
      <c r="Q453" s="9">
        <v>34528</v>
      </c>
      <c r="R453" s="4" t="s">
        <v>963</v>
      </c>
      <c r="S453" s="4" t="s">
        <v>4423</v>
      </c>
      <c r="T453" s="4" t="s">
        <v>47</v>
      </c>
      <c r="U453" s="4" t="s">
        <v>102</v>
      </c>
      <c r="V453">
        <v>1994</v>
      </c>
      <c r="W453" s="4" t="s">
        <v>47</v>
      </c>
      <c r="X453" s="4" t="s">
        <v>4424</v>
      </c>
      <c r="Y453" s="4" t="s">
        <v>47</v>
      </c>
      <c r="Z453" s="4" t="s">
        <v>4425</v>
      </c>
      <c r="AA453" s="4" t="s">
        <v>47</v>
      </c>
      <c r="AB453" s="4" t="s">
        <v>47</v>
      </c>
      <c r="AC453" s="4" t="s">
        <v>47</v>
      </c>
      <c r="AD453" s="4" t="s">
        <v>47</v>
      </c>
      <c r="AE453" s="4" t="s">
        <v>47</v>
      </c>
      <c r="AF453" s="4" t="s">
        <v>47</v>
      </c>
      <c r="AG453" s="4" t="s">
        <v>47</v>
      </c>
      <c r="AH453" s="4" t="s">
        <v>47</v>
      </c>
      <c r="AI453" s="4" t="s">
        <v>47</v>
      </c>
      <c r="AJ453" s="4" t="s">
        <v>47</v>
      </c>
      <c r="AK453" s="4" t="s">
        <v>4426</v>
      </c>
      <c r="AL453" s="4" t="s">
        <v>47</v>
      </c>
      <c r="AM453" s="4" t="s">
        <v>47</v>
      </c>
      <c r="AN453" s="4" t="s">
        <v>47</v>
      </c>
      <c r="AO453" s="4" t="s">
        <v>4427</v>
      </c>
      <c r="AP453" s="4" t="s">
        <v>4428</v>
      </c>
      <c r="AQ453" s="4" t="s">
        <v>4429</v>
      </c>
      <c r="AR453" s="4" t="s">
        <v>4430</v>
      </c>
    </row>
    <row r="454" spans="1:44" x14ac:dyDescent="0.2">
      <c r="A454" s="4" t="s">
        <v>293</v>
      </c>
      <c r="B454" s="4" t="s">
        <v>92</v>
      </c>
      <c r="C454">
        <v>2</v>
      </c>
      <c r="F454">
        <v>1</v>
      </c>
      <c r="I454" s="4" t="s">
        <v>4400</v>
      </c>
      <c r="J454" s="4" t="s">
        <v>4401</v>
      </c>
      <c r="K454" s="4" t="s">
        <v>3923</v>
      </c>
      <c r="L454" s="4" t="s">
        <v>4431</v>
      </c>
      <c r="M454">
        <v>72000</v>
      </c>
      <c r="N454" s="4" t="s">
        <v>4411</v>
      </c>
      <c r="O454" s="4" t="s">
        <v>4432</v>
      </c>
      <c r="P454" s="4" t="s">
        <v>651</v>
      </c>
      <c r="Q454" s="9">
        <v>34525</v>
      </c>
      <c r="R454" s="4" t="s">
        <v>617</v>
      </c>
      <c r="S454" s="4" t="s">
        <v>4423</v>
      </c>
      <c r="T454" s="4" t="s">
        <v>47</v>
      </c>
      <c r="U454" s="4" t="s">
        <v>102</v>
      </c>
      <c r="V454">
        <v>1994</v>
      </c>
      <c r="W454" s="4" t="s">
        <v>4433</v>
      </c>
      <c r="X454" s="4" t="s">
        <v>47</v>
      </c>
      <c r="Y454" s="4" t="s">
        <v>4434</v>
      </c>
      <c r="Z454" s="4" t="s">
        <v>47</v>
      </c>
      <c r="AA454" s="4" t="s">
        <v>47</v>
      </c>
      <c r="AB454" s="4" t="s">
        <v>47</v>
      </c>
      <c r="AC454" s="4" t="s">
        <v>47</v>
      </c>
      <c r="AD454" s="4" t="s">
        <v>4435</v>
      </c>
      <c r="AE454" s="4" t="s">
        <v>47</v>
      </c>
      <c r="AF454" s="4" t="s">
        <v>47</v>
      </c>
      <c r="AG454" s="4" t="s">
        <v>47</v>
      </c>
      <c r="AH454" s="4" t="s">
        <v>47</v>
      </c>
      <c r="AI454" s="4" t="s">
        <v>47</v>
      </c>
      <c r="AJ454" s="4" t="s">
        <v>47</v>
      </c>
      <c r="AK454" s="4" t="s">
        <v>47</v>
      </c>
      <c r="AL454" s="4" t="s">
        <v>47</v>
      </c>
      <c r="AM454" s="4" t="s">
        <v>47</v>
      </c>
      <c r="AN454" s="4" t="s">
        <v>47</v>
      </c>
      <c r="AO454" s="4" t="s">
        <v>4436</v>
      </c>
      <c r="AP454" s="4" t="s">
        <v>4437</v>
      </c>
      <c r="AQ454" s="4" t="s">
        <v>4438</v>
      </c>
      <c r="AR454" s="4" t="s">
        <v>4439</v>
      </c>
    </row>
    <row r="455" spans="1:44" x14ac:dyDescent="0.2">
      <c r="A455" s="4" t="s">
        <v>227</v>
      </c>
      <c r="B455" s="4" t="s">
        <v>116</v>
      </c>
      <c r="C455">
        <v>2</v>
      </c>
      <c r="E455">
        <v>4</v>
      </c>
      <c r="F455">
        <v>2</v>
      </c>
      <c r="H455">
        <v>5</v>
      </c>
      <c r="I455" s="4" t="s">
        <v>4440</v>
      </c>
      <c r="J455" s="4" t="s">
        <v>4441</v>
      </c>
      <c r="K455" s="4" t="s">
        <v>4398</v>
      </c>
      <c r="L455" s="4" t="s">
        <v>4399</v>
      </c>
      <c r="M455">
        <v>83500</v>
      </c>
      <c r="N455" s="4" t="s">
        <v>4442</v>
      </c>
      <c r="O455" s="4" t="s">
        <v>4443</v>
      </c>
      <c r="P455" s="4" t="s">
        <v>651</v>
      </c>
      <c r="Q455" s="9">
        <v>34525</v>
      </c>
      <c r="R455" s="4" t="s">
        <v>4444</v>
      </c>
      <c r="S455" s="4" t="s">
        <v>4445</v>
      </c>
      <c r="T455" s="4" t="s">
        <v>4446</v>
      </c>
      <c r="U455" s="4" t="s">
        <v>102</v>
      </c>
      <c r="V455">
        <v>1994</v>
      </c>
      <c r="W455" s="4" t="s">
        <v>4447</v>
      </c>
      <c r="X455" s="4" t="s">
        <v>4448</v>
      </c>
      <c r="Y455" s="4" t="s">
        <v>4449</v>
      </c>
      <c r="Z455" s="4" t="s">
        <v>4450</v>
      </c>
      <c r="AA455" s="4" t="s">
        <v>47</v>
      </c>
      <c r="AB455" s="4" t="s">
        <v>47</v>
      </c>
      <c r="AC455" s="4" t="s">
        <v>47</v>
      </c>
      <c r="AD455" s="4" t="s">
        <v>47</v>
      </c>
      <c r="AE455" s="4" t="s">
        <v>47</v>
      </c>
      <c r="AF455" s="4" t="s">
        <v>47</v>
      </c>
      <c r="AG455" s="4" t="s">
        <v>4451</v>
      </c>
      <c r="AH455" s="4" t="s">
        <v>4452</v>
      </c>
      <c r="AI455" s="4" t="s">
        <v>4453</v>
      </c>
      <c r="AJ455" s="4" t="s">
        <v>4454</v>
      </c>
      <c r="AK455" s="4" t="s">
        <v>47</v>
      </c>
      <c r="AL455" s="4" t="s">
        <v>47</v>
      </c>
      <c r="AM455" s="4" t="s">
        <v>47</v>
      </c>
      <c r="AN455" s="4" t="s">
        <v>4455</v>
      </c>
      <c r="AO455" s="4" t="s">
        <v>4456</v>
      </c>
      <c r="AP455" s="4" t="s">
        <v>4457</v>
      </c>
      <c r="AQ455" s="4" t="s">
        <v>4458</v>
      </c>
      <c r="AR455" s="4" t="s">
        <v>4459</v>
      </c>
    </row>
    <row r="456" spans="1:44" x14ac:dyDescent="0.2">
      <c r="A456" s="4" t="s">
        <v>97</v>
      </c>
      <c r="B456" s="4" t="s">
        <v>20</v>
      </c>
      <c r="C456">
        <v>2</v>
      </c>
      <c r="F456">
        <v>1</v>
      </c>
      <c r="I456" s="4" t="s">
        <v>4384</v>
      </c>
      <c r="J456" s="4" t="s">
        <v>4410</v>
      </c>
      <c r="K456" s="4" t="s">
        <v>4105</v>
      </c>
      <c r="L456" s="4" t="s">
        <v>4460</v>
      </c>
      <c r="M456">
        <v>53400</v>
      </c>
      <c r="N456" s="4" t="s">
        <v>4461</v>
      </c>
      <c r="O456" s="4" t="s">
        <v>4462</v>
      </c>
      <c r="P456" s="4" t="s">
        <v>651</v>
      </c>
      <c r="Q456" s="9">
        <v>34524</v>
      </c>
      <c r="R456" s="4" t="s">
        <v>617</v>
      </c>
      <c r="S456" s="4" t="s">
        <v>4389</v>
      </c>
      <c r="T456" s="4" t="s">
        <v>47</v>
      </c>
      <c r="U456" s="4" t="s">
        <v>102</v>
      </c>
      <c r="V456">
        <v>1994</v>
      </c>
      <c r="W456" s="4" t="s">
        <v>4463</v>
      </c>
      <c r="X456" s="4" t="s">
        <v>4464</v>
      </c>
      <c r="Y456" s="4" t="s">
        <v>4465</v>
      </c>
      <c r="Z456" s="4" t="s">
        <v>4466</v>
      </c>
      <c r="AA456" s="4" t="s">
        <v>47</v>
      </c>
      <c r="AB456" s="4" t="s">
        <v>47</v>
      </c>
      <c r="AC456" s="4" t="s">
        <v>47</v>
      </c>
      <c r="AD456" s="4" t="s">
        <v>47</v>
      </c>
      <c r="AE456" s="4" t="s">
        <v>47</v>
      </c>
      <c r="AF456" s="4" t="s">
        <v>47</v>
      </c>
      <c r="AG456" s="4" t="s">
        <v>47</v>
      </c>
      <c r="AH456" s="4" t="s">
        <v>47</v>
      </c>
      <c r="AI456" s="4" t="s">
        <v>47</v>
      </c>
      <c r="AJ456" s="4" t="s">
        <v>47</v>
      </c>
      <c r="AK456" s="4" t="s">
        <v>47</v>
      </c>
      <c r="AL456" s="4" t="s">
        <v>47</v>
      </c>
      <c r="AM456" s="4" t="s">
        <v>47</v>
      </c>
      <c r="AN456" s="4" t="s">
        <v>47</v>
      </c>
      <c r="AO456" s="4" t="s">
        <v>47</v>
      </c>
      <c r="AP456" s="4" t="s">
        <v>4467</v>
      </c>
      <c r="AQ456" s="4" t="s">
        <v>4468</v>
      </c>
      <c r="AR456" s="4" t="s">
        <v>4469</v>
      </c>
    </row>
    <row r="457" spans="1:44" x14ac:dyDescent="0.2">
      <c r="A457" s="4" t="s">
        <v>95</v>
      </c>
      <c r="B457" s="4" t="s">
        <v>12</v>
      </c>
      <c r="C457">
        <v>2</v>
      </c>
      <c r="F457">
        <v>3</v>
      </c>
      <c r="I457" s="4" t="s">
        <v>3046</v>
      </c>
      <c r="J457" s="4" t="s">
        <v>4470</v>
      </c>
      <c r="K457" s="4" t="s">
        <v>2646</v>
      </c>
      <c r="L457" s="4" t="s">
        <v>2461</v>
      </c>
      <c r="M457">
        <v>63500</v>
      </c>
      <c r="N457" s="4" t="s">
        <v>4471</v>
      </c>
      <c r="O457" s="4" t="s">
        <v>4472</v>
      </c>
      <c r="P457" s="4" t="s">
        <v>651</v>
      </c>
      <c r="Q457" s="9">
        <v>34524</v>
      </c>
      <c r="R457" s="4" t="s">
        <v>847</v>
      </c>
      <c r="S457" s="4" t="s">
        <v>4473</v>
      </c>
      <c r="T457" s="4" t="s">
        <v>47</v>
      </c>
      <c r="U457" s="4" t="s">
        <v>102</v>
      </c>
      <c r="V457">
        <v>1994</v>
      </c>
      <c r="W457" s="4" t="s">
        <v>4474</v>
      </c>
      <c r="X457" s="4" t="s">
        <v>4475</v>
      </c>
      <c r="Y457" s="4" t="s">
        <v>4476</v>
      </c>
      <c r="Z457" s="4" t="s">
        <v>4477</v>
      </c>
      <c r="AA457" s="4" t="s">
        <v>47</v>
      </c>
      <c r="AB457" s="4" t="s">
        <v>47</v>
      </c>
      <c r="AC457" s="4" t="s">
        <v>47</v>
      </c>
      <c r="AD457" s="4" t="s">
        <v>47</v>
      </c>
      <c r="AE457" s="4" t="s">
        <v>47</v>
      </c>
      <c r="AF457" s="4" t="s">
        <v>47</v>
      </c>
      <c r="AG457" s="4" t="s">
        <v>47</v>
      </c>
      <c r="AH457" s="4" t="s">
        <v>47</v>
      </c>
      <c r="AI457" s="4" t="s">
        <v>47</v>
      </c>
      <c r="AJ457" s="4" t="s">
        <v>47</v>
      </c>
      <c r="AK457" s="4" t="s">
        <v>47</v>
      </c>
      <c r="AL457" s="4" t="s">
        <v>47</v>
      </c>
      <c r="AM457" s="4" t="s">
        <v>47</v>
      </c>
      <c r="AN457" s="4" t="s">
        <v>47</v>
      </c>
      <c r="AO457" s="4" t="s">
        <v>4478</v>
      </c>
      <c r="AP457" s="4" t="s">
        <v>4479</v>
      </c>
      <c r="AQ457" s="4" t="s">
        <v>4480</v>
      </c>
      <c r="AR457" s="4" t="s">
        <v>4481</v>
      </c>
    </row>
    <row r="458" spans="1:44" x14ac:dyDescent="0.2">
      <c r="A458" s="4" t="s">
        <v>177</v>
      </c>
      <c r="B458" s="4" t="s">
        <v>97</v>
      </c>
      <c r="C458">
        <v>1</v>
      </c>
      <c r="F458">
        <v>2</v>
      </c>
      <c r="I458" s="4" t="s">
        <v>4482</v>
      </c>
      <c r="J458" s="4" t="s">
        <v>4483</v>
      </c>
      <c r="K458" s="4" t="s">
        <v>4384</v>
      </c>
      <c r="L458" s="4" t="s">
        <v>4410</v>
      </c>
      <c r="M458">
        <v>54367</v>
      </c>
      <c r="N458" s="4" t="s">
        <v>4461</v>
      </c>
      <c r="O458" s="4" t="s">
        <v>4484</v>
      </c>
      <c r="P458" s="4" t="s">
        <v>714</v>
      </c>
      <c r="Q458" s="9">
        <v>34520</v>
      </c>
      <c r="R458" s="4" t="s">
        <v>664</v>
      </c>
      <c r="S458" s="4" t="s">
        <v>4485</v>
      </c>
      <c r="T458" s="4" t="s">
        <v>1258</v>
      </c>
      <c r="U458" s="4" t="s">
        <v>102</v>
      </c>
      <c r="V458">
        <v>1994</v>
      </c>
      <c r="W458" s="4" t="s">
        <v>4486</v>
      </c>
      <c r="X458" s="4" t="s">
        <v>4487</v>
      </c>
      <c r="Y458" s="4" t="s">
        <v>4488</v>
      </c>
      <c r="Z458" s="4" t="s">
        <v>4489</v>
      </c>
      <c r="AA458" s="4" t="s">
        <v>47</v>
      </c>
      <c r="AB458" s="4" t="s">
        <v>47</v>
      </c>
      <c r="AC458" s="4" t="s">
        <v>47</v>
      </c>
      <c r="AD458" s="4" t="s">
        <v>4490</v>
      </c>
      <c r="AE458" s="4" t="s">
        <v>47</v>
      </c>
      <c r="AF458" s="4" t="s">
        <v>47</v>
      </c>
      <c r="AG458" s="4" t="s">
        <v>47</v>
      </c>
      <c r="AH458" s="4" t="s">
        <v>47</v>
      </c>
      <c r="AI458" s="4" t="s">
        <v>47</v>
      </c>
      <c r="AJ458" s="4" t="s">
        <v>47</v>
      </c>
      <c r="AK458" s="4" t="s">
        <v>47</v>
      </c>
      <c r="AL458" s="4" t="s">
        <v>4491</v>
      </c>
      <c r="AM458" s="4" t="s">
        <v>47</v>
      </c>
      <c r="AN458" s="4" t="s">
        <v>47</v>
      </c>
      <c r="AO458" s="4" t="s">
        <v>4492</v>
      </c>
      <c r="AP458" s="4" t="s">
        <v>4493</v>
      </c>
      <c r="AQ458" s="4" t="s">
        <v>4494</v>
      </c>
      <c r="AR458" s="4" t="s">
        <v>4495</v>
      </c>
    </row>
    <row r="459" spans="1:44" x14ac:dyDescent="0.2">
      <c r="A459" s="4" t="s">
        <v>106</v>
      </c>
      <c r="B459" s="4" t="s">
        <v>293</v>
      </c>
      <c r="C459">
        <v>1</v>
      </c>
      <c r="E459">
        <v>1</v>
      </c>
      <c r="F459">
        <v>1</v>
      </c>
      <c r="H459">
        <v>3</v>
      </c>
      <c r="I459" s="4" t="s">
        <v>4496</v>
      </c>
      <c r="J459" s="4" t="s">
        <v>4497</v>
      </c>
      <c r="K459" s="4" t="s">
        <v>4400</v>
      </c>
      <c r="L459" s="4" t="s">
        <v>4401</v>
      </c>
      <c r="M459">
        <v>71030</v>
      </c>
      <c r="N459" s="4" t="s">
        <v>4411</v>
      </c>
      <c r="O459" s="4" t="s">
        <v>4498</v>
      </c>
      <c r="P459" s="4" t="s">
        <v>714</v>
      </c>
      <c r="Q459" s="9">
        <v>34520</v>
      </c>
      <c r="R459" s="4" t="s">
        <v>740</v>
      </c>
      <c r="S459" s="4" t="s">
        <v>4499</v>
      </c>
      <c r="T459" s="4" t="s">
        <v>4500</v>
      </c>
      <c r="U459" s="4" t="s">
        <v>102</v>
      </c>
      <c r="V459">
        <v>1994</v>
      </c>
      <c r="W459" s="4" t="s">
        <v>47</v>
      </c>
      <c r="X459" s="4" t="s">
        <v>4501</v>
      </c>
      <c r="Y459" s="4" t="s">
        <v>47</v>
      </c>
      <c r="Z459" s="4" t="s">
        <v>4502</v>
      </c>
      <c r="AA459" s="4" t="s">
        <v>47</v>
      </c>
      <c r="AB459" s="4" t="s">
        <v>47</v>
      </c>
      <c r="AC459" s="4" t="s">
        <v>4503</v>
      </c>
      <c r="AD459" s="4" t="s">
        <v>47</v>
      </c>
      <c r="AE459" s="4" t="s">
        <v>47</v>
      </c>
      <c r="AF459" s="4" t="s">
        <v>47</v>
      </c>
      <c r="AG459" s="4" t="s">
        <v>4504</v>
      </c>
      <c r="AH459" s="4" t="s">
        <v>4505</v>
      </c>
      <c r="AI459" s="4" t="s">
        <v>4506</v>
      </c>
      <c r="AJ459" s="4" t="s">
        <v>4507</v>
      </c>
      <c r="AK459" s="4" t="s">
        <v>47</v>
      </c>
      <c r="AL459" s="4" t="s">
        <v>47</v>
      </c>
      <c r="AM459" s="4" t="s">
        <v>4508</v>
      </c>
      <c r="AN459" s="4" t="s">
        <v>4509</v>
      </c>
      <c r="AO459" s="4" t="s">
        <v>4510</v>
      </c>
      <c r="AP459" s="4" t="s">
        <v>4511</v>
      </c>
      <c r="AQ459" s="4" t="s">
        <v>47</v>
      </c>
      <c r="AR459" s="4" t="s">
        <v>4512</v>
      </c>
    </row>
    <row r="460" spans="1:44" x14ac:dyDescent="0.2">
      <c r="A460" s="4" t="s">
        <v>95</v>
      </c>
      <c r="B460" s="4" t="s">
        <v>235</v>
      </c>
      <c r="C460">
        <v>2</v>
      </c>
      <c r="F460">
        <v>0</v>
      </c>
      <c r="I460" s="4" t="s">
        <v>3046</v>
      </c>
      <c r="J460" s="4" t="s">
        <v>4470</v>
      </c>
      <c r="K460" s="4" t="s">
        <v>4513</v>
      </c>
      <c r="L460" s="4" t="s">
        <v>4514</v>
      </c>
      <c r="M460">
        <v>61355</v>
      </c>
      <c r="N460" s="4" t="s">
        <v>4515</v>
      </c>
      <c r="O460" s="4" t="s">
        <v>4516</v>
      </c>
      <c r="P460" s="4" t="s">
        <v>714</v>
      </c>
      <c r="Q460" s="9">
        <v>34519</v>
      </c>
      <c r="R460" s="4" t="s">
        <v>630</v>
      </c>
      <c r="S460" s="4" t="s">
        <v>4517</v>
      </c>
      <c r="T460" s="4" t="s">
        <v>47</v>
      </c>
      <c r="U460" s="4" t="s">
        <v>102</v>
      </c>
      <c r="V460">
        <v>1994</v>
      </c>
      <c r="W460" s="4" t="s">
        <v>4518</v>
      </c>
      <c r="X460" s="4" t="s">
        <v>47</v>
      </c>
      <c r="Y460" s="4" t="s">
        <v>4519</v>
      </c>
      <c r="Z460" s="4" t="s">
        <v>47</v>
      </c>
      <c r="AA460" s="4" t="s">
        <v>47</v>
      </c>
      <c r="AB460" s="4" t="s">
        <v>47</v>
      </c>
      <c r="AC460" s="4" t="s">
        <v>47</v>
      </c>
      <c r="AD460" s="4" t="s">
        <v>47</v>
      </c>
      <c r="AE460" s="4" t="s">
        <v>47</v>
      </c>
      <c r="AF460" s="4" t="s">
        <v>47</v>
      </c>
      <c r="AG460" s="4" t="s">
        <v>47</v>
      </c>
      <c r="AH460" s="4" t="s">
        <v>47</v>
      </c>
      <c r="AI460" s="4" t="s">
        <v>47</v>
      </c>
      <c r="AJ460" s="4" t="s">
        <v>47</v>
      </c>
      <c r="AK460" s="4" t="s">
        <v>47</v>
      </c>
      <c r="AL460" s="4" t="s">
        <v>47</v>
      </c>
      <c r="AM460" s="4" t="s">
        <v>47</v>
      </c>
      <c r="AN460" s="4" t="s">
        <v>47</v>
      </c>
      <c r="AO460" s="4" t="s">
        <v>4520</v>
      </c>
      <c r="AP460" s="4" t="s">
        <v>47</v>
      </c>
      <c r="AQ460" s="4" t="s">
        <v>4521</v>
      </c>
      <c r="AR460" s="4" t="s">
        <v>4522</v>
      </c>
    </row>
    <row r="461" spans="1:44" x14ac:dyDescent="0.2">
      <c r="A461" s="4" t="s">
        <v>12</v>
      </c>
      <c r="B461" s="4" t="s">
        <v>102</v>
      </c>
      <c r="C461">
        <v>1</v>
      </c>
      <c r="F461">
        <v>0</v>
      </c>
      <c r="I461" s="4" t="s">
        <v>2646</v>
      </c>
      <c r="J461" s="4" t="s">
        <v>2461</v>
      </c>
      <c r="K461" s="4" t="s">
        <v>4523</v>
      </c>
      <c r="L461" s="4" t="s">
        <v>4524</v>
      </c>
      <c r="M461">
        <v>84147</v>
      </c>
      <c r="N461" s="4" t="s">
        <v>4442</v>
      </c>
      <c r="O461" s="4" t="s">
        <v>4525</v>
      </c>
      <c r="P461" s="4" t="s">
        <v>714</v>
      </c>
      <c r="Q461" s="9">
        <v>34519</v>
      </c>
      <c r="R461" s="4" t="s">
        <v>652</v>
      </c>
      <c r="S461" s="4" t="s">
        <v>4413</v>
      </c>
      <c r="T461" s="4" t="s">
        <v>47</v>
      </c>
      <c r="U461" s="4" t="s">
        <v>102</v>
      </c>
      <c r="V461">
        <v>1994</v>
      </c>
      <c r="W461" s="4" t="s">
        <v>4526</v>
      </c>
      <c r="X461" s="4" t="s">
        <v>47</v>
      </c>
      <c r="Y461" s="4" t="s">
        <v>4527</v>
      </c>
      <c r="Z461" s="4" t="s">
        <v>47</v>
      </c>
      <c r="AA461" s="4" t="s">
        <v>47</v>
      </c>
      <c r="AB461" s="4" t="s">
        <v>47</v>
      </c>
      <c r="AC461" s="4" t="s">
        <v>47</v>
      </c>
      <c r="AD461" s="4" t="s">
        <v>47</v>
      </c>
      <c r="AE461" s="4" t="s">
        <v>47</v>
      </c>
      <c r="AF461" s="4" t="s">
        <v>47</v>
      </c>
      <c r="AG461" s="4" t="s">
        <v>47</v>
      </c>
      <c r="AH461" s="4" t="s">
        <v>47</v>
      </c>
      <c r="AI461" s="4" t="s">
        <v>47</v>
      </c>
      <c r="AJ461" s="4" t="s">
        <v>47</v>
      </c>
      <c r="AK461" s="4" t="s">
        <v>4528</v>
      </c>
      <c r="AL461" s="4" t="s">
        <v>47</v>
      </c>
      <c r="AM461" s="4" t="s">
        <v>47</v>
      </c>
      <c r="AN461" s="4" t="s">
        <v>4529</v>
      </c>
      <c r="AO461" s="4" t="s">
        <v>4530</v>
      </c>
      <c r="AP461" s="4" t="s">
        <v>4531</v>
      </c>
      <c r="AQ461" s="4" t="s">
        <v>4532</v>
      </c>
      <c r="AR461" s="4" t="s">
        <v>4533</v>
      </c>
    </row>
    <row r="462" spans="1:44" x14ac:dyDescent="0.2">
      <c r="A462" s="4" t="s">
        <v>240</v>
      </c>
      <c r="B462" s="4" t="s">
        <v>116</v>
      </c>
      <c r="C462">
        <v>1</v>
      </c>
      <c r="F462">
        <v>3</v>
      </c>
      <c r="I462" s="4" t="s">
        <v>4534</v>
      </c>
      <c r="J462" s="4" t="s">
        <v>4535</v>
      </c>
      <c r="K462" s="4" t="s">
        <v>4398</v>
      </c>
      <c r="L462" s="4" t="s">
        <v>4421</v>
      </c>
      <c r="M462">
        <v>60277</v>
      </c>
      <c r="N462" s="4" t="s">
        <v>4471</v>
      </c>
      <c r="O462" s="4" t="s">
        <v>4536</v>
      </c>
      <c r="P462" s="4" t="s">
        <v>714</v>
      </c>
      <c r="Q462" s="9">
        <v>34518</v>
      </c>
      <c r="R462" s="4" t="s">
        <v>1098</v>
      </c>
      <c r="S462" s="4" t="s">
        <v>4537</v>
      </c>
      <c r="T462" s="4" t="s">
        <v>47</v>
      </c>
      <c r="U462" s="4" t="s">
        <v>102</v>
      </c>
      <c r="V462">
        <v>1994</v>
      </c>
      <c r="W462" s="4" t="s">
        <v>4538</v>
      </c>
      <c r="X462" s="4" t="s">
        <v>4539</v>
      </c>
      <c r="Y462" s="4" t="s">
        <v>4540</v>
      </c>
      <c r="Z462" s="4" t="s">
        <v>4541</v>
      </c>
      <c r="AA462" s="4" t="s">
        <v>47</v>
      </c>
      <c r="AB462" s="4" t="s">
        <v>47</v>
      </c>
      <c r="AC462" s="4" t="s">
        <v>47</v>
      </c>
      <c r="AD462" s="4" t="s">
        <v>47</v>
      </c>
      <c r="AE462" s="4" t="s">
        <v>47</v>
      </c>
      <c r="AF462" s="4" t="s">
        <v>47</v>
      </c>
      <c r="AG462" s="4" t="s">
        <v>47</v>
      </c>
      <c r="AH462" s="4" t="s">
        <v>47</v>
      </c>
      <c r="AI462" s="4" t="s">
        <v>47</v>
      </c>
      <c r="AJ462" s="4" t="s">
        <v>47</v>
      </c>
      <c r="AK462" s="4" t="s">
        <v>47</v>
      </c>
      <c r="AL462" s="4" t="s">
        <v>47</v>
      </c>
      <c r="AM462" s="4" t="s">
        <v>47</v>
      </c>
      <c r="AN462" s="4" t="s">
        <v>47</v>
      </c>
      <c r="AO462" s="4" t="s">
        <v>4542</v>
      </c>
      <c r="AP462" s="4" t="s">
        <v>4543</v>
      </c>
      <c r="AQ462" s="4" t="s">
        <v>4544</v>
      </c>
      <c r="AR462" s="4" t="s">
        <v>4545</v>
      </c>
    </row>
    <row r="463" spans="1:44" x14ac:dyDescent="0.2">
      <c r="A463" s="4" t="s">
        <v>227</v>
      </c>
      <c r="B463" s="4" t="s">
        <v>26</v>
      </c>
      <c r="C463">
        <v>3</v>
      </c>
      <c r="F463">
        <v>2</v>
      </c>
      <c r="I463" s="4" t="s">
        <v>4440</v>
      </c>
      <c r="J463" s="4" t="s">
        <v>4441</v>
      </c>
      <c r="K463" s="4" t="s">
        <v>4546</v>
      </c>
      <c r="L463" s="4" t="s">
        <v>4547</v>
      </c>
      <c r="M463">
        <v>90469</v>
      </c>
      <c r="N463" s="4" t="s">
        <v>4386</v>
      </c>
      <c r="O463" s="4" t="s">
        <v>4548</v>
      </c>
      <c r="P463" s="4" t="s">
        <v>714</v>
      </c>
      <c r="Q463" s="9">
        <v>34518</v>
      </c>
      <c r="R463" s="4" t="s">
        <v>1130</v>
      </c>
      <c r="S463" s="4" t="s">
        <v>4549</v>
      </c>
      <c r="T463" s="4" t="s">
        <v>47</v>
      </c>
      <c r="U463" s="4" t="s">
        <v>102</v>
      </c>
      <c r="V463">
        <v>1994</v>
      </c>
      <c r="W463" s="4" t="s">
        <v>4550</v>
      </c>
      <c r="X463" s="4" t="s">
        <v>4551</v>
      </c>
      <c r="Y463" s="4" t="s">
        <v>4552</v>
      </c>
      <c r="Z463" s="4" t="s">
        <v>4553</v>
      </c>
      <c r="AA463" s="4" t="s">
        <v>47</v>
      </c>
      <c r="AB463" s="4" t="s">
        <v>47</v>
      </c>
      <c r="AC463" s="4" t="s">
        <v>47</v>
      </c>
      <c r="AD463" s="4" t="s">
        <v>4554</v>
      </c>
      <c r="AE463" s="4" t="s">
        <v>47</v>
      </c>
      <c r="AF463" s="4" t="s">
        <v>47</v>
      </c>
      <c r="AG463" s="4" t="s">
        <v>47</v>
      </c>
      <c r="AH463" s="4" t="s">
        <v>47</v>
      </c>
      <c r="AI463" s="4" t="s">
        <v>47</v>
      </c>
      <c r="AJ463" s="4" t="s">
        <v>47</v>
      </c>
      <c r="AK463" s="4" t="s">
        <v>47</v>
      </c>
      <c r="AL463" s="4" t="s">
        <v>47</v>
      </c>
      <c r="AM463" s="4" t="s">
        <v>47</v>
      </c>
      <c r="AN463" s="4" t="s">
        <v>47</v>
      </c>
      <c r="AO463" s="4" t="s">
        <v>4555</v>
      </c>
      <c r="AP463" s="4" t="s">
        <v>4556</v>
      </c>
      <c r="AQ463" s="4" t="s">
        <v>4557</v>
      </c>
      <c r="AR463" s="4" t="s">
        <v>4558</v>
      </c>
    </row>
    <row r="464" spans="1:44" x14ac:dyDescent="0.2">
      <c r="A464" s="4" t="s">
        <v>92</v>
      </c>
      <c r="B464" s="4" t="s">
        <v>148</v>
      </c>
      <c r="C464">
        <v>3</v>
      </c>
      <c r="F464">
        <v>2</v>
      </c>
      <c r="I464" s="4" t="s">
        <v>3923</v>
      </c>
      <c r="J464" s="4" t="s">
        <v>4431</v>
      </c>
      <c r="K464" s="4" t="s">
        <v>4559</v>
      </c>
      <c r="L464" s="4" t="s">
        <v>4560</v>
      </c>
      <c r="M464">
        <v>60246</v>
      </c>
      <c r="N464" s="4" t="s">
        <v>4561</v>
      </c>
      <c r="O464" s="4" t="s">
        <v>4562</v>
      </c>
      <c r="P464" s="4" t="s">
        <v>714</v>
      </c>
      <c r="Q464" s="9">
        <v>34517</v>
      </c>
      <c r="R464" s="4" t="s">
        <v>1130</v>
      </c>
      <c r="S464" s="4" t="s">
        <v>4563</v>
      </c>
      <c r="T464" s="4" t="s">
        <v>47</v>
      </c>
      <c r="U464" s="4" t="s">
        <v>102</v>
      </c>
      <c r="V464">
        <v>1994</v>
      </c>
      <c r="W464" s="4" t="s">
        <v>4564</v>
      </c>
      <c r="X464" s="4" t="s">
        <v>4565</v>
      </c>
      <c r="Y464" s="4" t="s">
        <v>4566</v>
      </c>
      <c r="Z464" s="4" t="s">
        <v>4567</v>
      </c>
      <c r="AA464" s="4" t="s">
        <v>47</v>
      </c>
      <c r="AB464" s="4" t="s">
        <v>47</v>
      </c>
      <c r="AC464" s="4" t="s">
        <v>47</v>
      </c>
      <c r="AD464" s="4" t="s">
        <v>47</v>
      </c>
      <c r="AE464" s="4" t="s">
        <v>47</v>
      </c>
      <c r="AF464" s="4" t="s">
        <v>47</v>
      </c>
      <c r="AG464" s="4" t="s">
        <v>47</v>
      </c>
      <c r="AH464" s="4" t="s">
        <v>47</v>
      </c>
      <c r="AI464" s="4" t="s">
        <v>47</v>
      </c>
      <c r="AJ464" s="4" t="s">
        <v>47</v>
      </c>
      <c r="AK464" s="4" t="s">
        <v>47</v>
      </c>
      <c r="AL464" s="4" t="s">
        <v>47</v>
      </c>
      <c r="AM464" s="4" t="s">
        <v>47</v>
      </c>
      <c r="AN464" s="4" t="s">
        <v>47</v>
      </c>
      <c r="AO464" s="4" t="s">
        <v>4568</v>
      </c>
      <c r="AP464" s="4" t="s">
        <v>4569</v>
      </c>
      <c r="AQ464" s="4" t="s">
        <v>4570</v>
      </c>
      <c r="AR464" s="4" t="s">
        <v>4571</v>
      </c>
    </row>
    <row r="465" spans="1:44" x14ac:dyDescent="0.2">
      <c r="A465" s="4" t="s">
        <v>20</v>
      </c>
      <c r="B465" s="4" t="s">
        <v>118</v>
      </c>
      <c r="C465">
        <v>3</v>
      </c>
      <c r="F465">
        <v>0</v>
      </c>
      <c r="I465" s="4" t="s">
        <v>4105</v>
      </c>
      <c r="J465" s="4" t="s">
        <v>4460</v>
      </c>
      <c r="K465" s="4" t="s">
        <v>2083</v>
      </c>
      <c r="L465" s="4" t="s">
        <v>4572</v>
      </c>
      <c r="M465">
        <v>53121</v>
      </c>
      <c r="N465" s="4" t="s">
        <v>4573</v>
      </c>
      <c r="O465" s="4" t="s">
        <v>4574</v>
      </c>
      <c r="P465" s="4" t="s">
        <v>714</v>
      </c>
      <c r="Q465" s="9">
        <v>34517</v>
      </c>
      <c r="R465" s="4" t="s">
        <v>638</v>
      </c>
      <c r="S465" s="4" t="s">
        <v>4575</v>
      </c>
      <c r="T465" s="4" t="s">
        <v>47</v>
      </c>
      <c r="U465" s="4" t="s">
        <v>102</v>
      </c>
      <c r="V465">
        <v>1994</v>
      </c>
      <c r="W465" s="4" t="s">
        <v>4576</v>
      </c>
      <c r="X465" s="4" t="s">
        <v>47</v>
      </c>
      <c r="Y465" s="4" t="s">
        <v>4577</v>
      </c>
      <c r="Z465" s="4" t="s">
        <v>47</v>
      </c>
      <c r="AA465" s="4" t="s">
        <v>47</v>
      </c>
      <c r="AB465" s="4" t="s">
        <v>47</v>
      </c>
      <c r="AC465" s="4" t="s">
        <v>4578</v>
      </c>
      <c r="AD465" s="4" t="s">
        <v>47</v>
      </c>
      <c r="AE465" s="4" t="s">
        <v>47</v>
      </c>
      <c r="AF465" s="4" t="s">
        <v>47</v>
      </c>
      <c r="AG465" s="4" t="s">
        <v>47</v>
      </c>
      <c r="AH465" s="4" t="s">
        <v>47</v>
      </c>
      <c r="AI465" s="4" t="s">
        <v>47</v>
      </c>
      <c r="AJ465" s="4" t="s">
        <v>47</v>
      </c>
      <c r="AK465" s="4" t="s">
        <v>47</v>
      </c>
      <c r="AL465" s="4" t="s">
        <v>47</v>
      </c>
      <c r="AM465" s="4" t="s">
        <v>47</v>
      </c>
      <c r="AN465" s="4" t="s">
        <v>47</v>
      </c>
      <c r="AO465" s="4" t="s">
        <v>4579</v>
      </c>
      <c r="AP465" s="4" t="s">
        <v>4580</v>
      </c>
      <c r="AQ465" s="4" t="s">
        <v>4581</v>
      </c>
      <c r="AR465" s="4" t="s">
        <v>4582</v>
      </c>
    </row>
    <row r="466" spans="1:44" x14ac:dyDescent="0.2">
      <c r="A466" s="4" t="s">
        <v>217</v>
      </c>
      <c r="B466" s="4" t="s">
        <v>177</v>
      </c>
      <c r="C466">
        <v>0</v>
      </c>
      <c r="F466">
        <v>2</v>
      </c>
      <c r="I466" s="4" t="s">
        <v>4583</v>
      </c>
      <c r="J466" s="4" t="s">
        <v>4584</v>
      </c>
      <c r="K466" s="4" t="s">
        <v>4482</v>
      </c>
      <c r="L466" s="4" t="s">
        <v>1944</v>
      </c>
      <c r="M466">
        <v>53001</v>
      </c>
      <c r="N466" s="4" t="s">
        <v>4461</v>
      </c>
      <c r="O466" s="4" t="s">
        <v>4585</v>
      </c>
      <c r="P466" s="4" t="s">
        <v>811</v>
      </c>
      <c r="Q466" s="9">
        <v>34515</v>
      </c>
      <c r="R466" s="4" t="s">
        <v>824</v>
      </c>
      <c r="S466" s="4" t="s">
        <v>4586</v>
      </c>
      <c r="T466" s="4" t="s">
        <v>47</v>
      </c>
      <c r="U466" s="4" t="s">
        <v>102</v>
      </c>
      <c r="V466">
        <v>1994</v>
      </c>
      <c r="W466" s="4" t="s">
        <v>47</v>
      </c>
      <c r="X466" s="4" t="s">
        <v>4587</v>
      </c>
      <c r="Y466" s="4" t="s">
        <v>47</v>
      </c>
      <c r="Z466" s="4" t="s">
        <v>4588</v>
      </c>
      <c r="AA466" s="4" t="s">
        <v>47</v>
      </c>
      <c r="AB466" s="4" t="s">
        <v>47</v>
      </c>
      <c r="AC466" s="4" t="s">
        <v>47</v>
      </c>
      <c r="AD466" s="4" t="s">
        <v>47</v>
      </c>
      <c r="AE466" s="4" t="s">
        <v>47</v>
      </c>
      <c r="AF466" s="4" t="s">
        <v>47</v>
      </c>
      <c r="AG466" s="4" t="s">
        <v>47</v>
      </c>
      <c r="AH466" s="4" t="s">
        <v>47</v>
      </c>
      <c r="AI466" s="4" t="s">
        <v>47</v>
      </c>
      <c r="AJ466" s="4" t="s">
        <v>47</v>
      </c>
      <c r="AK466" s="4" t="s">
        <v>47</v>
      </c>
      <c r="AL466" s="4" t="s">
        <v>47</v>
      </c>
      <c r="AM466" s="4" t="s">
        <v>47</v>
      </c>
      <c r="AN466" s="4" t="s">
        <v>47</v>
      </c>
      <c r="AO466" s="4" t="s">
        <v>4589</v>
      </c>
      <c r="AP466" s="4" t="s">
        <v>4590</v>
      </c>
      <c r="AQ466" s="4" t="s">
        <v>4591</v>
      </c>
      <c r="AR466" s="4" t="s">
        <v>4592</v>
      </c>
    </row>
    <row r="467" spans="1:44" x14ac:dyDescent="0.2">
      <c r="A467" s="4" t="s">
        <v>26</v>
      </c>
      <c r="B467" s="4" t="s">
        <v>293</v>
      </c>
      <c r="C467">
        <v>0</v>
      </c>
      <c r="F467">
        <v>2</v>
      </c>
      <c r="I467" s="4" t="s">
        <v>4546</v>
      </c>
      <c r="J467" s="4" t="s">
        <v>4547</v>
      </c>
      <c r="K467" s="4" t="s">
        <v>4400</v>
      </c>
      <c r="L467" s="4" t="s">
        <v>4401</v>
      </c>
      <c r="M467">
        <v>63998</v>
      </c>
      <c r="N467" s="4" t="s">
        <v>4471</v>
      </c>
      <c r="O467" s="4" t="s">
        <v>4593</v>
      </c>
      <c r="P467" s="4" t="s">
        <v>811</v>
      </c>
      <c r="Q467" s="9">
        <v>34515</v>
      </c>
      <c r="R467" s="4" t="s">
        <v>824</v>
      </c>
      <c r="S467" s="4" t="s">
        <v>4594</v>
      </c>
      <c r="T467" s="4" t="s">
        <v>47</v>
      </c>
      <c r="U467" s="4" t="s">
        <v>102</v>
      </c>
      <c r="V467">
        <v>1994</v>
      </c>
      <c r="W467" s="4" t="s">
        <v>47</v>
      </c>
      <c r="X467" s="4" t="s">
        <v>4595</v>
      </c>
      <c r="Y467" s="4" t="s">
        <v>47</v>
      </c>
      <c r="Z467" s="4" t="s">
        <v>4596</v>
      </c>
      <c r="AA467" s="4" t="s">
        <v>47</v>
      </c>
      <c r="AB467" s="4" t="s">
        <v>47</v>
      </c>
      <c r="AC467" s="4" t="s">
        <v>47</v>
      </c>
      <c r="AD467" s="4" t="s">
        <v>47</v>
      </c>
      <c r="AE467" s="4" t="s">
        <v>47</v>
      </c>
      <c r="AF467" s="4" t="s">
        <v>47</v>
      </c>
      <c r="AG467" s="4" t="s">
        <v>47</v>
      </c>
      <c r="AH467" s="4" t="s">
        <v>47</v>
      </c>
      <c r="AI467" s="4" t="s">
        <v>47</v>
      </c>
      <c r="AJ467" s="4" t="s">
        <v>47</v>
      </c>
      <c r="AK467" s="4" t="s">
        <v>47</v>
      </c>
      <c r="AL467" s="4" t="s">
        <v>47</v>
      </c>
      <c r="AM467" s="4" t="s">
        <v>47</v>
      </c>
      <c r="AN467" s="4" t="s">
        <v>4597</v>
      </c>
      <c r="AO467" s="4" t="s">
        <v>4598</v>
      </c>
      <c r="AP467" s="4" t="s">
        <v>4599</v>
      </c>
      <c r="AQ467" s="4" t="s">
        <v>4600</v>
      </c>
      <c r="AR467" s="4" t="s">
        <v>4601</v>
      </c>
    </row>
    <row r="468" spans="1:44" x14ac:dyDescent="0.2">
      <c r="A468" s="4" t="s">
        <v>144</v>
      </c>
      <c r="B468" s="4" t="s">
        <v>95</v>
      </c>
      <c r="C468">
        <v>1</v>
      </c>
      <c r="F468">
        <v>2</v>
      </c>
      <c r="I468" s="4" t="s">
        <v>4602</v>
      </c>
      <c r="J468" s="4" t="s">
        <v>4603</v>
      </c>
      <c r="K468" s="4" t="s">
        <v>3046</v>
      </c>
      <c r="L468" s="4" t="s">
        <v>4470</v>
      </c>
      <c r="M468">
        <v>60578</v>
      </c>
      <c r="N468" s="4" t="s">
        <v>4515</v>
      </c>
      <c r="O468" s="4" t="s">
        <v>4604</v>
      </c>
      <c r="P468" s="4" t="s">
        <v>811</v>
      </c>
      <c r="Q468" s="9">
        <v>34514</v>
      </c>
      <c r="R468" s="4" t="s">
        <v>664</v>
      </c>
      <c r="S468" s="4" t="s">
        <v>4605</v>
      </c>
      <c r="T468" s="4" t="s">
        <v>47</v>
      </c>
      <c r="U468" s="4" t="s">
        <v>102</v>
      </c>
      <c r="V468">
        <v>1994</v>
      </c>
      <c r="W468" s="4" t="s">
        <v>4606</v>
      </c>
      <c r="X468" s="4" t="s">
        <v>4607</v>
      </c>
      <c r="Y468" s="4" t="s">
        <v>4608</v>
      </c>
      <c r="Z468" s="4" t="s">
        <v>4609</v>
      </c>
      <c r="AA468" s="4" t="s">
        <v>47</v>
      </c>
      <c r="AB468" s="4" t="s">
        <v>47</v>
      </c>
      <c r="AC468" s="4" t="s">
        <v>47</v>
      </c>
      <c r="AD468" s="4" t="s">
        <v>47</v>
      </c>
      <c r="AE468" s="4" t="s">
        <v>47</v>
      </c>
      <c r="AF468" s="4" t="s">
        <v>47</v>
      </c>
      <c r="AG468" s="4" t="s">
        <v>47</v>
      </c>
      <c r="AH468" s="4" t="s">
        <v>47</v>
      </c>
      <c r="AI468" s="4" t="s">
        <v>47</v>
      </c>
      <c r="AJ468" s="4" t="s">
        <v>47</v>
      </c>
      <c r="AK468" s="4" t="s">
        <v>47</v>
      </c>
      <c r="AL468" s="4" t="s">
        <v>47</v>
      </c>
      <c r="AM468" s="4" t="s">
        <v>47</v>
      </c>
      <c r="AN468" s="4" t="s">
        <v>47</v>
      </c>
      <c r="AO468" s="4" t="s">
        <v>4610</v>
      </c>
      <c r="AP468" s="4" t="s">
        <v>4611</v>
      </c>
      <c r="AQ468" s="4" t="s">
        <v>4612</v>
      </c>
      <c r="AR468" s="4" t="s">
        <v>4613</v>
      </c>
    </row>
    <row r="469" spans="1:44" x14ac:dyDescent="0.2">
      <c r="A469" s="4" t="s">
        <v>148</v>
      </c>
      <c r="B469" s="4" t="s">
        <v>240</v>
      </c>
      <c r="C469">
        <v>0</v>
      </c>
      <c r="F469">
        <v>1</v>
      </c>
      <c r="I469" s="4" t="s">
        <v>4559</v>
      </c>
      <c r="J469" s="4" t="s">
        <v>4614</v>
      </c>
      <c r="K469" s="4" t="s">
        <v>4534</v>
      </c>
      <c r="L469" s="4" t="s">
        <v>4615</v>
      </c>
      <c r="M469">
        <v>52959</v>
      </c>
      <c r="N469" s="4" t="s">
        <v>4573</v>
      </c>
      <c r="O469" s="4" t="s">
        <v>4616</v>
      </c>
      <c r="P469" s="4" t="s">
        <v>811</v>
      </c>
      <c r="Q469" s="9">
        <v>34514</v>
      </c>
      <c r="R469" s="4" t="s">
        <v>963</v>
      </c>
      <c r="S469" s="4" t="s">
        <v>4617</v>
      </c>
      <c r="T469" s="4" t="s">
        <v>47</v>
      </c>
      <c r="U469" s="4" t="s">
        <v>102</v>
      </c>
      <c r="V469">
        <v>1994</v>
      </c>
      <c r="W469" s="4" t="s">
        <v>47</v>
      </c>
      <c r="X469" s="4" t="s">
        <v>4618</v>
      </c>
      <c r="Y469" s="4" t="s">
        <v>47</v>
      </c>
      <c r="Z469" s="4" t="s">
        <v>4619</v>
      </c>
      <c r="AA469" s="4" t="s">
        <v>47</v>
      </c>
      <c r="AB469" s="4" t="s">
        <v>47</v>
      </c>
      <c r="AC469" s="4" t="s">
        <v>47</v>
      </c>
      <c r="AD469" s="4" t="s">
        <v>47</v>
      </c>
      <c r="AE469" s="4" t="s">
        <v>47</v>
      </c>
      <c r="AF469" s="4" t="s">
        <v>47</v>
      </c>
      <c r="AG469" s="4" t="s">
        <v>47</v>
      </c>
      <c r="AH469" s="4" t="s">
        <v>47</v>
      </c>
      <c r="AI469" s="4" t="s">
        <v>47</v>
      </c>
      <c r="AJ469" s="4" t="s">
        <v>47</v>
      </c>
      <c r="AK469" s="4" t="s">
        <v>47</v>
      </c>
      <c r="AL469" s="4" t="s">
        <v>47</v>
      </c>
      <c r="AM469" s="4" t="s">
        <v>47</v>
      </c>
      <c r="AN469" s="4" t="s">
        <v>47</v>
      </c>
      <c r="AO469" s="4" t="s">
        <v>4620</v>
      </c>
      <c r="AP469" s="4" t="s">
        <v>4621</v>
      </c>
      <c r="AQ469" s="4" t="s">
        <v>4622</v>
      </c>
      <c r="AR469" s="4" t="s">
        <v>4623</v>
      </c>
    </row>
    <row r="470" spans="1:44" x14ac:dyDescent="0.2">
      <c r="A470" s="4" t="s">
        <v>97</v>
      </c>
      <c r="B470" s="4" t="s">
        <v>106</v>
      </c>
      <c r="C470">
        <v>1</v>
      </c>
      <c r="F470">
        <v>1</v>
      </c>
      <c r="I470" s="4" t="s">
        <v>4384</v>
      </c>
      <c r="J470" s="4" t="s">
        <v>4410</v>
      </c>
      <c r="K470" s="4" t="s">
        <v>4496</v>
      </c>
      <c r="L470" s="4" t="s">
        <v>4497</v>
      </c>
      <c r="M470">
        <v>52535</v>
      </c>
      <c r="N470" s="4" t="s">
        <v>4573</v>
      </c>
      <c r="O470" s="4" t="s">
        <v>4624</v>
      </c>
      <c r="P470" s="4" t="s">
        <v>811</v>
      </c>
      <c r="Q470" s="9">
        <v>34513</v>
      </c>
      <c r="R470" s="4" t="s">
        <v>1046</v>
      </c>
      <c r="S470" s="4" t="s">
        <v>4625</v>
      </c>
      <c r="T470" s="4" t="s">
        <v>47</v>
      </c>
      <c r="U470" s="4" t="s">
        <v>102</v>
      </c>
      <c r="V470">
        <v>1994</v>
      </c>
      <c r="W470" s="4" t="s">
        <v>4626</v>
      </c>
      <c r="X470" s="4" t="s">
        <v>4627</v>
      </c>
      <c r="Y470" s="4" t="s">
        <v>4628</v>
      </c>
      <c r="Z470" s="4" t="s">
        <v>4629</v>
      </c>
      <c r="AA470" s="4" t="s">
        <v>47</v>
      </c>
      <c r="AB470" s="4" t="s">
        <v>47</v>
      </c>
      <c r="AC470" s="4" t="s">
        <v>47</v>
      </c>
      <c r="AD470" s="4" t="s">
        <v>47</v>
      </c>
      <c r="AE470" s="4" t="s">
        <v>47</v>
      </c>
      <c r="AF470" s="4" t="s">
        <v>47</v>
      </c>
      <c r="AG470" s="4" t="s">
        <v>47</v>
      </c>
      <c r="AH470" s="4" t="s">
        <v>47</v>
      </c>
      <c r="AI470" s="4" t="s">
        <v>47</v>
      </c>
      <c r="AJ470" s="4" t="s">
        <v>47</v>
      </c>
      <c r="AK470" s="4" t="s">
        <v>47</v>
      </c>
      <c r="AL470" s="4" t="s">
        <v>47</v>
      </c>
      <c r="AM470" s="4" t="s">
        <v>47</v>
      </c>
      <c r="AN470" s="4" t="s">
        <v>47</v>
      </c>
      <c r="AO470" s="4" t="s">
        <v>4630</v>
      </c>
      <c r="AP470" s="4" t="s">
        <v>4631</v>
      </c>
      <c r="AQ470" s="4" t="s">
        <v>4632</v>
      </c>
      <c r="AR470" s="4" t="s">
        <v>4633</v>
      </c>
    </row>
    <row r="471" spans="1:44" x14ac:dyDescent="0.2">
      <c r="A471" s="4" t="s">
        <v>235</v>
      </c>
      <c r="B471" s="4" t="s">
        <v>19</v>
      </c>
      <c r="C471">
        <v>0</v>
      </c>
      <c r="F471">
        <v>0</v>
      </c>
      <c r="I471" s="4" t="s">
        <v>4513</v>
      </c>
      <c r="J471" s="4" t="s">
        <v>4514</v>
      </c>
      <c r="K471" s="4" t="s">
        <v>4011</v>
      </c>
      <c r="L471" s="4" t="s">
        <v>4634</v>
      </c>
      <c r="M471">
        <v>72404</v>
      </c>
      <c r="N471" s="4" t="s">
        <v>4411</v>
      </c>
      <c r="O471" s="4" t="s">
        <v>4635</v>
      </c>
      <c r="P471" s="4" t="s">
        <v>811</v>
      </c>
      <c r="Q471" s="9">
        <v>34513</v>
      </c>
      <c r="R471" s="4" t="s">
        <v>869</v>
      </c>
      <c r="S471" s="4" t="s">
        <v>4423</v>
      </c>
      <c r="T471" s="4" t="s">
        <v>47</v>
      </c>
      <c r="U471" s="4" t="s">
        <v>102</v>
      </c>
      <c r="V471">
        <v>1994</v>
      </c>
      <c r="W471" s="4" t="s">
        <v>47</v>
      </c>
      <c r="X471" s="4" t="s">
        <v>47</v>
      </c>
      <c r="Y471" s="4" t="s">
        <v>47</v>
      </c>
      <c r="Z471" s="4" t="s">
        <v>47</v>
      </c>
      <c r="AA471" s="4" t="s">
        <v>47</v>
      </c>
      <c r="AB471" s="4" t="s">
        <v>47</v>
      </c>
      <c r="AC471" s="4" t="s">
        <v>47</v>
      </c>
      <c r="AD471" s="4" t="s">
        <v>47</v>
      </c>
      <c r="AE471" s="4" t="s">
        <v>47</v>
      </c>
      <c r="AF471" s="4" t="s">
        <v>47</v>
      </c>
      <c r="AG471" s="4" t="s">
        <v>47</v>
      </c>
      <c r="AH471" s="4" t="s">
        <v>47</v>
      </c>
      <c r="AI471" s="4" t="s">
        <v>47</v>
      </c>
      <c r="AJ471" s="4" t="s">
        <v>47</v>
      </c>
      <c r="AK471" s="4" t="s">
        <v>47</v>
      </c>
      <c r="AL471" s="4" t="s">
        <v>47</v>
      </c>
      <c r="AM471" s="4" t="s">
        <v>47</v>
      </c>
      <c r="AN471" s="4" t="s">
        <v>47</v>
      </c>
      <c r="AO471" s="4" t="s">
        <v>4636</v>
      </c>
      <c r="AP471" s="4" t="s">
        <v>4637</v>
      </c>
      <c r="AQ471" s="4" t="s">
        <v>4638</v>
      </c>
      <c r="AR471" s="4" t="s">
        <v>4639</v>
      </c>
    </row>
    <row r="472" spans="1:44" x14ac:dyDescent="0.2">
      <c r="A472" s="4" t="s">
        <v>89</v>
      </c>
      <c r="B472" s="4" t="s">
        <v>209</v>
      </c>
      <c r="C472">
        <v>6</v>
      </c>
      <c r="F472">
        <v>1</v>
      </c>
      <c r="I472" s="4" t="s">
        <v>4640</v>
      </c>
      <c r="J472" s="4" t="s">
        <v>4641</v>
      </c>
      <c r="K472" s="4" t="s">
        <v>3114</v>
      </c>
      <c r="L472" s="4" t="s">
        <v>4642</v>
      </c>
      <c r="M472">
        <v>74914</v>
      </c>
      <c r="N472" s="4" t="s">
        <v>4442</v>
      </c>
      <c r="O472" s="4" t="s">
        <v>4643</v>
      </c>
      <c r="P472" s="4" t="s">
        <v>811</v>
      </c>
      <c r="Q472" s="9">
        <v>34513</v>
      </c>
      <c r="R472" s="4" t="s">
        <v>728</v>
      </c>
      <c r="S472" s="4" t="s">
        <v>4499</v>
      </c>
      <c r="T472" s="4" t="s">
        <v>47</v>
      </c>
      <c r="U472" s="4" t="s">
        <v>102</v>
      </c>
      <c r="V472">
        <v>1994</v>
      </c>
      <c r="W472" s="4" t="s">
        <v>4644</v>
      </c>
      <c r="X472" s="4" t="s">
        <v>4645</v>
      </c>
      <c r="Y472" s="4" t="s">
        <v>4646</v>
      </c>
      <c r="Z472" s="4" t="s">
        <v>4647</v>
      </c>
      <c r="AA472" s="4" t="s">
        <v>47</v>
      </c>
      <c r="AB472" s="4" t="s">
        <v>47</v>
      </c>
      <c r="AC472" s="4" t="s">
        <v>4648</v>
      </c>
      <c r="AD472" s="4" t="s">
        <v>47</v>
      </c>
      <c r="AE472" s="4" t="s">
        <v>47</v>
      </c>
      <c r="AF472" s="4" t="s">
        <v>47</v>
      </c>
      <c r="AG472" s="4" t="s">
        <v>47</v>
      </c>
      <c r="AH472" s="4" t="s">
        <v>47</v>
      </c>
      <c r="AI472" s="4" t="s">
        <v>47</v>
      </c>
      <c r="AJ472" s="4" t="s">
        <v>47</v>
      </c>
      <c r="AK472" s="4" t="s">
        <v>47</v>
      </c>
      <c r="AL472" s="4" t="s">
        <v>47</v>
      </c>
      <c r="AM472" s="4" t="s">
        <v>47</v>
      </c>
      <c r="AN472" s="4" t="s">
        <v>47</v>
      </c>
      <c r="AO472" s="4" t="s">
        <v>4649</v>
      </c>
      <c r="AP472" s="4" t="s">
        <v>4650</v>
      </c>
      <c r="AQ472" s="4" t="s">
        <v>4651</v>
      </c>
      <c r="AR472" s="4" t="s">
        <v>4652</v>
      </c>
    </row>
    <row r="473" spans="1:44" x14ac:dyDescent="0.2">
      <c r="A473" s="4" t="s">
        <v>12</v>
      </c>
      <c r="B473" s="4" t="s">
        <v>116</v>
      </c>
      <c r="C473">
        <v>1</v>
      </c>
      <c r="F473">
        <v>1</v>
      </c>
      <c r="I473" s="4" t="s">
        <v>2646</v>
      </c>
      <c r="J473" s="4" t="s">
        <v>4653</v>
      </c>
      <c r="K473" s="4" t="s">
        <v>4398</v>
      </c>
      <c r="L473" s="4" t="s">
        <v>4421</v>
      </c>
      <c r="M473">
        <v>77217</v>
      </c>
      <c r="N473" s="4" t="s">
        <v>4654</v>
      </c>
      <c r="O473" s="4" t="s">
        <v>4655</v>
      </c>
      <c r="P473" s="4" t="s">
        <v>811</v>
      </c>
      <c r="Q473" s="9">
        <v>34513</v>
      </c>
      <c r="R473" s="4" t="s">
        <v>1046</v>
      </c>
      <c r="S473" s="4" t="s">
        <v>4389</v>
      </c>
      <c r="T473" s="4" t="s">
        <v>47</v>
      </c>
      <c r="U473" s="4" t="s">
        <v>102</v>
      </c>
      <c r="V473">
        <v>1994</v>
      </c>
      <c r="W473" s="4" t="s">
        <v>4656</v>
      </c>
      <c r="X473" s="4" t="s">
        <v>4657</v>
      </c>
      <c r="Y473" s="4" t="s">
        <v>4658</v>
      </c>
      <c r="Z473" s="4" t="s">
        <v>4659</v>
      </c>
      <c r="AA473" s="4" t="s">
        <v>47</v>
      </c>
      <c r="AB473" s="4" t="s">
        <v>47</v>
      </c>
      <c r="AC473" s="4" t="s">
        <v>47</v>
      </c>
      <c r="AD473" s="4" t="s">
        <v>47</v>
      </c>
      <c r="AE473" s="4" t="s">
        <v>47</v>
      </c>
      <c r="AF473" s="4" t="s">
        <v>47</v>
      </c>
      <c r="AG473" s="4" t="s">
        <v>47</v>
      </c>
      <c r="AH473" s="4" t="s">
        <v>47</v>
      </c>
      <c r="AI473" s="4" t="s">
        <v>47</v>
      </c>
      <c r="AJ473" s="4" t="s">
        <v>47</v>
      </c>
      <c r="AK473" s="4" t="s">
        <v>47</v>
      </c>
      <c r="AL473" s="4" t="s">
        <v>47</v>
      </c>
      <c r="AM473" s="4" t="s">
        <v>47</v>
      </c>
      <c r="AN473" s="4" t="s">
        <v>47</v>
      </c>
      <c r="AO473" s="4" t="s">
        <v>4660</v>
      </c>
      <c r="AP473" s="4" t="s">
        <v>4661</v>
      </c>
      <c r="AQ473" s="4" t="s">
        <v>4662</v>
      </c>
      <c r="AR473" s="4" t="s">
        <v>4663</v>
      </c>
    </row>
    <row r="474" spans="1:44" x14ac:dyDescent="0.2">
      <c r="A474" s="4" t="s">
        <v>92</v>
      </c>
      <c r="B474" s="4" t="s">
        <v>175</v>
      </c>
      <c r="C474">
        <v>3</v>
      </c>
      <c r="F474">
        <v>2</v>
      </c>
      <c r="I474" s="4" t="s">
        <v>3923</v>
      </c>
      <c r="J474" s="4" t="s">
        <v>4431</v>
      </c>
      <c r="K474" s="4" t="s">
        <v>4664</v>
      </c>
      <c r="L474" s="4" t="s">
        <v>4665</v>
      </c>
      <c r="M474">
        <v>63998</v>
      </c>
      <c r="N474" s="4" t="s">
        <v>4471</v>
      </c>
      <c r="O474" s="4" t="s">
        <v>4666</v>
      </c>
      <c r="P474" s="4" t="s">
        <v>811</v>
      </c>
      <c r="Q474" s="9">
        <v>34512</v>
      </c>
      <c r="R474" s="4" t="s">
        <v>1130</v>
      </c>
      <c r="S474" s="4" t="s">
        <v>4413</v>
      </c>
      <c r="T474" s="4" t="s">
        <v>47</v>
      </c>
      <c r="U474" s="4" t="s">
        <v>102</v>
      </c>
      <c r="V474">
        <v>1994</v>
      </c>
      <c r="W474" s="4" t="s">
        <v>4667</v>
      </c>
      <c r="X474" s="4" t="s">
        <v>4668</v>
      </c>
      <c r="Y474" s="4" t="s">
        <v>4669</v>
      </c>
      <c r="Z474" s="4" t="s">
        <v>4670</v>
      </c>
      <c r="AA474" s="4" t="s">
        <v>47</v>
      </c>
      <c r="AB474" s="4" t="s">
        <v>47</v>
      </c>
      <c r="AC474" s="4" t="s">
        <v>47</v>
      </c>
      <c r="AD474" s="4" t="s">
        <v>47</v>
      </c>
      <c r="AE474" s="4" t="s">
        <v>47</v>
      </c>
      <c r="AF474" s="4" t="s">
        <v>47</v>
      </c>
      <c r="AG474" s="4" t="s">
        <v>47</v>
      </c>
      <c r="AH474" s="4" t="s">
        <v>47</v>
      </c>
      <c r="AI474" s="4" t="s">
        <v>47</v>
      </c>
      <c r="AJ474" s="4" t="s">
        <v>47</v>
      </c>
      <c r="AK474" s="4" t="s">
        <v>47</v>
      </c>
      <c r="AL474" s="4" t="s">
        <v>47</v>
      </c>
      <c r="AM474" s="4" t="s">
        <v>47</v>
      </c>
      <c r="AN474" s="4" t="s">
        <v>47</v>
      </c>
      <c r="AO474" s="4" t="s">
        <v>4671</v>
      </c>
      <c r="AP474" s="4" t="s">
        <v>4672</v>
      </c>
      <c r="AQ474" s="4" t="s">
        <v>4673</v>
      </c>
      <c r="AR474" s="4" t="s">
        <v>4674</v>
      </c>
    </row>
    <row r="475" spans="1:44" x14ac:dyDescent="0.2">
      <c r="A475" s="4" t="s">
        <v>272</v>
      </c>
      <c r="B475" s="4" t="s">
        <v>20</v>
      </c>
      <c r="C475">
        <v>1</v>
      </c>
      <c r="F475">
        <v>3</v>
      </c>
      <c r="I475" s="4" t="s">
        <v>4675</v>
      </c>
      <c r="J475" s="4" t="s">
        <v>4676</v>
      </c>
      <c r="K475" s="4" t="s">
        <v>4105</v>
      </c>
      <c r="L475" s="4" t="s">
        <v>4460</v>
      </c>
      <c r="M475">
        <v>63089</v>
      </c>
      <c r="N475" s="4" t="s">
        <v>4561</v>
      </c>
      <c r="O475" s="4" t="s">
        <v>4677</v>
      </c>
      <c r="P475" s="4" t="s">
        <v>811</v>
      </c>
      <c r="Q475" s="9">
        <v>34512</v>
      </c>
      <c r="R475" s="4" t="s">
        <v>1098</v>
      </c>
      <c r="S475" s="4" t="s">
        <v>4473</v>
      </c>
      <c r="T475" s="4" t="s">
        <v>47</v>
      </c>
      <c r="U475" s="4" t="s">
        <v>102</v>
      </c>
      <c r="V475">
        <v>1994</v>
      </c>
      <c r="W475" s="4" t="s">
        <v>4678</v>
      </c>
      <c r="X475" s="4" t="s">
        <v>4679</v>
      </c>
      <c r="Y475" s="4" t="s">
        <v>4680</v>
      </c>
      <c r="Z475" s="4" t="s">
        <v>4681</v>
      </c>
      <c r="AA475" s="4" t="s">
        <v>47</v>
      </c>
      <c r="AB475" s="4" t="s">
        <v>47</v>
      </c>
      <c r="AC475" s="4" t="s">
        <v>47</v>
      </c>
      <c r="AD475" s="4" t="s">
        <v>4682</v>
      </c>
      <c r="AE475" s="4" t="s">
        <v>47</v>
      </c>
      <c r="AF475" s="4" t="s">
        <v>47</v>
      </c>
      <c r="AG475" s="4" t="s">
        <v>47</v>
      </c>
      <c r="AH475" s="4" t="s">
        <v>47</v>
      </c>
      <c r="AI475" s="4" t="s">
        <v>47</v>
      </c>
      <c r="AJ475" s="4" t="s">
        <v>47</v>
      </c>
      <c r="AK475" s="4" t="s">
        <v>47</v>
      </c>
      <c r="AL475" s="4" t="s">
        <v>47</v>
      </c>
      <c r="AM475" s="4" t="s">
        <v>47</v>
      </c>
      <c r="AN475" s="4" t="s">
        <v>47</v>
      </c>
      <c r="AO475" s="4" t="s">
        <v>47</v>
      </c>
      <c r="AP475" s="4" t="s">
        <v>4683</v>
      </c>
      <c r="AQ475" s="4" t="s">
        <v>4684</v>
      </c>
      <c r="AR475" s="4" t="s">
        <v>4685</v>
      </c>
    </row>
    <row r="476" spans="1:44" x14ac:dyDescent="0.2">
      <c r="A476" s="4" t="s">
        <v>293</v>
      </c>
      <c r="B476" s="4" t="s">
        <v>217</v>
      </c>
      <c r="C476">
        <v>4</v>
      </c>
      <c r="F476">
        <v>0</v>
      </c>
      <c r="I476" s="4" t="s">
        <v>4400</v>
      </c>
      <c r="J476" s="4" t="s">
        <v>4401</v>
      </c>
      <c r="K476" s="4" t="s">
        <v>4583</v>
      </c>
      <c r="L476" s="4" t="s">
        <v>4686</v>
      </c>
      <c r="M476">
        <v>63160</v>
      </c>
      <c r="N476" s="4" t="s">
        <v>4561</v>
      </c>
      <c r="O476" s="4" t="s">
        <v>4687</v>
      </c>
      <c r="P476" s="4" t="s">
        <v>811</v>
      </c>
      <c r="Q476" s="9">
        <v>34511</v>
      </c>
      <c r="R476" s="4" t="s">
        <v>2300</v>
      </c>
      <c r="S476" s="4" t="s">
        <v>4403</v>
      </c>
      <c r="T476" s="4" t="s">
        <v>47</v>
      </c>
      <c r="U476" s="4" t="s">
        <v>102</v>
      </c>
      <c r="V476">
        <v>1994</v>
      </c>
      <c r="W476" s="4" t="s">
        <v>4688</v>
      </c>
      <c r="X476" s="4" t="s">
        <v>47</v>
      </c>
      <c r="Y476" s="4" t="s">
        <v>4689</v>
      </c>
      <c r="Z476" s="4" t="s">
        <v>47</v>
      </c>
      <c r="AA476" s="4" t="s">
        <v>47</v>
      </c>
      <c r="AB476" s="4" t="s">
        <v>47</v>
      </c>
      <c r="AC476" s="4" t="s">
        <v>4690</v>
      </c>
      <c r="AD476" s="4" t="s">
        <v>47</v>
      </c>
      <c r="AE476" s="4" t="s">
        <v>47</v>
      </c>
      <c r="AF476" s="4" t="s">
        <v>47</v>
      </c>
      <c r="AG476" s="4" t="s">
        <v>47</v>
      </c>
      <c r="AH476" s="4" t="s">
        <v>47</v>
      </c>
      <c r="AI476" s="4" t="s">
        <v>47</v>
      </c>
      <c r="AJ476" s="4" t="s">
        <v>47</v>
      </c>
      <c r="AK476" s="4" t="s">
        <v>47</v>
      </c>
      <c r="AL476" s="4" t="s">
        <v>47</v>
      </c>
      <c r="AM476" s="4" t="s">
        <v>47</v>
      </c>
      <c r="AN476" s="4" t="s">
        <v>47</v>
      </c>
      <c r="AO476" s="4" t="s">
        <v>4691</v>
      </c>
      <c r="AP476" s="4" t="s">
        <v>4692</v>
      </c>
      <c r="AQ476" s="4" t="s">
        <v>4693</v>
      </c>
      <c r="AR476" s="4" t="s">
        <v>4694</v>
      </c>
    </row>
    <row r="477" spans="1:44" x14ac:dyDescent="0.2">
      <c r="A477" s="4" t="s">
        <v>102</v>
      </c>
      <c r="B477" s="4" t="s">
        <v>227</v>
      </c>
      <c r="C477">
        <v>0</v>
      </c>
      <c r="F477">
        <v>1</v>
      </c>
      <c r="I477" s="4" t="s">
        <v>4523</v>
      </c>
      <c r="J477" s="4" t="s">
        <v>4524</v>
      </c>
      <c r="K477" s="4" t="s">
        <v>4440</v>
      </c>
      <c r="L477" s="4" t="s">
        <v>4441</v>
      </c>
      <c r="M477">
        <v>93869</v>
      </c>
      <c r="N477" s="4" t="s">
        <v>4386</v>
      </c>
      <c r="O477" s="4" t="s">
        <v>4695</v>
      </c>
      <c r="P477" s="4" t="s">
        <v>811</v>
      </c>
      <c r="Q477" s="9">
        <v>34511</v>
      </c>
      <c r="R477" s="4" t="s">
        <v>963</v>
      </c>
      <c r="S477" s="4" t="s">
        <v>4575</v>
      </c>
      <c r="T477" s="4" t="s">
        <v>47</v>
      </c>
      <c r="U477" s="4" t="s">
        <v>102</v>
      </c>
      <c r="V477">
        <v>1994</v>
      </c>
      <c r="W477" s="4" t="s">
        <v>47</v>
      </c>
      <c r="X477" s="4" t="s">
        <v>4696</v>
      </c>
      <c r="Y477" s="4" t="s">
        <v>47</v>
      </c>
      <c r="Z477" s="4" t="s">
        <v>4697</v>
      </c>
      <c r="AA477" s="4" t="s">
        <v>47</v>
      </c>
      <c r="AB477" s="4" t="s">
        <v>47</v>
      </c>
      <c r="AC477" s="4" t="s">
        <v>47</v>
      </c>
      <c r="AD477" s="4" t="s">
        <v>47</v>
      </c>
      <c r="AE477" s="4" t="s">
        <v>47</v>
      </c>
      <c r="AF477" s="4" t="s">
        <v>47</v>
      </c>
      <c r="AG477" s="4" t="s">
        <v>47</v>
      </c>
      <c r="AH477" s="4" t="s">
        <v>47</v>
      </c>
      <c r="AI477" s="4" t="s">
        <v>47</v>
      </c>
      <c r="AJ477" s="4" t="s">
        <v>47</v>
      </c>
      <c r="AK477" s="4" t="s">
        <v>47</v>
      </c>
      <c r="AL477" s="4" t="s">
        <v>47</v>
      </c>
      <c r="AM477" s="4" t="s">
        <v>47</v>
      </c>
      <c r="AN477" s="4" t="s">
        <v>47</v>
      </c>
      <c r="AO477" s="4" t="s">
        <v>4698</v>
      </c>
      <c r="AP477" s="4" t="s">
        <v>4699</v>
      </c>
      <c r="AQ477" s="4" t="s">
        <v>4700</v>
      </c>
      <c r="AR477" s="4" t="s">
        <v>4701</v>
      </c>
    </row>
    <row r="478" spans="1:44" x14ac:dyDescent="0.2">
      <c r="A478" s="4" t="s">
        <v>118</v>
      </c>
      <c r="B478" s="4" t="s">
        <v>153</v>
      </c>
      <c r="C478">
        <v>0</v>
      </c>
      <c r="F478">
        <v>2</v>
      </c>
      <c r="I478" s="4" t="s">
        <v>2083</v>
      </c>
      <c r="J478" s="4" t="s">
        <v>4572</v>
      </c>
      <c r="K478" s="4" t="s">
        <v>4702</v>
      </c>
      <c r="L478" s="4" t="s">
        <v>4703</v>
      </c>
      <c r="M478">
        <v>83401</v>
      </c>
      <c r="N478" s="4" t="s">
        <v>4442</v>
      </c>
      <c r="O478" s="4" t="s">
        <v>4704</v>
      </c>
      <c r="P478" s="4" t="s">
        <v>811</v>
      </c>
      <c r="Q478" s="9">
        <v>34511</v>
      </c>
      <c r="R478" s="4" t="s">
        <v>824</v>
      </c>
      <c r="S478" s="4" t="s">
        <v>4517</v>
      </c>
      <c r="T478" s="4" t="s">
        <v>47</v>
      </c>
      <c r="U478" s="4" t="s">
        <v>102</v>
      </c>
      <c r="V478">
        <v>1994</v>
      </c>
      <c r="W478" s="4" t="s">
        <v>47</v>
      </c>
      <c r="X478" s="4" t="s">
        <v>4705</v>
      </c>
      <c r="Y478" s="4" t="s">
        <v>47</v>
      </c>
      <c r="Z478" s="4" t="s">
        <v>4706</v>
      </c>
      <c r="AA478" s="4" t="s">
        <v>47</v>
      </c>
      <c r="AB478" s="4" t="s">
        <v>47</v>
      </c>
      <c r="AC478" s="4" t="s">
        <v>47</v>
      </c>
      <c r="AD478" s="4" t="s">
        <v>47</v>
      </c>
      <c r="AE478" s="4" t="s">
        <v>47</v>
      </c>
      <c r="AF478" s="4" t="s">
        <v>47</v>
      </c>
      <c r="AG478" s="4" t="s">
        <v>47</v>
      </c>
      <c r="AH478" s="4" t="s">
        <v>47</v>
      </c>
      <c r="AI478" s="4" t="s">
        <v>47</v>
      </c>
      <c r="AJ478" s="4" t="s">
        <v>47</v>
      </c>
      <c r="AK478" s="4" t="s">
        <v>47</v>
      </c>
      <c r="AL478" s="4" t="s">
        <v>47</v>
      </c>
      <c r="AM478" s="4" t="s">
        <v>47</v>
      </c>
      <c r="AN478" s="4" t="s">
        <v>47</v>
      </c>
      <c r="AO478" s="4" t="s">
        <v>4707</v>
      </c>
      <c r="AP478" s="4" t="s">
        <v>4708</v>
      </c>
      <c r="AQ478" s="4" t="s">
        <v>4709</v>
      </c>
      <c r="AR478" s="4" t="s">
        <v>4710</v>
      </c>
    </row>
    <row r="479" spans="1:44" x14ac:dyDescent="0.2">
      <c r="A479" s="4" t="s">
        <v>148</v>
      </c>
      <c r="B479" s="4" t="s">
        <v>95</v>
      </c>
      <c r="C479">
        <v>1</v>
      </c>
      <c r="F479">
        <v>0</v>
      </c>
      <c r="I479" s="4" t="s">
        <v>4559</v>
      </c>
      <c r="J479" s="4" t="s">
        <v>4560</v>
      </c>
      <c r="K479" s="4" t="s">
        <v>3046</v>
      </c>
      <c r="L479" s="4" t="s">
        <v>4470</v>
      </c>
      <c r="M479">
        <v>62387</v>
      </c>
      <c r="N479" s="4" t="s">
        <v>4515</v>
      </c>
      <c r="O479" s="4" t="s">
        <v>4711</v>
      </c>
      <c r="P479" s="4" t="s">
        <v>811</v>
      </c>
      <c r="Q479" s="9">
        <v>34510</v>
      </c>
      <c r="R479" s="4" t="s">
        <v>652</v>
      </c>
      <c r="S479" s="4" t="s">
        <v>4537</v>
      </c>
      <c r="T479" s="4" t="s">
        <v>47</v>
      </c>
      <c r="U479" s="4" t="s">
        <v>102</v>
      </c>
      <c r="V479">
        <v>1994</v>
      </c>
      <c r="W479" s="4" t="s">
        <v>4712</v>
      </c>
      <c r="X479" s="4" t="s">
        <v>47</v>
      </c>
      <c r="Y479" s="4" t="s">
        <v>4713</v>
      </c>
      <c r="Z479" s="4" t="s">
        <v>47</v>
      </c>
      <c r="AA479" s="4" t="s">
        <v>47</v>
      </c>
      <c r="AB479" s="4" t="s">
        <v>47</v>
      </c>
      <c r="AC479" s="4" t="s">
        <v>47</v>
      </c>
      <c r="AD479" s="4" t="s">
        <v>47</v>
      </c>
      <c r="AE479" s="4" t="s">
        <v>47</v>
      </c>
      <c r="AF479" s="4" t="s">
        <v>47</v>
      </c>
      <c r="AG479" s="4" t="s">
        <v>47</v>
      </c>
      <c r="AH479" s="4" t="s">
        <v>47</v>
      </c>
      <c r="AI479" s="4" t="s">
        <v>47</v>
      </c>
      <c r="AJ479" s="4" t="s">
        <v>47</v>
      </c>
      <c r="AK479" s="4" t="s">
        <v>47</v>
      </c>
      <c r="AL479" s="4" t="s">
        <v>47</v>
      </c>
      <c r="AM479" s="4" t="s">
        <v>47</v>
      </c>
      <c r="AN479" s="4" t="s">
        <v>47</v>
      </c>
      <c r="AO479" s="4" t="s">
        <v>4714</v>
      </c>
      <c r="AP479" s="4" t="s">
        <v>4715</v>
      </c>
      <c r="AQ479" s="4" t="s">
        <v>4716</v>
      </c>
      <c r="AR479" s="4" t="s">
        <v>4717</v>
      </c>
    </row>
    <row r="480" spans="1:44" x14ac:dyDescent="0.2">
      <c r="A480" s="4" t="s">
        <v>240</v>
      </c>
      <c r="B480" s="4" t="s">
        <v>144</v>
      </c>
      <c r="C480">
        <v>2</v>
      </c>
      <c r="F480">
        <v>1</v>
      </c>
      <c r="I480" s="4" t="s">
        <v>4534</v>
      </c>
      <c r="J480" s="4" t="s">
        <v>4535</v>
      </c>
      <c r="K480" s="4" t="s">
        <v>4602</v>
      </c>
      <c r="L480" s="4" t="s">
        <v>4718</v>
      </c>
      <c r="M480">
        <v>76322</v>
      </c>
      <c r="N480" s="4" t="s">
        <v>4411</v>
      </c>
      <c r="O480" s="4" t="s">
        <v>4719</v>
      </c>
      <c r="P480" s="4" t="s">
        <v>811</v>
      </c>
      <c r="Q480" s="9">
        <v>34510</v>
      </c>
      <c r="R480" s="4" t="s">
        <v>617</v>
      </c>
      <c r="S480" s="4" t="s">
        <v>4445</v>
      </c>
      <c r="T480" s="4" t="s">
        <v>47</v>
      </c>
      <c r="U480" s="4" t="s">
        <v>102</v>
      </c>
      <c r="V480">
        <v>1994</v>
      </c>
      <c r="W480" s="4" t="s">
        <v>4720</v>
      </c>
      <c r="X480" s="4" t="s">
        <v>4721</v>
      </c>
      <c r="Y480" s="4" t="s">
        <v>4722</v>
      </c>
      <c r="Z480" s="4" t="s">
        <v>4723</v>
      </c>
      <c r="AA480" s="4" t="s">
        <v>47</v>
      </c>
      <c r="AB480" s="4" t="s">
        <v>47</v>
      </c>
      <c r="AC480" s="4" t="s">
        <v>4724</v>
      </c>
      <c r="AD480" s="4" t="s">
        <v>47</v>
      </c>
      <c r="AE480" s="4" t="s">
        <v>47</v>
      </c>
      <c r="AF480" s="4" t="s">
        <v>47</v>
      </c>
      <c r="AG480" s="4" t="s">
        <v>47</v>
      </c>
      <c r="AH480" s="4" t="s">
        <v>47</v>
      </c>
      <c r="AI480" s="4" t="s">
        <v>47</v>
      </c>
      <c r="AJ480" s="4" t="s">
        <v>47</v>
      </c>
      <c r="AK480" s="4" t="s">
        <v>47</v>
      </c>
      <c r="AL480" s="4" t="s">
        <v>47</v>
      </c>
      <c r="AM480" s="4" t="s">
        <v>47</v>
      </c>
      <c r="AN480" s="4" t="s">
        <v>47</v>
      </c>
      <c r="AO480" s="4" t="s">
        <v>4725</v>
      </c>
      <c r="AP480" s="4" t="s">
        <v>4726</v>
      </c>
      <c r="AQ480" s="4" t="s">
        <v>4727</v>
      </c>
      <c r="AR480" s="4" t="s">
        <v>4728</v>
      </c>
    </row>
    <row r="481" spans="1:44" x14ac:dyDescent="0.2">
      <c r="A481" s="4" t="s">
        <v>26</v>
      </c>
      <c r="B481" s="4" t="s">
        <v>177</v>
      </c>
      <c r="C481">
        <v>2</v>
      </c>
      <c r="F481">
        <v>1</v>
      </c>
      <c r="I481" s="4" t="s">
        <v>4546</v>
      </c>
      <c r="J481" s="4" t="s">
        <v>2446</v>
      </c>
      <c r="K481" s="4" t="s">
        <v>4482</v>
      </c>
      <c r="L481" s="4" t="s">
        <v>4483</v>
      </c>
      <c r="M481">
        <v>54453</v>
      </c>
      <c r="N481" s="4" t="s">
        <v>4461</v>
      </c>
      <c r="O481" s="4" t="s">
        <v>4729</v>
      </c>
      <c r="P481" s="4" t="s">
        <v>811</v>
      </c>
      <c r="Q481" s="9">
        <v>34510</v>
      </c>
      <c r="R481" s="4" t="s">
        <v>617</v>
      </c>
      <c r="S481" s="4" t="s">
        <v>4730</v>
      </c>
      <c r="T481" s="4" t="s">
        <v>47</v>
      </c>
      <c r="U481" s="4" t="s">
        <v>102</v>
      </c>
      <c r="V481">
        <v>1994</v>
      </c>
      <c r="W481" s="4" t="s">
        <v>4731</v>
      </c>
      <c r="X481" s="4" t="s">
        <v>4732</v>
      </c>
      <c r="Y481" s="4" t="s">
        <v>4733</v>
      </c>
      <c r="Z481" s="4" t="s">
        <v>4734</v>
      </c>
      <c r="AA481" s="4" t="s">
        <v>47</v>
      </c>
      <c r="AB481" s="4" t="s">
        <v>47</v>
      </c>
      <c r="AC481" s="4" t="s">
        <v>47</v>
      </c>
      <c r="AD481" s="4" t="s">
        <v>47</v>
      </c>
      <c r="AE481" s="4" t="s">
        <v>47</v>
      </c>
      <c r="AF481" s="4" t="s">
        <v>47</v>
      </c>
      <c r="AG481" s="4" t="s">
        <v>47</v>
      </c>
      <c r="AH481" s="4" t="s">
        <v>47</v>
      </c>
      <c r="AI481" s="4" t="s">
        <v>47</v>
      </c>
      <c r="AJ481" s="4" t="s">
        <v>47</v>
      </c>
      <c r="AK481" s="4" t="s">
        <v>47</v>
      </c>
      <c r="AL481" s="4" t="s">
        <v>47</v>
      </c>
      <c r="AM481" s="4" t="s">
        <v>47</v>
      </c>
      <c r="AN481" s="4" t="s">
        <v>47</v>
      </c>
      <c r="AO481" s="4" t="s">
        <v>4735</v>
      </c>
      <c r="AP481" s="4" t="s">
        <v>4736</v>
      </c>
      <c r="AQ481" s="4" t="s">
        <v>4737</v>
      </c>
      <c r="AR481" s="4" t="s">
        <v>4738</v>
      </c>
    </row>
    <row r="482" spans="1:44" x14ac:dyDescent="0.2">
      <c r="A482" s="4" t="s">
        <v>106</v>
      </c>
      <c r="B482" s="4" t="s">
        <v>235</v>
      </c>
      <c r="C482">
        <v>2</v>
      </c>
      <c r="F482">
        <v>1</v>
      </c>
      <c r="I482" s="4" t="s">
        <v>4496</v>
      </c>
      <c r="J482" s="4" t="s">
        <v>4497</v>
      </c>
      <c r="K482" s="4" t="s">
        <v>4513</v>
      </c>
      <c r="L482" s="4" t="s">
        <v>4514</v>
      </c>
      <c r="M482">
        <v>60790</v>
      </c>
      <c r="N482" s="4" t="s">
        <v>4515</v>
      </c>
      <c r="O482" s="4" t="s">
        <v>4739</v>
      </c>
      <c r="P482" s="4" t="s">
        <v>811</v>
      </c>
      <c r="Q482" s="9">
        <v>34509</v>
      </c>
      <c r="R482" s="4" t="s">
        <v>617</v>
      </c>
      <c r="S482" s="4" t="s">
        <v>4563</v>
      </c>
      <c r="T482" s="4" t="s">
        <v>47</v>
      </c>
      <c r="U482" s="4" t="s">
        <v>102</v>
      </c>
      <c r="V482">
        <v>1994</v>
      </c>
      <c r="W482" s="4" t="s">
        <v>4740</v>
      </c>
      <c r="X482" s="4" t="s">
        <v>4741</v>
      </c>
      <c r="Y482" s="4" t="s">
        <v>4742</v>
      </c>
      <c r="Z482" s="4" t="s">
        <v>4743</v>
      </c>
      <c r="AA482" s="4" t="s">
        <v>47</v>
      </c>
      <c r="AB482" s="4" t="s">
        <v>47</v>
      </c>
      <c r="AC482" s="4" t="s">
        <v>47</v>
      </c>
      <c r="AD482" s="4" t="s">
        <v>47</v>
      </c>
      <c r="AE482" s="4" t="s">
        <v>47</v>
      </c>
      <c r="AF482" s="4" t="s">
        <v>47</v>
      </c>
      <c r="AG482" s="4" t="s">
        <v>47</v>
      </c>
      <c r="AH482" s="4" t="s">
        <v>47</v>
      </c>
      <c r="AI482" s="4" t="s">
        <v>47</v>
      </c>
      <c r="AJ482" s="4" t="s">
        <v>47</v>
      </c>
      <c r="AK482" s="4" t="s">
        <v>47</v>
      </c>
      <c r="AL482" s="4" t="s">
        <v>47</v>
      </c>
      <c r="AM482" s="4" t="s">
        <v>47</v>
      </c>
      <c r="AN482" s="4" t="s">
        <v>47</v>
      </c>
      <c r="AO482" s="4" t="s">
        <v>4744</v>
      </c>
      <c r="AP482" s="4" t="s">
        <v>4745</v>
      </c>
      <c r="AQ482" s="4" t="s">
        <v>4746</v>
      </c>
      <c r="AR482" s="4" t="s">
        <v>4747</v>
      </c>
    </row>
    <row r="483" spans="1:44" x14ac:dyDescent="0.2">
      <c r="A483" s="4" t="s">
        <v>12</v>
      </c>
      <c r="B483" s="4" t="s">
        <v>209</v>
      </c>
      <c r="C483">
        <v>3</v>
      </c>
      <c r="F483">
        <v>0</v>
      </c>
      <c r="I483" s="4" t="s">
        <v>2646</v>
      </c>
      <c r="J483" s="4" t="s">
        <v>4653</v>
      </c>
      <c r="K483" s="4" t="s">
        <v>3114</v>
      </c>
      <c r="L483" s="4" t="s">
        <v>4642</v>
      </c>
      <c r="M483">
        <v>83401</v>
      </c>
      <c r="N483" s="4" t="s">
        <v>4442</v>
      </c>
      <c r="O483" s="4" t="s">
        <v>4748</v>
      </c>
      <c r="P483" s="4" t="s">
        <v>811</v>
      </c>
      <c r="Q483" s="9">
        <v>34509</v>
      </c>
      <c r="R483" s="4" t="s">
        <v>638</v>
      </c>
      <c r="S483" s="4" t="s">
        <v>4485</v>
      </c>
      <c r="T483" s="4" t="s">
        <v>47</v>
      </c>
      <c r="U483" s="4" t="s">
        <v>102</v>
      </c>
      <c r="V483">
        <v>1994</v>
      </c>
      <c r="W483" s="4" t="s">
        <v>4749</v>
      </c>
      <c r="X483" s="4" t="s">
        <v>47</v>
      </c>
      <c r="Y483" s="4" t="s">
        <v>4750</v>
      </c>
      <c r="Z483" s="4" t="s">
        <v>47</v>
      </c>
      <c r="AA483" s="4" t="s">
        <v>47</v>
      </c>
      <c r="AB483" s="4" t="s">
        <v>47</v>
      </c>
      <c r="AC483" s="4" t="s">
        <v>47</v>
      </c>
      <c r="AD483" s="4" t="s">
        <v>47</v>
      </c>
      <c r="AE483" s="4" t="s">
        <v>47</v>
      </c>
      <c r="AF483" s="4" t="s">
        <v>47</v>
      </c>
      <c r="AG483" s="4" t="s">
        <v>47</v>
      </c>
      <c r="AH483" s="4" t="s">
        <v>47</v>
      </c>
      <c r="AI483" s="4" t="s">
        <v>47</v>
      </c>
      <c r="AJ483" s="4" t="s">
        <v>47</v>
      </c>
      <c r="AK483" s="4" t="s">
        <v>47</v>
      </c>
      <c r="AL483" s="4" t="s">
        <v>4751</v>
      </c>
      <c r="AM483" s="4" t="s">
        <v>47</v>
      </c>
      <c r="AN483" s="4" t="s">
        <v>47</v>
      </c>
      <c r="AO483" s="4" t="s">
        <v>4752</v>
      </c>
      <c r="AP483" s="4" t="s">
        <v>4753</v>
      </c>
      <c r="AQ483" s="4" t="s">
        <v>4754</v>
      </c>
      <c r="AR483" s="4" t="s">
        <v>4755</v>
      </c>
    </row>
    <row r="484" spans="1:44" x14ac:dyDescent="0.2">
      <c r="A484" s="4" t="s">
        <v>116</v>
      </c>
      <c r="B484" s="4" t="s">
        <v>89</v>
      </c>
      <c r="C484">
        <v>3</v>
      </c>
      <c r="F484">
        <v>1</v>
      </c>
      <c r="I484" s="4" t="s">
        <v>4398</v>
      </c>
      <c r="J484" s="4" t="s">
        <v>4421</v>
      </c>
      <c r="K484" s="4" t="s">
        <v>4640</v>
      </c>
      <c r="L484" s="4" t="s">
        <v>4756</v>
      </c>
      <c r="M484">
        <v>71528</v>
      </c>
      <c r="N484" s="4" t="s">
        <v>4654</v>
      </c>
      <c r="O484" s="4" t="s">
        <v>4757</v>
      </c>
      <c r="P484" s="4" t="s">
        <v>811</v>
      </c>
      <c r="Q484" s="9">
        <v>34509</v>
      </c>
      <c r="R484" s="4" t="s">
        <v>770</v>
      </c>
      <c r="S484" s="4" t="s">
        <v>4413</v>
      </c>
      <c r="T484" s="4" t="s">
        <v>47</v>
      </c>
      <c r="U484" s="4" t="s">
        <v>102</v>
      </c>
      <c r="V484">
        <v>1994</v>
      </c>
      <c r="W484" s="4" t="s">
        <v>4758</v>
      </c>
      <c r="X484" s="4" t="s">
        <v>47</v>
      </c>
      <c r="Y484" s="4" t="s">
        <v>4759</v>
      </c>
      <c r="Z484" s="4" t="s">
        <v>47</v>
      </c>
      <c r="AA484" s="4" t="s">
        <v>47</v>
      </c>
      <c r="AB484" s="4" t="s">
        <v>47</v>
      </c>
      <c r="AC484" s="4" t="s">
        <v>4760</v>
      </c>
      <c r="AD484" s="4" t="s">
        <v>4761</v>
      </c>
      <c r="AE484" s="4" t="s">
        <v>47</v>
      </c>
      <c r="AF484" s="4" t="s">
        <v>47</v>
      </c>
      <c r="AG484" s="4" t="s">
        <v>47</v>
      </c>
      <c r="AH484" s="4" t="s">
        <v>47</v>
      </c>
      <c r="AI484" s="4" t="s">
        <v>47</v>
      </c>
      <c r="AJ484" s="4" t="s">
        <v>47</v>
      </c>
      <c r="AK484" s="4" t="s">
        <v>47</v>
      </c>
      <c r="AL484" s="4" t="s">
        <v>47</v>
      </c>
      <c r="AM484" s="4" t="s">
        <v>47</v>
      </c>
      <c r="AN484" s="4" t="s">
        <v>4762</v>
      </c>
      <c r="AO484" s="4" t="s">
        <v>4763</v>
      </c>
      <c r="AP484" s="4" t="s">
        <v>4764</v>
      </c>
      <c r="AQ484" s="4" t="s">
        <v>4765</v>
      </c>
      <c r="AR484" s="4" t="s">
        <v>4766</v>
      </c>
    </row>
    <row r="485" spans="1:44" x14ac:dyDescent="0.2">
      <c r="A485" s="4" t="s">
        <v>97</v>
      </c>
      <c r="B485" s="4" t="s">
        <v>19</v>
      </c>
      <c r="C485">
        <v>1</v>
      </c>
      <c r="F485">
        <v>0</v>
      </c>
      <c r="I485" s="4" t="s">
        <v>4384</v>
      </c>
      <c r="J485" s="4" t="s">
        <v>4385</v>
      </c>
      <c r="K485" s="4" t="s">
        <v>4011</v>
      </c>
      <c r="L485" s="4" t="s">
        <v>4634</v>
      </c>
      <c r="M485">
        <v>74624</v>
      </c>
      <c r="N485" s="4" t="s">
        <v>4411</v>
      </c>
      <c r="O485" s="4" t="s">
        <v>4767</v>
      </c>
      <c r="P485" s="4" t="s">
        <v>811</v>
      </c>
      <c r="Q485" s="9">
        <v>34508</v>
      </c>
      <c r="R485" s="4" t="s">
        <v>652</v>
      </c>
      <c r="S485" s="4" t="s">
        <v>4617</v>
      </c>
      <c r="T485" s="4" t="s">
        <v>47</v>
      </c>
      <c r="U485" s="4" t="s">
        <v>102</v>
      </c>
      <c r="V485">
        <v>1994</v>
      </c>
      <c r="W485" s="4" t="s">
        <v>4768</v>
      </c>
      <c r="X485" s="4" t="s">
        <v>47</v>
      </c>
      <c r="Y485" s="4" t="s">
        <v>4769</v>
      </c>
      <c r="Z485" s="4" t="s">
        <v>47</v>
      </c>
      <c r="AA485" s="4" t="s">
        <v>47</v>
      </c>
      <c r="AB485" s="4" t="s">
        <v>47</v>
      </c>
      <c r="AC485" s="4" t="s">
        <v>47</v>
      </c>
      <c r="AD485" s="4" t="s">
        <v>47</v>
      </c>
      <c r="AE485" s="4" t="s">
        <v>47</v>
      </c>
      <c r="AF485" s="4" t="s">
        <v>47</v>
      </c>
      <c r="AG485" s="4" t="s">
        <v>47</v>
      </c>
      <c r="AH485" s="4" t="s">
        <v>47</v>
      </c>
      <c r="AI485" s="4" t="s">
        <v>47</v>
      </c>
      <c r="AJ485" s="4" t="s">
        <v>47</v>
      </c>
      <c r="AK485" s="4" t="s">
        <v>4770</v>
      </c>
      <c r="AL485" s="4" t="s">
        <v>47</v>
      </c>
      <c r="AM485" s="4" t="s">
        <v>47</v>
      </c>
      <c r="AN485" s="4" t="s">
        <v>47</v>
      </c>
      <c r="AO485" s="4" t="s">
        <v>4771</v>
      </c>
      <c r="AP485" s="4" t="s">
        <v>4772</v>
      </c>
      <c r="AQ485" s="4" t="s">
        <v>4773</v>
      </c>
      <c r="AR485" s="4" t="s">
        <v>4774</v>
      </c>
    </row>
    <row r="486" spans="1:44" x14ac:dyDescent="0.2">
      <c r="A486" s="4" t="s">
        <v>175</v>
      </c>
      <c r="B486" s="4" t="s">
        <v>272</v>
      </c>
      <c r="C486">
        <v>0</v>
      </c>
      <c r="F486">
        <v>0</v>
      </c>
      <c r="I486" s="4" t="s">
        <v>4664</v>
      </c>
      <c r="J486" s="4" t="s">
        <v>4665</v>
      </c>
      <c r="K486" s="4" t="s">
        <v>4675</v>
      </c>
      <c r="L486" s="4" t="s">
        <v>4676</v>
      </c>
      <c r="M486">
        <v>54453</v>
      </c>
      <c r="N486" s="4" t="s">
        <v>4461</v>
      </c>
      <c r="O486" s="4" t="s">
        <v>4775</v>
      </c>
      <c r="P486" s="4" t="s">
        <v>811</v>
      </c>
      <c r="Q486" s="9">
        <v>34508</v>
      </c>
      <c r="R486" s="4" t="s">
        <v>869</v>
      </c>
      <c r="S486" s="4" t="s">
        <v>4586</v>
      </c>
      <c r="T486" s="4" t="s">
        <v>47</v>
      </c>
      <c r="U486" s="4" t="s">
        <v>102</v>
      </c>
      <c r="V486">
        <v>1994</v>
      </c>
      <c r="W486" s="4" t="s">
        <v>47</v>
      </c>
      <c r="X486" s="4" t="s">
        <v>47</v>
      </c>
      <c r="Y486" s="4" t="s">
        <v>47</v>
      </c>
      <c r="Z486" s="4" t="s">
        <v>47</v>
      </c>
      <c r="AA486" s="4" t="s">
        <v>47</v>
      </c>
      <c r="AB486" s="4" t="s">
        <v>47</v>
      </c>
      <c r="AC486" s="4" t="s">
        <v>47</v>
      </c>
      <c r="AD486" s="4" t="s">
        <v>47</v>
      </c>
      <c r="AE486" s="4" t="s">
        <v>47</v>
      </c>
      <c r="AF486" s="4" t="s">
        <v>47</v>
      </c>
      <c r="AG486" s="4" t="s">
        <v>47</v>
      </c>
      <c r="AH486" s="4" t="s">
        <v>47</v>
      </c>
      <c r="AI486" s="4" t="s">
        <v>47</v>
      </c>
      <c r="AJ486" s="4" t="s">
        <v>47</v>
      </c>
      <c r="AK486" s="4" t="s">
        <v>47</v>
      </c>
      <c r="AL486" s="4" t="s">
        <v>47</v>
      </c>
      <c r="AM486" s="4" t="s">
        <v>47</v>
      </c>
      <c r="AN486" s="4" t="s">
        <v>4776</v>
      </c>
      <c r="AO486" s="4" t="s">
        <v>4777</v>
      </c>
      <c r="AP486" s="4" t="s">
        <v>4778</v>
      </c>
      <c r="AQ486" s="4" t="s">
        <v>4779</v>
      </c>
      <c r="AR486" s="4" t="s">
        <v>4780</v>
      </c>
    </row>
    <row r="487" spans="1:44" x14ac:dyDescent="0.2">
      <c r="A487" s="4" t="s">
        <v>227</v>
      </c>
      <c r="B487" s="4" t="s">
        <v>118</v>
      </c>
      <c r="C487">
        <v>1</v>
      </c>
      <c r="F487">
        <v>4</v>
      </c>
      <c r="I487" s="4" t="s">
        <v>4440</v>
      </c>
      <c r="J487" s="4" t="s">
        <v>4441</v>
      </c>
      <c r="K487" s="4" t="s">
        <v>2083</v>
      </c>
      <c r="L487" s="4" t="s">
        <v>4572</v>
      </c>
      <c r="M487">
        <v>61428</v>
      </c>
      <c r="N487" s="4" t="s">
        <v>4654</v>
      </c>
      <c r="O487" s="4" t="s">
        <v>4781</v>
      </c>
      <c r="P487" s="4" t="s">
        <v>811</v>
      </c>
      <c r="Q487" s="9">
        <v>34507</v>
      </c>
      <c r="R487" s="4" t="s">
        <v>2101</v>
      </c>
      <c r="S487" s="4" t="s">
        <v>4594</v>
      </c>
      <c r="T487" s="4" t="s">
        <v>47</v>
      </c>
      <c r="U487" s="4" t="s">
        <v>102</v>
      </c>
      <c r="V487">
        <v>1994</v>
      </c>
      <c r="W487" s="4" t="s">
        <v>4782</v>
      </c>
      <c r="X487" s="4" t="s">
        <v>4783</v>
      </c>
      <c r="Y487" s="4" t="s">
        <v>4784</v>
      </c>
      <c r="Z487" s="4" t="s">
        <v>4785</v>
      </c>
      <c r="AA487" s="4" t="s">
        <v>47</v>
      </c>
      <c r="AB487" s="4" t="s">
        <v>47</v>
      </c>
      <c r="AC487" s="4" t="s">
        <v>47</v>
      </c>
      <c r="AD487" s="4" t="s">
        <v>47</v>
      </c>
      <c r="AE487" s="4" t="s">
        <v>47</v>
      </c>
      <c r="AF487" s="4" t="s">
        <v>47</v>
      </c>
      <c r="AG487" s="4" t="s">
        <v>47</v>
      </c>
      <c r="AH487" s="4" t="s">
        <v>47</v>
      </c>
      <c r="AI487" s="4" t="s">
        <v>47</v>
      </c>
      <c r="AJ487" s="4" t="s">
        <v>47</v>
      </c>
      <c r="AK487" s="4" t="s">
        <v>4786</v>
      </c>
      <c r="AL487" s="4" t="s">
        <v>47</v>
      </c>
      <c r="AM487" s="4" t="s">
        <v>47</v>
      </c>
      <c r="AN487" s="4" t="s">
        <v>47</v>
      </c>
      <c r="AO487" s="4" t="s">
        <v>4787</v>
      </c>
      <c r="AP487" s="4" t="s">
        <v>47</v>
      </c>
      <c r="AQ487" s="4" t="s">
        <v>4788</v>
      </c>
      <c r="AR487" s="4" t="s">
        <v>4789</v>
      </c>
    </row>
    <row r="488" spans="1:44" x14ac:dyDescent="0.2">
      <c r="A488" s="4" t="s">
        <v>102</v>
      </c>
      <c r="B488" s="4" t="s">
        <v>153</v>
      </c>
      <c r="C488">
        <v>2</v>
      </c>
      <c r="F488">
        <v>1</v>
      </c>
      <c r="I488" s="4" t="s">
        <v>4523</v>
      </c>
      <c r="J488" s="4" t="s">
        <v>4524</v>
      </c>
      <c r="K488" s="4" t="s">
        <v>4702</v>
      </c>
      <c r="L488" s="4" t="s">
        <v>4703</v>
      </c>
      <c r="M488">
        <v>93869</v>
      </c>
      <c r="N488" s="4" t="s">
        <v>4386</v>
      </c>
      <c r="O488" s="4" t="s">
        <v>4790</v>
      </c>
      <c r="P488" s="4" t="s">
        <v>811</v>
      </c>
      <c r="Q488" s="9">
        <v>34507</v>
      </c>
      <c r="R488" s="4" t="s">
        <v>617</v>
      </c>
      <c r="S488" s="4" t="s">
        <v>4791</v>
      </c>
      <c r="T488" s="4" t="s">
        <v>47</v>
      </c>
      <c r="U488" s="4" t="s">
        <v>102</v>
      </c>
      <c r="V488">
        <v>1994</v>
      </c>
      <c r="W488" s="4" t="s">
        <v>4792</v>
      </c>
      <c r="X488" s="4" t="s">
        <v>4793</v>
      </c>
      <c r="Y488" s="4" t="s">
        <v>4794</v>
      </c>
      <c r="Z488" s="4" t="s">
        <v>4795</v>
      </c>
      <c r="AA488" s="4" t="s">
        <v>4796</v>
      </c>
      <c r="AB488" s="4" t="s">
        <v>47</v>
      </c>
      <c r="AC488" s="4" t="s">
        <v>47</v>
      </c>
      <c r="AD488" s="4" t="s">
        <v>47</v>
      </c>
      <c r="AE488" s="4" t="s">
        <v>47</v>
      </c>
      <c r="AF488" s="4" t="s">
        <v>47</v>
      </c>
      <c r="AG488" s="4" t="s">
        <v>47</v>
      </c>
      <c r="AH488" s="4" t="s">
        <v>47</v>
      </c>
      <c r="AI488" s="4" t="s">
        <v>47</v>
      </c>
      <c r="AJ488" s="4" t="s">
        <v>47</v>
      </c>
      <c r="AK488" s="4" t="s">
        <v>47</v>
      </c>
      <c r="AL488" s="4" t="s">
        <v>47</v>
      </c>
      <c r="AM488" s="4" t="s">
        <v>47</v>
      </c>
      <c r="AN488" s="4" t="s">
        <v>47</v>
      </c>
      <c r="AO488" s="4" t="s">
        <v>4797</v>
      </c>
      <c r="AP488" s="4" t="s">
        <v>4798</v>
      </c>
      <c r="AQ488" s="4" t="s">
        <v>4799</v>
      </c>
      <c r="AR488" s="4" t="s">
        <v>4800</v>
      </c>
    </row>
    <row r="489" spans="1:44" x14ac:dyDescent="0.2">
      <c r="A489" s="4" t="s">
        <v>26</v>
      </c>
      <c r="B489" s="4" t="s">
        <v>217</v>
      </c>
      <c r="C489">
        <v>4</v>
      </c>
      <c r="F489">
        <v>0</v>
      </c>
      <c r="I489" s="4" t="s">
        <v>4546</v>
      </c>
      <c r="J489" s="4" t="s">
        <v>2446</v>
      </c>
      <c r="K489" s="4" t="s">
        <v>4583</v>
      </c>
      <c r="L489" s="4" t="s">
        <v>4801</v>
      </c>
      <c r="M489">
        <v>54456</v>
      </c>
      <c r="N489" s="4" t="s">
        <v>4461</v>
      </c>
      <c r="O489" s="4" t="s">
        <v>4802</v>
      </c>
      <c r="P489" s="4" t="s">
        <v>811</v>
      </c>
      <c r="Q489" s="9">
        <v>34506</v>
      </c>
      <c r="R489" s="4" t="s">
        <v>2300</v>
      </c>
      <c r="S489" s="4" t="s">
        <v>4803</v>
      </c>
      <c r="T489" s="4" t="s">
        <v>47</v>
      </c>
      <c r="U489" s="4" t="s">
        <v>102</v>
      </c>
      <c r="V489">
        <v>1994</v>
      </c>
      <c r="W489" s="4" t="s">
        <v>4804</v>
      </c>
      <c r="X489" s="4" t="s">
        <v>47</v>
      </c>
      <c r="Y489" s="4" t="s">
        <v>4805</v>
      </c>
      <c r="Z489" s="4" t="s">
        <v>47</v>
      </c>
      <c r="AA489" s="4" t="s">
        <v>47</v>
      </c>
      <c r="AB489" s="4" t="s">
        <v>47</v>
      </c>
      <c r="AC489" s="4" t="s">
        <v>4806</v>
      </c>
      <c r="AD489" s="4" t="s">
        <v>47</v>
      </c>
      <c r="AE489" s="4" t="s">
        <v>47</v>
      </c>
      <c r="AF489" s="4" t="s">
        <v>47</v>
      </c>
      <c r="AG489" s="4" t="s">
        <v>47</v>
      </c>
      <c r="AH489" s="4" t="s">
        <v>47</v>
      </c>
      <c r="AI489" s="4" t="s">
        <v>47</v>
      </c>
      <c r="AJ489" s="4" t="s">
        <v>47</v>
      </c>
      <c r="AK489" s="4" t="s">
        <v>47</v>
      </c>
      <c r="AL489" s="4" t="s">
        <v>47</v>
      </c>
      <c r="AM489" s="4" t="s">
        <v>47</v>
      </c>
      <c r="AN489" s="4" t="s">
        <v>47</v>
      </c>
      <c r="AO489" s="4" t="s">
        <v>4807</v>
      </c>
      <c r="AP489" s="4" t="s">
        <v>4808</v>
      </c>
      <c r="AQ489" s="4" t="s">
        <v>4809</v>
      </c>
      <c r="AR489" s="4" t="s">
        <v>4810</v>
      </c>
    </row>
    <row r="490" spans="1:44" x14ac:dyDescent="0.2">
      <c r="A490" s="4" t="s">
        <v>92</v>
      </c>
      <c r="B490" s="4" t="s">
        <v>20</v>
      </c>
      <c r="C490">
        <v>1</v>
      </c>
      <c r="F490">
        <v>1</v>
      </c>
      <c r="I490" s="4" t="s">
        <v>3923</v>
      </c>
      <c r="J490" s="4" t="s">
        <v>4431</v>
      </c>
      <c r="K490" s="4" t="s">
        <v>4105</v>
      </c>
      <c r="L490" s="4" t="s">
        <v>4460</v>
      </c>
      <c r="M490">
        <v>63113</v>
      </c>
      <c r="N490" s="4" t="s">
        <v>4561</v>
      </c>
      <c r="O490" s="4" t="s">
        <v>4811</v>
      </c>
      <c r="P490" s="4" t="s">
        <v>811</v>
      </c>
      <c r="Q490" s="9">
        <v>34506</v>
      </c>
      <c r="R490" s="4" t="s">
        <v>1046</v>
      </c>
      <c r="S490" s="4" t="s">
        <v>4812</v>
      </c>
      <c r="T490" s="4" t="s">
        <v>47</v>
      </c>
      <c r="U490" s="4" t="s">
        <v>102</v>
      </c>
      <c r="V490">
        <v>1994</v>
      </c>
      <c r="W490" s="4" t="s">
        <v>4813</v>
      </c>
      <c r="X490" s="4" t="s">
        <v>4814</v>
      </c>
      <c r="Y490" s="4" t="s">
        <v>4815</v>
      </c>
      <c r="Z490" s="4" t="s">
        <v>4816</v>
      </c>
      <c r="AA490" s="4" t="s">
        <v>47</v>
      </c>
      <c r="AB490" s="4" t="s">
        <v>47</v>
      </c>
      <c r="AC490" s="4" t="s">
        <v>47</v>
      </c>
      <c r="AD490" s="4" t="s">
        <v>47</v>
      </c>
      <c r="AE490" s="4" t="s">
        <v>47</v>
      </c>
      <c r="AF490" s="4" t="s">
        <v>47</v>
      </c>
      <c r="AG490" s="4" t="s">
        <v>47</v>
      </c>
      <c r="AH490" s="4" t="s">
        <v>47</v>
      </c>
      <c r="AI490" s="4" t="s">
        <v>47</v>
      </c>
      <c r="AJ490" s="4" t="s">
        <v>47</v>
      </c>
      <c r="AK490" s="4" t="s">
        <v>47</v>
      </c>
      <c r="AL490" s="4" t="s">
        <v>47</v>
      </c>
      <c r="AM490" s="4" t="s">
        <v>47</v>
      </c>
      <c r="AN490" s="4" t="s">
        <v>47</v>
      </c>
      <c r="AO490" s="4" t="s">
        <v>4817</v>
      </c>
      <c r="AP490" s="4" t="s">
        <v>4818</v>
      </c>
      <c r="AQ490" s="4" t="s">
        <v>4819</v>
      </c>
      <c r="AR490" s="4" t="s">
        <v>4820</v>
      </c>
    </row>
    <row r="491" spans="1:44" x14ac:dyDescent="0.2">
      <c r="A491" s="4" t="s">
        <v>177</v>
      </c>
      <c r="B491" s="4" t="s">
        <v>293</v>
      </c>
      <c r="C491">
        <v>3</v>
      </c>
      <c r="F491">
        <v>0</v>
      </c>
      <c r="I491" s="4" t="s">
        <v>4482</v>
      </c>
      <c r="J491" s="4" t="s">
        <v>4483</v>
      </c>
      <c r="K491" s="4" t="s">
        <v>4400</v>
      </c>
      <c r="L491" s="4" t="s">
        <v>4401</v>
      </c>
      <c r="M491">
        <v>44132</v>
      </c>
      <c r="N491" s="4" t="s">
        <v>4471</v>
      </c>
      <c r="O491" s="4" t="s">
        <v>4821</v>
      </c>
      <c r="P491" s="4" t="s">
        <v>811</v>
      </c>
      <c r="Q491" s="9">
        <v>34506</v>
      </c>
      <c r="R491" s="4" t="s">
        <v>638</v>
      </c>
      <c r="S491" s="4" t="s">
        <v>4473</v>
      </c>
      <c r="T491" s="4" t="s">
        <v>47</v>
      </c>
      <c r="U491" s="4" t="s">
        <v>102</v>
      </c>
      <c r="V491">
        <v>1994</v>
      </c>
      <c r="W491" s="4" t="s">
        <v>4822</v>
      </c>
      <c r="X491" s="4" t="s">
        <v>47</v>
      </c>
      <c r="Y491" s="4" t="s">
        <v>4823</v>
      </c>
      <c r="Z491" s="4" t="s">
        <v>47</v>
      </c>
      <c r="AA491" s="4" t="s">
        <v>47</v>
      </c>
      <c r="AB491" s="4" t="s">
        <v>47</v>
      </c>
      <c r="AC491" s="4" t="s">
        <v>47</v>
      </c>
      <c r="AD491" s="4" t="s">
        <v>47</v>
      </c>
      <c r="AE491" s="4" t="s">
        <v>47</v>
      </c>
      <c r="AF491" s="4" t="s">
        <v>47</v>
      </c>
      <c r="AG491" s="4" t="s">
        <v>47</v>
      </c>
      <c r="AH491" s="4" t="s">
        <v>47</v>
      </c>
      <c r="AI491" s="4" t="s">
        <v>47</v>
      </c>
      <c r="AJ491" s="4" t="s">
        <v>47</v>
      </c>
      <c r="AK491" s="4" t="s">
        <v>47</v>
      </c>
      <c r="AL491" s="4" t="s">
        <v>47</v>
      </c>
      <c r="AM491" s="4" t="s">
        <v>47</v>
      </c>
      <c r="AN491" s="4" t="s">
        <v>47</v>
      </c>
      <c r="AO491" s="4" t="s">
        <v>4824</v>
      </c>
      <c r="AP491" s="4" t="s">
        <v>4825</v>
      </c>
      <c r="AQ491" s="4" t="s">
        <v>4826</v>
      </c>
      <c r="AR491" s="4" t="s">
        <v>4827</v>
      </c>
    </row>
    <row r="492" spans="1:44" x14ac:dyDescent="0.2">
      <c r="A492" s="4" t="s">
        <v>12</v>
      </c>
      <c r="B492" s="4" t="s">
        <v>89</v>
      </c>
      <c r="C492">
        <v>2</v>
      </c>
      <c r="F492">
        <v>0</v>
      </c>
      <c r="I492" s="4" t="s">
        <v>2646</v>
      </c>
      <c r="J492" s="4" t="s">
        <v>4653</v>
      </c>
      <c r="K492" s="4" t="s">
        <v>4640</v>
      </c>
      <c r="L492" s="4" t="s">
        <v>4756</v>
      </c>
      <c r="M492">
        <v>81061</v>
      </c>
      <c r="N492" s="4" t="s">
        <v>4442</v>
      </c>
      <c r="O492" s="4" t="s">
        <v>4828</v>
      </c>
      <c r="P492" s="4" t="s">
        <v>811</v>
      </c>
      <c r="Q492" s="9">
        <v>34505</v>
      </c>
      <c r="R492" s="4" t="s">
        <v>630</v>
      </c>
      <c r="S492" s="4" t="s">
        <v>4829</v>
      </c>
      <c r="T492" s="4" t="s">
        <v>47</v>
      </c>
      <c r="U492" s="4" t="s">
        <v>102</v>
      </c>
      <c r="V492">
        <v>1994</v>
      </c>
      <c r="W492" s="4" t="s">
        <v>4830</v>
      </c>
      <c r="X492" s="4" t="s">
        <v>47</v>
      </c>
      <c r="Y492" s="4" t="s">
        <v>4831</v>
      </c>
      <c r="Z492" s="4" t="s">
        <v>47</v>
      </c>
      <c r="AA492" s="4" t="s">
        <v>47</v>
      </c>
      <c r="AB492" s="4" t="s">
        <v>47</v>
      </c>
      <c r="AC492" s="4" t="s">
        <v>4832</v>
      </c>
      <c r="AD492" s="4" t="s">
        <v>47</v>
      </c>
      <c r="AE492" s="4" t="s">
        <v>47</v>
      </c>
      <c r="AF492" s="4" t="s">
        <v>47</v>
      </c>
      <c r="AG492" s="4" t="s">
        <v>47</v>
      </c>
      <c r="AH492" s="4" t="s">
        <v>47</v>
      </c>
      <c r="AI492" s="4" t="s">
        <v>47</v>
      </c>
      <c r="AJ492" s="4" t="s">
        <v>47</v>
      </c>
      <c r="AK492" s="4" t="s">
        <v>47</v>
      </c>
      <c r="AL492" s="4" t="s">
        <v>47</v>
      </c>
      <c r="AM492" s="4" t="s">
        <v>47</v>
      </c>
      <c r="AN492" s="4" t="s">
        <v>47</v>
      </c>
      <c r="AO492" s="4" t="s">
        <v>47</v>
      </c>
      <c r="AP492" s="4" t="s">
        <v>4833</v>
      </c>
      <c r="AQ492" s="4" t="s">
        <v>4834</v>
      </c>
      <c r="AR492" s="4" t="s">
        <v>4835</v>
      </c>
    </row>
    <row r="493" spans="1:44" x14ac:dyDescent="0.2">
      <c r="A493" s="4" t="s">
        <v>95</v>
      </c>
      <c r="B493" s="4" t="s">
        <v>240</v>
      </c>
      <c r="C493">
        <v>2</v>
      </c>
      <c r="F493">
        <v>1</v>
      </c>
      <c r="I493" s="4" t="s">
        <v>3046</v>
      </c>
      <c r="J493" s="4" t="s">
        <v>4470</v>
      </c>
      <c r="K493" s="4" t="s">
        <v>4534</v>
      </c>
      <c r="L493" s="4" t="s">
        <v>4615</v>
      </c>
      <c r="M493">
        <v>50535</v>
      </c>
      <c r="N493" s="4" t="s">
        <v>4573</v>
      </c>
      <c r="O493" s="4" t="s">
        <v>4836</v>
      </c>
      <c r="P493" s="4" t="s">
        <v>811</v>
      </c>
      <c r="Q493" s="9">
        <v>34505</v>
      </c>
      <c r="R493" s="4" t="s">
        <v>617</v>
      </c>
      <c r="S493" s="4" t="s">
        <v>4837</v>
      </c>
      <c r="T493" s="4" t="s">
        <v>47</v>
      </c>
      <c r="U493" s="4" t="s">
        <v>102</v>
      </c>
      <c r="V493">
        <v>1994</v>
      </c>
      <c r="W493" s="4" t="s">
        <v>4838</v>
      </c>
      <c r="X493" s="4" t="s">
        <v>4839</v>
      </c>
      <c r="Y493" s="4" t="s">
        <v>4840</v>
      </c>
      <c r="Z493" s="4" t="s">
        <v>4841</v>
      </c>
      <c r="AA493" s="4" t="s">
        <v>47</v>
      </c>
      <c r="AB493" s="4" t="s">
        <v>47</v>
      </c>
      <c r="AC493" s="4" t="s">
        <v>47</v>
      </c>
      <c r="AD493" s="4" t="s">
        <v>47</v>
      </c>
      <c r="AE493" s="4" t="s">
        <v>47</v>
      </c>
      <c r="AF493" s="4" t="s">
        <v>47</v>
      </c>
      <c r="AG493" s="4" t="s">
        <v>47</v>
      </c>
      <c r="AH493" s="4" t="s">
        <v>47</v>
      </c>
      <c r="AI493" s="4" t="s">
        <v>47</v>
      </c>
      <c r="AJ493" s="4" t="s">
        <v>47</v>
      </c>
      <c r="AK493" s="4" t="s">
        <v>47</v>
      </c>
      <c r="AL493" s="4" t="s">
        <v>47</v>
      </c>
      <c r="AM493" s="4" t="s">
        <v>47</v>
      </c>
      <c r="AN493" s="4" t="s">
        <v>47</v>
      </c>
      <c r="AO493" s="4" t="s">
        <v>4842</v>
      </c>
      <c r="AP493" s="4" t="s">
        <v>4843</v>
      </c>
      <c r="AQ493" s="4" t="s">
        <v>4844</v>
      </c>
      <c r="AR493" s="4" t="s">
        <v>4845</v>
      </c>
    </row>
    <row r="494" spans="1:44" x14ac:dyDescent="0.2">
      <c r="A494" s="4" t="s">
        <v>148</v>
      </c>
      <c r="B494" s="4" t="s">
        <v>144</v>
      </c>
      <c r="C494">
        <v>1</v>
      </c>
      <c r="F494">
        <v>0</v>
      </c>
      <c r="I494" s="4" t="s">
        <v>4559</v>
      </c>
      <c r="J494" s="4" t="s">
        <v>4560</v>
      </c>
      <c r="K494" s="4" t="s">
        <v>4602</v>
      </c>
      <c r="L494" s="4" t="s">
        <v>4846</v>
      </c>
      <c r="M494">
        <v>61219</v>
      </c>
      <c r="N494" s="4" t="s">
        <v>4515</v>
      </c>
      <c r="O494" s="4" t="s">
        <v>4847</v>
      </c>
      <c r="P494" s="4" t="s">
        <v>811</v>
      </c>
      <c r="Q494" s="9">
        <v>34504</v>
      </c>
      <c r="R494" s="4" t="s">
        <v>652</v>
      </c>
      <c r="S494" s="4" t="s">
        <v>4423</v>
      </c>
      <c r="T494" s="4" t="s">
        <v>47</v>
      </c>
      <c r="U494" s="4" t="s">
        <v>102</v>
      </c>
      <c r="V494">
        <v>1994</v>
      </c>
      <c r="W494" s="4" t="s">
        <v>4848</v>
      </c>
      <c r="X494" s="4" t="s">
        <v>47</v>
      </c>
      <c r="Y494" s="4" t="s">
        <v>4849</v>
      </c>
      <c r="Z494" s="4" t="s">
        <v>47</v>
      </c>
      <c r="AA494" s="4" t="s">
        <v>47</v>
      </c>
      <c r="AB494" s="4" t="s">
        <v>47</v>
      </c>
      <c r="AC494" s="4" t="s">
        <v>47</v>
      </c>
      <c r="AD494" s="4" t="s">
        <v>47</v>
      </c>
      <c r="AE494" s="4" t="s">
        <v>47</v>
      </c>
      <c r="AF494" s="4" t="s">
        <v>47</v>
      </c>
      <c r="AG494" s="4" t="s">
        <v>47</v>
      </c>
      <c r="AH494" s="4" t="s">
        <v>47</v>
      </c>
      <c r="AI494" s="4" t="s">
        <v>47</v>
      </c>
      <c r="AJ494" s="4" t="s">
        <v>47</v>
      </c>
      <c r="AK494" s="4" t="s">
        <v>47</v>
      </c>
      <c r="AL494" s="4" t="s">
        <v>47</v>
      </c>
      <c r="AM494" s="4" t="s">
        <v>47</v>
      </c>
      <c r="AN494" s="4" t="s">
        <v>47</v>
      </c>
      <c r="AO494" s="4" t="s">
        <v>4850</v>
      </c>
      <c r="AP494" s="4" t="s">
        <v>4851</v>
      </c>
      <c r="AQ494" s="4" t="s">
        <v>4852</v>
      </c>
      <c r="AR494" s="4" t="s">
        <v>4853</v>
      </c>
    </row>
    <row r="495" spans="1:44" x14ac:dyDescent="0.2">
      <c r="A495" s="4" t="s">
        <v>19</v>
      </c>
      <c r="B495" s="4" t="s">
        <v>106</v>
      </c>
      <c r="C495">
        <v>1</v>
      </c>
      <c r="F495">
        <v>0</v>
      </c>
      <c r="I495" s="4" t="s">
        <v>4011</v>
      </c>
      <c r="J495" s="4" t="s">
        <v>4634</v>
      </c>
      <c r="K495" s="4" t="s">
        <v>4496</v>
      </c>
      <c r="L495" s="4" t="s">
        <v>4497</v>
      </c>
      <c r="M495">
        <v>52395</v>
      </c>
      <c r="N495" s="4" t="s">
        <v>4573</v>
      </c>
      <c r="O495" s="4" t="s">
        <v>4854</v>
      </c>
      <c r="P495" s="4" t="s">
        <v>811</v>
      </c>
      <c r="Q495" s="9">
        <v>34504</v>
      </c>
      <c r="R495" s="4" t="s">
        <v>652</v>
      </c>
      <c r="S495" s="4" t="s">
        <v>4389</v>
      </c>
      <c r="T495" s="4" t="s">
        <v>47</v>
      </c>
      <c r="U495" s="4" t="s">
        <v>102</v>
      </c>
      <c r="V495">
        <v>1994</v>
      </c>
      <c r="W495" s="4" t="s">
        <v>4855</v>
      </c>
      <c r="X495" s="4" t="s">
        <v>47</v>
      </c>
      <c r="Y495" s="4" t="s">
        <v>4856</v>
      </c>
      <c r="Z495" s="4" t="s">
        <v>47</v>
      </c>
      <c r="AA495" s="4" t="s">
        <v>47</v>
      </c>
      <c r="AB495" s="4" t="s">
        <v>47</v>
      </c>
      <c r="AC495" s="4" t="s">
        <v>47</v>
      </c>
      <c r="AD495" s="4" t="s">
        <v>47</v>
      </c>
      <c r="AE495" s="4" t="s">
        <v>47</v>
      </c>
      <c r="AF495" s="4" t="s">
        <v>47</v>
      </c>
      <c r="AG495" s="4" t="s">
        <v>47</v>
      </c>
      <c r="AH495" s="4" t="s">
        <v>47</v>
      </c>
      <c r="AI495" s="4" t="s">
        <v>47</v>
      </c>
      <c r="AJ495" s="4" t="s">
        <v>47</v>
      </c>
      <c r="AK495" s="4" t="s">
        <v>47</v>
      </c>
      <c r="AL495" s="4" t="s">
        <v>47</v>
      </c>
      <c r="AM495" s="4" t="s">
        <v>47</v>
      </c>
      <c r="AN495" s="4" t="s">
        <v>47</v>
      </c>
      <c r="AO495" s="4" t="s">
        <v>4857</v>
      </c>
      <c r="AP495" s="4" t="s">
        <v>4858</v>
      </c>
      <c r="AQ495" s="4" t="s">
        <v>4859</v>
      </c>
      <c r="AR495" s="4" t="s">
        <v>4860</v>
      </c>
    </row>
    <row r="496" spans="1:44" x14ac:dyDescent="0.2">
      <c r="A496" s="4" t="s">
        <v>209</v>
      </c>
      <c r="B496" s="4" t="s">
        <v>116</v>
      </c>
      <c r="C496">
        <v>2</v>
      </c>
      <c r="F496">
        <v>2</v>
      </c>
      <c r="I496" s="4" t="s">
        <v>3114</v>
      </c>
      <c r="J496" s="4" t="s">
        <v>4642</v>
      </c>
      <c r="K496" s="4" t="s">
        <v>4398</v>
      </c>
      <c r="L496" s="4" t="s">
        <v>4421</v>
      </c>
      <c r="M496">
        <v>93194</v>
      </c>
      <c r="N496" s="4" t="s">
        <v>4386</v>
      </c>
      <c r="O496" s="4" t="s">
        <v>4861</v>
      </c>
      <c r="P496" s="4" t="s">
        <v>811</v>
      </c>
      <c r="Q496" s="9">
        <v>34504</v>
      </c>
      <c r="R496" s="4" t="s">
        <v>1487</v>
      </c>
      <c r="S496" s="4" t="s">
        <v>4605</v>
      </c>
      <c r="T496" s="4" t="s">
        <v>47</v>
      </c>
      <c r="U496" s="4" t="s">
        <v>102</v>
      </c>
      <c r="V496">
        <v>1994</v>
      </c>
      <c r="W496" s="4" t="s">
        <v>4862</v>
      </c>
      <c r="X496" s="4" t="s">
        <v>4863</v>
      </c>
      <c r="Y496" s="4" t="s">
        <v>4864</v>
      </c>
      <c r="Z496" s="4" t="s">
        <v>4865</v>
      </c>
      <c r="AA496" s="4" t="s">
        <v>47</v>
      </c>
      <c r="AB496" s="4" t="s">
        <v>47</v>
      </c>
      <c r="AC496" s="4" t="s">
        <v>47</v>
      </c>
      <c r="AD496" s="4" t="s">
        <v>47</v>
      </c>
      <c r="AE496" s="4" t="s">
        <v>47</v>
      </c>
      <c r="AF496" s="4" t="s">
        <v>47</v>
      </c>
      <c r="AG496" s="4" t="s">
        <v>47</v>
      </c>
      <c r="AH496" s="4" t="s">
        <v>47</v>
      </c>
      <c r="AI496" s="4" t="s">
        <v>47</v>
      </c>
      <c r="AJ496" s="4" t="s">
        <v>47</v>
      </c>
      <c r="AK496" s="4" t="s">
        <v>47</v>
      </c>
      <c r="AL496" s="4" t="s">
        <v>47</v>
      </c>
      <c r="AM496" s="4" t="s">
        <v>47</v>
      </c>
      <c r="AN496" s="4" t="s">
        <v>47</v>
      </c>
      <c r="AO496" s="4" t="s">
        <v>4866</v>
      </c>
      <c r="AP496" s="4" t="s">
        <v>4867</v>
      </c>
      <c r="AQ496" s="4" t="s">
        <v>4868</v>
      </c>
      <c r="AR496" s="4" t="s">
        <v>4869</v>
      </c>
    </row>
    <row r="497" spans="1:44" x14ac:dyDescent="0.2">
      <c r="A497" s="4" t="s">
        <v>102</v>
      </c>
      <c r="B497" s="4" t="s">
        <v>118</v>
      </c>
      <c r="C497">
        <v>1</v>
      </c>
      <c r="F497">
        <v>1</v>
      </c>
      <c r="I497" s="4" t="s">
        <v>4523</v>
      </c>
      <c r="J497" s="4" t="s">
        <v>4524</v>
      </c>
      <c r="K497" s="4" t="s">
        <v>2083</v>
      </c>
      <c r="L497" s="4" t="s">
        <v>4572</v>
      </c>
      <c r="M497">
        <v>73425</v>
      </c>
      <c r="N497" s="4" t="s">
        <v>4654</v>
      </c>
      <c r="O497" s="4" t="s">
        <v>4870</v>
      </c>
      <c r="P497" s="4" t="s">
        <v>811</v>
      </c>
      <c r="Q497" s="9">
        <v>34503</v>
      </c>
      <c r="R497" s="4" t="s">
        <v>1046</v>
      </c>
      <c r="S497" s="4" t="s">
        <v>4625</v>
      </c>
      <c r="T497" s="4" t="s">
        <v>47</v>
      </c>
      <c r="U497" s="4" t="s">
        <v>102</v>
      </c>
      <c r="V497">
        <v>1994</v>
      </c>
      <c r="W497" s="4" t="s">
        <v>4871</v>
      </c>
      <c r="X497" s="4" t="s">
        <v>4872</v>
      </c>
      <c r="Y497" s="4" t="s">
        <v>4873</v>
      </c>
      <c r="Z497" s="4" t="s">
        <v>4874</v>
      </c>
      <c r="AA497" s="4" t="s">
        <v>47</v>
      </c>
      <c r="AB497" s="4" t="s">
        <v>47</v>
      </c>
      <c r="AC497" s="4" t="s">
        <v>47</v>
      </c>
      <c r="AD497" s="4" t="s">
        <v>47</v>
      </c>
      <c r="AE497" s="4" t="s">
        <v>47</v>
      </c>
      <c r="AF497" s="4" t="s">
        <v>47</v>
      </c>
      <c r="AG497" s="4" t="s">
        <v>47</v>
      </c>
      <c r="AH497" s="4" t="s">
        <v>47</v>
      </c>
      <c r="AI497" s="4" t="s">
        <v>47</v>
      </c>
      <c r="AJ497" s="4" t="s">
        <v>47</v>
      </c>
      <c r="AK497" s="4" t="s">
        <v>47</v>
      </c>
      <c r="AL497" s="4" t="s">
        <v>47</v>
      </c>
      <c r="AM497" s="4" t="s">
        <v>47</v>
      </c>
      <c r="AN497" s="4" t="s">
        <v>47</v>
      </c>
      <c r="AO497" s="4" t="s">
        <v>4875</v>
      </c>
      <c r="AP497" s="4" t="s">
        <v>4876</v>
      </c>
      <c r="AQ497" s="4" t="s">
        <v>4877</v>
      </c>
      <c r="AR497" s="4" t="s">
        <v>4878</v>
      </c>
    </row>
    <row r="498" spans="1:44" x14ac:dyDescent="0.2">
      <c r="A498" s="4" t="s">
        <v>97</v>
      </c>
      <c r="B498" s="4" t="s">
        <v>235</v>
      </c>
      <c r="C498">
        <v>0</v>
      </c>
      <c r="F498">
        <v>1</v>
      </c>
      <c r="I498" s="4" t="s">
        <v>4384</v>
      </c>
      <c r="J498" s="4" t="s">
        <v>4385</v>
      </c>
      <c r="K498" s="4" t="s">
        <v>4513</v>
      </c>
      <c r="L498" s="4" t="s">
        <v>4514</v>
      </c>
      <c r="M498">
        <v>75338</v>
      </c>
      <c r="N498" s="4" t="s">
        <v>4411</v>
      </c>
      <c r="O498" s="4" t="s">
        <v>4879</v>
      </c>
      <c r="P498" s="4" t="s">
        <v>811</v>
      </c>
      <c r="Q498" s="9">
        <v>34503</v>
      </c>
      <c r="R498" s="4" t="s">
        <v>963</v>
      </c>
      <c r="S498" s="4" t="s">
        <v>4575</v>
      </c>
      <c r="T498" s="4" t="s">
        <v>47</v>
      </c>
      <c r="U498" s="4" t="s">
        <v>102</v>
      </c>
      <c r="V498">
        <v>1994</v>
      </c>
      <c r="W498" s="4" t="s">
        <v>47</v>
      </c>
      <c r="X498" s="4" t="s">
        <v>4880</v>
      </c>
      <c r="Y498" s="4" t="s">
        <v>47</v>
      </c>
      <c r="Z498" s="4" t="s">
        <v>4881</v>
      </c>
      <c r="AA498" s="4" t="s">
        <v>47</v>
      </c>
      <c r="AB498" s="4" t="s">
        <v>47</v>
      </c>
      <c r="AC498" s="4" t="s">
        <v>47</v>
      </c>
      <c r="AD498" s="4" t="s">
        <v>47</v>
      </c>
      <c r="AE498" s="4" t="s">
        <v>47</v>
      </c>
      <c r="AF498" s="4" t="s">
        <v>47</v>
      </c>
      <c r="AG498" s="4" t="s">
        <v>47</v>
      </c>
      <c r="AH498" s="4" t="s">
        <v>47</v>
      </c>
      <c r="AI498" s="4" t="s">
        <v>47</v>
      </c>
      <c r="AJ498" s="4" t="s">
        <v>47</v>
      </c>
      <c r="AK498" s="4" t="s">
        <v>47</v>
      </c>
      <c r="AL498" s="4" t="s">
        <v>47</v>
      </c>
      <c r="AM498" s="4" t="s">
        <v>47</v>
      </c>
      <c r="AN498" s="4" t="s">
        <v>47</v>
      </c>
      <c r="AO498" s="4" t="s">
        <v>47</v>
      </c>
      <c r="AP498" s="4" t="s">
        <v>4882</v>
      </c>
      <c r="AQ498" s="4" t="s">
        <v>4883</v>
      </c>
      <c r="AR498" s="4" t="s">
        <v>4884</v>
      </c>
    </row>
    <row r="499" spans="1:44" x14ac:dyDescent="0.2">
      <c r="A499" s="4" t="s">
        <v>153</v>
      </c>
      <c r="B499" s="4" t="s">
        <v>227</v>
      </c>
      <c r="C499">
        <v>1</v>
      </c>
      <c r="F499">
        <v>3</v>
      </c>
      <c r="I499" s="4" t="s">
        <v>4702</v>
      </c>
      <c r="J499" s="4" t="s">
        <v>4703</v>
      </c>
      <c r="K499" s="4" t="s">
        <v>4440</v>
      </c>
      <c r="L499" s="4" t="s">
        <v>4441</v>
      </c>
      <c r="M499">
        <v>91856</v>
      </c>
      <c r="N499" s="4" t="s">
        <v>4386</v>
      </c>
      <c r="O499" s="4" t="s">
        <v>4885</v>
      </c>
      <c r="P499" s="4" t="s">
        <v>811</v>
      </c>
      <c r="Q499" s="9">
        <v>34503</v>
      </c>
      <c r="R499" s="4" t="s">
        <v>1098</v>
      </c>
      <c r="S499" s="4" t="s">
        <v>4499</v>
      </c>
      <c r="T499" s="4" t="s">
        <v>47</v>
      </c>
      <c r="U499" s="4" t="s">
        <v>102</v>
      </c>
      <c r="V499">
        <v>1994</v>
      </c>
      <c r="W499" s="4" t="s">
        <v>4886</v>
      </c>
      <c r="X499" s="4" t="s">
        <v>4887</v>
      </c>
      <c r="Y499" s="4" t="s">
        <v>4888</v>
      </c>
      <c r="Z499" s="4" t="s">
        <v>4889</v>
      </c>
      <c r="AA499" s="4" t="s">
        <v>47</v>
      </c>
      <c r="AB499" s="4" t="s">
        <v>47</v>
      </c>
      <c r="AC499" s="4" t="s">
        <v>47</v>
      </c>
      <c r="AD499" s="4" t="s">
        <v>47</v>
      </c>
      <c r="AE499" s="4" t="s">
        <v>47</v>
      </c>
      <c r="AF499" s="4" t="s">
        <v>47</v>
      </c>
      <c r="AG499" s="4" t="s">
        <v>47</v>
      </c>
      <c r="AH499" s="4" t="s">
        <v>47</v>
      </c>
      <c r="AI499" s="4" t="s">
        <v>47</v>
      </c>
      <c r="AJ499" s="4" t="s">
        <v>47</v>
      </c>
      <c r="AK499" s="4" t="s">
        <v>47</v>
      </c>
      <c r="AL499" s="4" t="s">
        <v>47</v>
      </c>
      <c r="AM499" s="4" t="s">
        <v>47</v>
      </c>
      <c r="AN499" s="4" t="s">
        <v>47</v>
      </c>
      <c r="AO499" s="4" t="s">
        <v>4890</v>
      </c>
      <c r="AP499" s="4" t="s">
        <v>4891</v>
      </c>
      <c r="AQ499" s="4" t="s">
        <v>47</v>
      </c>
      <c r="AR499" s="4" t="s">
        <v>4892</v>
      </c>
    </row>
    <row r="500" spans="1:44" x14ac:dyDescent="0.2">
      <c r="A500" s="4" t="s">
        <v>92</v>
      </c>
      <c r="B500" s="4" t="s">
        <v>272</v>
      </c>
      <c r="C500">
        <v>1</v>
      </c>
      <c r="F500">
        <v>0</v>
      </c>
      <c r="I500" s="4" t="s">
        <v>3923</v>
      </c>
      <c r="J500" s="4" t="s">
        <v>4431</v>
      </c>
      <c r="K500" s="4" t="s">
        <v>4675</v>
      </c>
      <c r="L500" s="4" t="s">
        <v>4676</v>
      </c>
      <c r="M500">
        <v>63117</v>
      </c>
      <c r="N500" s="4" t="s">
        <v>4561</v>
      </c>
      <c r="O500" s="4" t="s">
        <v>4893</v>
      </c>
      <c r="P500" s="4" t="s">
        <v>811</v>
      </c>
      <c r="Q500" s="9">
        <v>34502</v>
      </c>
      <c r="R500" s="4" t="s">
        <v>652</v>
      </c>
      <c r="S500" s="4" t="s">
        <v>4485</v>
      </c>
      <c r="T500" s="4" t="s">
        <v>47</v>
      </c>
      <c r="U500" s="4" t="s">
        <v>102</v>
      </c>
      <c r="V500">
        <v>1994</v>
      </c>
      <c r="W500" s="4" t="s">
        <v>4894</v>
      </c>
      <c r="X500" s="4" t="s">
        <v>47</v>
      </c>
      <c r="Y500" s="4" t="s">
        <v>4895</v>
      </c>
      <c r="Z500" s="4" t="s">
        <v>47</v>
      </c>
      <c r="AA500" s="4" t="s">
        <v>47</v>
      </c>
      <c r="AB500" s="4" t="s">
        <v>47</v>
      </c>
      <c r="AC500" s="4" t="s">
        <v>47</v>
      </c>
      <c r="AD500" s="4" t="s">
        <v>47</v>
      </c>
      <c r="AE500" s="4" t="s">
        <v>47</v>
      </c>
      <c r="AF500" s="4" t="s">
        <v>47</v>
      </c>
      <c r="AG500" s="4" t="s">
        <v>47</v>
      </c>
      <c r="AH500" s="4" t="s">
        <v>47</v>
      </c>
      <c r="AI500" s="4" t="s">
        <v>47</v>
      </c>
      <c r="AJ500" s="4" t="s">
        <v>47</v>
      </c>
      <c r="AK500" s="4" t="s">
        <v>47</v>
      </c>
      <c r="AL500" s="4" t="s">
        <v>4896</v>
      </c>
      <c r="AM500" s="4" t="s">
        <v>47</v>
      </c>
      <c r="AN500" s="4" t="s">
        <v>47</v>
      </c>
      <c r="AO500" s="4" t="s">
        <v>4897</v>
      </c>
      <c r="AP500" s="4" t="s">
        <v>4898</v>
      </c>
      <c r="AQ500" s="4" t="s">
        <v>4899</v>
      </c>
      <c r="AR500" s="4" t="s">
        <v>4900</v>
      </c>
    </row>
    <row r="501" spans="1:44" x14ac:dyDescent="0.2">
      <c r="A501" s="4" t="s">
        <v>20</v>
      </c>
      <c r="B501" s="4" t="s">
        <v>175</v>
      </c>
      <c r="C501">
        <v>2</v>
      </c>
      <c r="F501">
        <v>2</v>
      </c>
      <c r="I501" s="4" t="s">
        <v>4105</v>
      </c>
      <c r="J501" s="4" t="s">
        <v>4901</v>
      </c>
      <c r="K501" s="4" t="s">
        <v>4664</v>
      </c>
      <c r="L501" s="4" t="s">
        <v>4665</v>
      </c>
      <c r="M501">
        <v>56247</v>
      </c>
      <c r="N501" s="4" t="s">
        <v>4471</v>
      </c>
      <c r="O501" s="4" t="s">
        <v>4902</v>
      </c>
      <c r="P501" s="4" t="s">
        <v>811</v>
      </c>
      <c r="Q501" s="9">
        <v>34502</v>
      </c>
      <c r="R501" s="4" t="s">
        <v>1487</v>
      </c>
      <c r="S501" s="4" t="s">
        <v>4517</v>
      </c>
      <c r="T501" s="4" t="s">
        <v>47</v>
      </c>
      <c r="U501" s="4" t="s">
        <v>102</v>
      </c>
      <c r="V501">
        <v>1994</v>
      </c>
      <c r="W501" s="4" t="s">
        <v>4903</v>
      </c>
      <c r="X501" s="4" t="s">
        <v>4904</v>
      </c>
      <c r="Y501" s="4" t="s">
        <v>4905</v>
      </c>
      <c r="Z501" s="4" t="s">
        <v>4906</v>
      </c>
      <c r="AA501" s="4" t="s">
        <v>47</v>
      </c>
      <c r="AB501" s="4" t="s">
        <v>47</v>
      </c>
      <c r="AC501" s="4" t="s">
        <v>47</v>
      </c>
      <c r="AD501" s="4" t="s">
        <v>47</v>
      </c>
      <c r="AE501" s="4" t="s">
        <v>47</v>
      </c>
      <c r="AF501" s="4" t="s">
        <v>47</v>
      </c>
      <c r="AG501" s="4" t="s">
        <v>47</v>
      </c>
      <c r="AH501" s="4" t="s">
        <v>47</v>
      </c>
      <c r="AI501" s="4" t="s">
        <v>47</v>
      </c>
      <c r="AJ501" s="4" t="s">
        <v>47</v>
      </c>
      <c r="AK501" s="4" t="s">
        <v>4907</v>
      </c>
      <c r="AL501" s="4" t="s">
        <v>47</v>
      </c>
      <c r="AM501" s="4" t="s">
        <v>47</v>
      </c>
      <c r="AN501" s="4" t="s">
        <v>47</v>
      </c>
      <c r="AO501" s="4" t="s">
        <v>4908</v>
      </c>
      <c r="AP501" s="4" t="s">
        <v>4909</v>
      </c>
      <c r="AQ501" s="4" t="s">
        <v>4910</v>
      </c>
      <c r="AR501" s="4" t="s">
        <v>4911</v>
      </c>
    </row>
    <row r="502" spans="1:44" x14ac:dyDescent="0.2">
      <c r="A502" s="4" t="s">
        <v>104</v>
      </c>
      <c r="B502" s="4" t="s">
        <v>26</v>
      </c>
      <c r="C502">
        <v>1</v>
      </c>
      <c r="F502">
        <v>0</v>
      </c>
      <c r="I502" s="4" t="s">
        <v>4912</v>
      </c>
      <c r="J502" s="4" t="s">
        <v>4431</v>
      </c>
      <c r="K502" s="4" t="s">
        <v>4913</v>
      </c>
      <c r="L502" s="4" t="s">
        <v>2446</v>
      </c>
      <c r="M502">
        <v>73603</v>
      </c>
      <c r="N502" s="4" t="s">
        <v>4914</v>
      </c>
      <c r="O502" s="4" t="s">
        <v>4915</v>
      </c>
      <c r="P502" s="4" t="s">
        <v>593</v>
      </c>
      <c r="Q502" s="9">
        <v>33062</v>
      </c>
      <c r="R502" s="4" t="s">
        <v>652</v>
      </c>
      <c r="S502" s="4" t="s">
        <v>4916</v>
      </c>
      <c r="T502" s="4" t="s">
        <v>47</v>
      </c>
      <c r="U502" s="4" t="s">
        <v>97</v>
      </c>
      <c r="V502">
        <v>1990</v>
      </c>
      <c r="W502" s="4" t="s">
        <v>47</v>
      </c>
      <c r="X502" s="4" t="s">
        <v>47</v>
      </c>
      <c r="Y502" s="4" t="s">
        <v>47</v>
      </c>
      <c r="Z502" s="4" t="s">
        <v>47</v>
      </c>
      <c r="AA502" s="4" t="s">
        <v>47</v>
      </c>
      <c r="AB502" s="4" t="s">
        <v>47</v>
      </c>
      <c r="AC502" s="4" t="s">
        <v>4917</v>
      </c>
      <c r="AD502" s="4" t="s">
        <v>47</v>
      </c>
      <c r="AE502" s="4" t="s">
        <v>47</v>
      </c>
      <c r="AF502" s="4" t="s">
        <v>47</v>
      </c>
      <c r="AG502" s="4" t="s">
        <v>47</v>
      </c>
      <c r="AH502" s="4" t="s">
        <v>47</v>
      </c>
      <c r="AI502" s="4" t="s">
        <v>47</v>
      </c>
      <c r="AJ502" s="4" t="s">
        <v>47</v>
      </c>
      <c r="AK502" s="4" t="s">
        <v>47</v>
      </c>
      <c r="AL502" s="4" t="s">
        <v>4918</v>
      </c>
      <c r="AM502" s="4" t="s">
        <v>47</v>
      </c>
      <c r="AN502" s="4" t="s">
        <v>47</v>
      </c>
      <c r="AO502" s="4" t="s">
        <v>4919</v>
      </c>
      <c r="AP502" s="4" t="s">
        <v>4920</v>
      </c>
      <c r="AQ502" s="4" t="s">
        <v>4921</v>
      </c>
      <c r="AR502" s="4" t="s">
        <v>4922</v>
      </c>
    </row>
    <row r="503" spans="1:44" x14ac:dyDescent="0.2">
      <c r="A503" s="4" t="s">
        <v>97</v>
      </c>
      <c r="B503" s="4" t="s">
        <v>52</v>
      </c>
      <c r="C503">
        <v>2</v>
      </c>
      <c r="F503">
        <v>1</v>
      </c>
      <c r="I503" s="4" t="s">
        <v>4923</v>
      </c>
      <c r="J503" s="4" t="s">
        <v>4924</v>
      </c>
      <c r="K503" s="4" t="s">
        <v>4925</v>
      </c>
      <c r="L503" s="4" t="s">
        <v>4926</v>
      </c>
      <c r="M503">
        <v>51426</v>
      </c>
      <c r="N503" s="4" t="s">
        <v>4927</v>
      </c>
      <c r="O503" s="4" t="s">
        <v>4928</v>
      </c>
      <c r="P503" s="4" t="s">
        <v>616</v>
      </c>
      <c r="Q503" s="9">
        <v>33061</v>
      </c>
      <c r="R503" s="4" t="s">
        <v>617</v>
      </c>
      <c r="S503" s="4" t="s">
        <v>4413</v>
      </c>
      <c r="T503" s="4" t="s">
        <v>47</v>
      </c>
      <c r="U503" s="4" t="s">
        <v>97</v>
      </c>
      <c r="V503">
        <v>1990</v>
      </c>
      <c r="W503" s="4" t="s">
        <v>4929</v>
      </c>
      <c r="X503" s="4" t="s">
        <v>4930</v>
      </c>
      <c r="Y503" s="4" t="s">
        <v>4931</v>
      </c>
      <c r="Z503" s="4" t="s">
        <v>4932</v>
      </c>
      <c r="AA503" s="4" t="s">
        <v>47</v>
      </c>
      <c r="AB503" s="4" t="s">
        <v>47</v>
      </c>
      <c r="AC503" s="4" t="s">
        <v>4933</v>
      </c>
      <c r="AD503" s="4" t="s">
        <v>47</v>
      </c>
      <c r="AE503" s="4" t="s">
        <v>47</v>
      </c>
      <c r="AF503" s="4" t="s">
        <v>47</v>
      </c>
      <c r="AG503" s="4" t="s">
        <v>47</v>
      </c>
      <c r="AH503" s="4" t="s">
        <v>47</v>
      </c>
      <c r="AI503" s="4" t="s">
        <v>47</v>
      </c>
      <c r="AJ503" s="4" t="s">
        <v>47</v>
      </c>
      <c r="AK503" s="4" t="s">
        <v>47</v>
      </c>
      <c r="AL503" s="4" t="s">
        <v>47</v>
      </c>
      <c r="AM503" s="4" t="s">
        <v>47</v>
      </c>
      <c r="AN503" s="4" t="s">
        <v>47</v>
      </c>
      <c r="AO503" s="4" t="s">
        <v>47</v>
      </c>
      <c r="AP503" s="4" t="s">
        <v>47</v>
      </c>
      <c r="AQ503" s="4" t="s">
        <v>4934</v>
      </c>
      <c r="AR503" s="4" t="s">
        <v>4935</v>
      </c>
    </row>
    <row r="504" spans="1:44" x14ac:dyDescent="0.2">
      <c r="A504" s="4" t="s">
        <v>104</v>
      </c>
      <c r="B504" s="4" t="s">
        <v>52</v>
      </c>
      <c r="C504">
        <v>1</v>
      </c>
      <c r="E504">
        <v>4</v>
      </c>
      <c r="F504">
        <v>1</v>
      </c>
      <c r="H504">
        <v>3</v>
      </c>
      <c r="I504" s="4" t="s">
        <v>4912</v>
      </c>
      <c r="J504" s="4" t="s">
        <v>4431</v>
      </c>
      <c r="K504" s="4" t="s">
        <v>4925</v>
      </c>
      <c r="L504" s="4" t="s">
        <v>4936</v>
      </c>
      <c r="M504">
        <v>62628</v>
      </c>
      <c r="N504" s="4" t="s">
        <v>4937</v>
      </c>
      <c r="O504" s="4" t="s">
        <v>4938</v>
      </c>
      <c r="P504" s="4" t="s">
        <v>629</v>
      </c>
      <c r="Q504" s="9">
        <v>33058</v>
      </c>
      <c r="R504" s="4" t="s">
        <v>4939</v>
      </c>
      <c r="S504" s="4" t="s">
        <v>4940</v>
      </c>
      <c r="T504" s="4" t="s">
        <v>4941</v>
      </c>
      <c r="U504" s="4" t="s">
        <v>97</v>
      </c>
      <c r="V504">
        <v>1990</v>
      </c>
      <c r="W504" s="4" t="s">
        <v>4942</v>
      </c>
      <c r="X504" s="4" t="s">
        <v>4943</v>
      </c>
      <c r="Y504" s="4" t="s">
        <v>4944</v>
      </c>
      <c r="Z504" s="4" t="s">
        <v>4945</v>
      </c>
      <c r="AA504" s="4" t="s">
        <v>47</v>
      </c>
      <c r="AB504" s="4" t="s">
        <v>47</v>
      </c>
      <c r="AC504" s="4" t="s">
        <v>47</v>
      </c>
      <c r="AD504" s="4" t="s">
        <v>47</v>
      </c>
      <c r="AE504" s="4" t="s">
        <v>47</v>
      </c>
      <c r="AF504" s="4" t="s">
        <v>47</v>
      </c>
      <c r="AG504" s="4" t="s">
        <v>4946</v>
      </c>
      <c r="AH504" s="4" t="s">
        <v>4947</v>
      </c>
      <c r="AI504" s="4" t="s">
        <v>47</v>
      </c>
      <c r="AJ504" s="4" t="s">
        <v>4948</v>
      </c>
      <c r="AK504" s="4" t="s">
        <v>47</v>
      </c>
      <c r="AL504" s="4" t="s">
        <v>47</v>
      </c>
      <c r="AM504" s="4" t="s">
        <v>47</v>
      </c>
      <c r="AN504" s="4" t="s">
        <v>47</v>
      </c>
      <c r="AO504" s="4" t="s">
        <v>4949</v>
      </c>
      <c r="AP504" s="4" t="s">
        <v>4950</v>
      </c>
      <c r="AQ504" s="4" t="s">
        <v>4951</v>
      </c>
      <c r="AR504" s="4" t="s">
        <v>4952</v>
      </c>
    </row>
    <row r="505" spans="1:44" x14ac:dyDescent="0.2">
      <c r="A505" s="4" t="s">
        <v>97</v>
      </c>
      <c r="B505" s="4" t="s">
        <v>26</v>
      </c>
      <c r="C505">
        <v>1</v>
      </c>
      <c r="E505">
        <v>3</v>
      </c>
      <c r="F505">
        <v>1</v>
      </c>
      <c r="H505">
        <v>4</v>
      </c>
      <c r="I505" s="4" t="s">
        <v>4923</v>
      </c>
      <c r="J505" s="4" t="s">
        <v>4924</v>
      </c>
      <c r="K505" s="4" t="s">
        <v>4913</v>
      </c>
      <c r="L505" s="4" t="s">
        <v>2446</v>
      </c>
      <c r="M505">
        <v>59978</v>
      </c>
      <c r="N505" s="4" t="s">
        <v>4953</v>
      </c>
      <c r="O505" s="4" t="s">
        <v>4954</v>
      </c>
      <c r="P505" s="4" t="s">
        <v>629</v>
      </c>
      <c r="Q505" s="9">
        <v>33057</v>
      </c>
      <c r="R505" s="4" t="s">
        <v>1340</v>
      </c>
      <c r="S505" s="4" t="s">
        <v>4955</v>
      </c>
      <c r="T505" s="4" t="s">
        <v>596</v>
      </c>
      <c r="U505" s="4" t="s">
        <v>97</v>
      </c>
      <c r="V505">
        <v>1990</v>
      </c>
      <c r="W505" s="4" t="s">
        <v>4956</v>
      </c>
      <c r="X505" s="4" t="s">
        <v>4957</v>
      </c>
      <c r="Y505" s="4" t="s">
        <v>4958</v>
      </c>
      <c r="Z505" s="4" t="s">
        <v>4959</v>
      </c>
      <c r="AA505" s="4" t="s">
        <v>47</v>
      </c>
      <c r="AB505" s="4" t="s">
        <v>47</v>
      </c>
      <c r="AC505" s="4" t="s">
        <v>47</v>
      </c>
      <c r="AD505" s="4" t="s">
        <v>47</v>
      </c>
      <c r="AE505" s="4" t="s">
        <v>47</v>
      </c>
      <c r="AF505" s="4" t="s">
        <v>47</v>
      </c>
      <c r="AG505" s="4" t="s">
        <v>4960</v>
      </c>
      <c r="AH505" s="4" t="s">
        <v>4961</v>
      </c>
      <c r="AI505" s="4" t="s">
        <v>4962</v>
      </c>
      <c r="AJ505" s="4" t="s">
        <v>47</v>
      </c>
      <c r="AK505" s="4" t="s">
        <v>47</v>
      </c>
      <c r="AL505" s="4" t="s">
        <v>47</v>
      </c>
      <c r="AM505" s="4" t="s">
        <v>47</v>
      </c>
      <c r="AN505" s="4" t="s">
        <v>4963</v>
      </c>
      <c r="AO505" s="4" t="s">
        <v>4964</v>
      </c>
      <c r="AP505" s="4" t="s">
        <v>4965</v>
      </c>
      <c r="AQ505" s="4" t="s">
        <v>4966</v>
      </c>
      <c r="AR505" s="4" t="s">
        <v>4967</v>
      </c>
    </row>
    <row r="506" spans="1:44" x14ac:dyDescent="0.2">
      <c r="A506" s="4" t="s">
        <v>104</v>
      </c>
      <c r="B506" s="4" t="s">
        <v>114</v>
      </c>
      <c r="C506">
        <v>1</v>
      </c>
      <c r="F506">
        <v>0</v>
      </c>
      <c r="I506" s="4" t="s">
        <v>4912</v>
      </c>
      <c r="J506" s="4" t="s">
        <v>4431</v>
      </c>
      <c r="K506" s="4" t="s">
        <v>4968</v>
      </c>
      <c r="L506" s="4" t="s">
        <v>4969</v>
      </c>
      <c r="M506">
        <v>73347</v>
      </c>
      <c r="N506" s="4" t="s">
        <v>4970</v>
      </c>
      <c r="O506" s="4" t="s">
        <v>4971</v>
      </c>
      <c r="P506" s="4" t="s">
        <v>651</v>
      </c>
      <c r="Q506" s="9">
        <v>33055</v>
      </c>
      <c r="R506" s="4" t="s">
        <v>652</v>
      </c>
      <c r="S506" s="4" t="s">
        <v>4972</v>
      </c>
      <c r="T506" s="4" t="s">
        <v>47</v>
      </c>
      <c r="U506" s="4" t="s">
        <v>97</v>
      </c>
      <c r="V506">
        <v>1990</v>
      </c>
      <c r="W506" s="4" t="s">
        <v>47</v>
      </c>
      <c r="X506" s="4" t="s">
        <v>47</v>
      </c>
      <c r="Y506" s="4" t="s">
        <v>47</v>
      </c>
      <c r="Z506" s="4" t="s">
        <v>47</v>
      </c>
      <c r="AA506" s="4" t="s">
        <v>47</v>
      </c>
      <c r="AB506" s="4" t="s">
        <v>47</v>
      </c>
      <c r="AC506" s="4" t="s">
        <v>4973</v>
      </c>
      <c r="AD506" s="4" t="s">
        <v>47</v>
      </c>
      <c r="AE506" s="4" t="s">
        <v>47</v>
      </c>
      <c r="AF506" s="4" t="s">
        <v>47</v>
      </c>
      <c r="AG506" s="4" t="s">
        <v>47</v>
      </c>
      <c r="AH506" s="4" t="s">
        <v>47</v>
      </c>
      <c r="AI506" s="4" t="s">
        <v>47</v>
      </c>
      <c r="AJ506" s="4" t="s">
        <v>47</v>
      </c>
      <c r="AK506" s="4" t="s">
        <v>47</v>
      </c>
      <c r="AL506" s="4" t="s">
        <v>4974</v>
      </c>
      <c r="AM506" s="4" t="s">
        <v>47</v>
      </c>
      <c r="AN506" s="4" t="s">
        <v>47</v>
      </c>
      <c r="AO506" s="4" t="s">
        <v>4975</v>
      </c>
      <c r="AP506" s="4" t="s">
        <v>4976</v>
      </c>
      <c r="AQ506" s="4" t="s">
        <v>4977</v>
      </c>
      <c r="AR506" s="4" t="s">
        <v>4978</v>
      </c>
    </row>
    <row r="507" spans="1:44" x14ac:dyDescent="0.2">
      <c r="A507" s="4" t="s">
        <v>52</v>
      </c>
      <c r="B507" s="4" t="s">
        <v>209</v>
      </c>
      <c r="C507">
        <v>3</v>
      </c>
      <c r="F507">
        <v>2</v>
      </c>
      <c r="I507" s="4" t="s">
        <v>4925</v>
      </c>
      <c r="J507" s="4" t="s">
        <v>4936</v>
      </c>
      <c r="K507" s="4" t="s">
        <v>4979</v>
      </c>
      <c r="L507" s="4" t="s">
        <v>4642</v>
      </c>
      <c r="M507">
        <v>55205</v>
      </c>
      <c r="N507" s="4" t="s">
        <v>4953</v>
      </c>
      <c r="O507" s="4" t="s">
        <v>4980</v>
      </c>
      <c r="P507" s="4" t="s">
        <v>651</v>
      </c>
      <c r="Q507" s="9">
        <v>33055</v>
      </c>
      <c r="R507" s="4" t="s">
        <v>1130</v>
      </c>
      <c r="S507" s="4" t="s">
        <v>4916</v>
      </c>
      <c r="T507" s="4" t="s">
        <v>1258</v>
      </c>
      <c r="U507" s="4" t="s">
        <v>97</v>
      </c>
      <c r="V507">
        <v>1990</v>
      </c>
      <c r="W507" s="4" t="s">
        <v>4981</v>
      </c>
      <c r="X507" s="4" t="s">
        <v>4982</v>
      </c>
      <c r="Y507" s="4" t="s">
        <v>4983</v>
      </c>
      <c r="Z507" s="4" t="s">
        <v>4984</v>
      </c>
      <c r="AA507" s="4" t="s">
        <v>47</v>
      </c>
      <c r="AB507" s="4" t="s">
        <v>47</v>
      </c>
      <c r="AC507" s="4" t="s">
        <v>4985</v>
      </c>
      <c r="AD507" s="4" t="s">
        <v>4986</v>
      </c>
      <c r="AE507" s="4" t="s">
        <v>47</v>
      </c>
      <c r="AF507" s="4" t="s">
        <v>47</v>
      </c>
      <c r="AG507" s="4" t="s">
        <v>47</v>
      </c>
      <c r="AH507" s="4" t="s">
        <v>47</v>
      </c>
      <c r="AI507" s="4" t="s">
        <v>47</v>
      </c>
      <c r="AJ507" s="4" t="s">
        <v>47</v>
      </c>
      <c r="AK507" s="4" t="s">
        <v>47</v>
      </c>
      <c r="AL507" s="4" t="s">
        <v>47</v>
      </c>
      <c r="AM507" s="4" t="s">
        <v>47</v>
      </c>
      <c r="AN507" s="4" t="s">
        <v>47</v>
      </c>
      <c r="AO507" s="4" t="s">
        <v>4987</v>
      </c>
      <c r="AP507" s="4" t="s">
        <v>4988</v>
      </c>
      <c r="AQ507" s="4" t="s">
        <v>4989</v>
      </c>
      <c r="AR507" s="4" t="s">
        <v>4990</v>
      </c>
    </row>
    <row r="508" spans="1:44" x14ac:dyDescent="0.2">
      <c r="A508" s="4" t="s">
        <v>4991</v>
      </c>
      <c r="B508" s="4" t="s">
        <v>26</v>
      </c>
      <c r="C508">
        <v>0</v>
      </c>
      <c r="E508">
        <v>2</v>
      </c>
      <c r="F508">
        <v>0</v>
      </c>
      <c r="H508">
        <v>3</v>
      </c>
      <c r="I508" s="4" t="s">
        <v>4992</v>
      </c>
      <c r="J508" s="4" t="s">
        <v>4993</v>
      </c>
      <c r="K508" s="4" t="s">
        <v>4913</v>
      </c>
      <c r="L508" s="4" t="s">
        <v>2446</v>
      </c>
      <c r="M508">
        <v>38971</v>
      </c>
      <c r="N508" s="4" t="s">
        <v>4994</v>
      </c>
      <c r="O508" s="4" t="s">
        <v>4995</v>
      </c>
      <c r="P508" s="4" t="s">
        <v>651</v>
      </c>
      <c r="Q508" s="9">
        <v>33054</v>
      </c>
      <c r="R508" s="4" t="s">
        <v>4996</v>
      </c>
      <c r="S508" s="4" t="s">
        <v>4563</v>
      </c>
      <c r="T508" s="4" t="s">
        <v>596</v>
      </c>
      <c r="U508" s="4" t="s">
        <v>97</v>
      </c>
      <c r="V508">
        <v>1990</v>
      </c>
      <c r="W508" s="4" t="s">
        <v>47</v>
      </c>
      <c r="X508" s="4" t="s">
        <v>47</v>
      </c>
      <c r="Y508" s="4" t="s">
        <v>47</v>
      </c>
      <c r="Z508" s="4" t="s">
        <v>47</v>
      </c>
      <c r="AA508" s="4" t="s">
        <v>47</v>
      </c>
      <c r="AB508" s="4" t="s">
        <v>47</v>
      </c>
      <c r="AC508" s="4" t="s">
        <v>47</v>
      </c>
      <c r="AD508" s="4" t="s">
        <v>47</v>
      </c>
      <c r="AE508" s="4" t="s">
        <v>47</v>
      </c>
      <c r="AF508" s="4" t="s">
        <v>47</v>
      </c>
      <c r="AG508" s="4" t="s">
        <v>4997</v>
      </c>
      <c r="AH508" s="4" t="s">
        <v>4998</v>
      </c>
      <c r="AI508" s="4" t="s">
        <v>4999</v>
      </c>
      <c r="AJ508" s="4" t="s">
        <v>5000</v>
      </c>
      <c r="AK508" s="4" t="s">
        <v>5001</v>
      </c>
      <c r="AL508" s="4" t="s">
        <v>47</v>
      </c>
      <c r="AM508" s="4" t="s">
        <v>47</v>
      </c>
      <c r="AN508" s="4" t="s">
        <v>47</v>
      </c>
      <c r="AO508" s="4" t="s">
        <v>5002</v>
      </c>
      <c r="AP508" s="4" t="s">
        <v>5003</v>
      </c>
      <c r="AQ508" s="4" t="s">
        <v>5004</v>
      </c>
      <c r="AR508" s="4" t="s">
        <v>5005</v>
      </c>
    </row>
    <row r="509" spans="1:44" x14ac:dyDescent="0.2">
      <c r="A509" s="4" t="s">
        <v>97</v>
      </c>
      <c r="B509" s="4" t="s">
        <v>235</v>
      </c>
      <c r="C509">
        <v>1</v>
      </c>
      <c r="F509">
        <v>0</v>
      </c>
      <c r="I509" s="4" t="s">
        <v>4923</v>
      </c>
      <c r="J509" s="4" t="s">
        <v>4924</v>
      </c>
      <c r="K509" s="4" t="s">
        <v>4513</v>
      </c>
      <c r="L509" s="4" t="s">
        <v>3484</v>
      </c>
      <c r="M509">
        <v>73303</v>
      </c>
      <c r="N509" s="4" t="s">
        <v>4914</v>
      </c>
      <c r="O509" s="4" t="s">
        <v>5006</v>
      </c>
      <c r="P509" s="4" t="s">
        <v>651</v>
      </c>
      <c r="Q509" s="9">
        <v>33054</v>
      </c>
      <c r="R509" s="4" t="s">
        <v>652</v>
      </c>
      <c r="S509" s="4" t="s">
        <v>5007</v>
      </c>
      <c r="T509" s="4" t="s">
        <v>47</v>
      </c>
      <c r="U509" s="4" t="s">
        <v>97</v>
      </c>
      <c r="V509">
        <v>1990</v>
      </c>
      <c r="W509" s="4" t="s">
        <v>5008</v>
      </c>
      <c r="X509" s="4" t="s">
        <v>47</v>
      </c>
      <c r="Y509" s="4" t="s">
        <v>5009</v>
      </c>
      <c r="Z509" s="4" t="s">
        <v>47</v>
      </c>
      <c r="AA509" s="4" t="s">
        <v>47</v>
      </c>
      <c r="AB509" s="4" t="s">
        <v>47</v>
      </c>
      <c r="AC509" s="4" t="s">
        <v>47</v>
      </c>
      <c r="AD509" s="4" t="s">
        <v>47</v>
      </c>
      <c r="AE509" s="4" t="s">
        <v>47</v>
      </c>
      <c r="AF509" s="4" t="s">
        <v>47</v>
      </c>
      <c r="AG509" s="4" t="s">
        <v>47</v>
      </c>
      <c r="AH509" s="4" t="s">
        <v>47</v>
      </c>
      <c r="AI509" s="4" t="s">
        <v>47</v>
      </c>
      <c r="AJ509" s="4" t="s">
        <v>47</v>
      </c>
      <c r="AK509" s="4" t="s">
        <v>47</v>
      </c>
      <c r="AL509" s="4" t="s">
        <v>47</v>
      </c>
      <c r="AM509" s="4" t="s">
        <v>47</v>
      </c>
      <c r="AN509" s="4" t="s">
        <v>47</v>
      </c>
      <c r="AO509" s="4" t="s">
        <v>5010</v>
      </c>
      <c r="AP509" s="4" t="s">
        <v>5011</v>
      </c>
      <c r="AQ509" s="4" t="s">
        <v>5012</v>
      </c>
      <c r="AR509" s="4" t="s">
        <v>5013</v>
      </c>
    </row>
    <row r="510" spans="1:44" x14ac:dyDescent="0.2">
      <c r="A510" s="4" t="s">
        <v>20</v>
      </c>
      <c r="B510" s="4" t="s">
        <v>4991</v>
      </c>
      <c r="C510">
        <v>1</v>
      </c>
      <c r="F510">
        <v>2</v>
      </c>
      <c r="I510" s="4" t="s">
        <v>5014</v>
      </c>
      <c r="J510" s="4" t="s">
        <v>5015</v>
      </c>
      <c r="K510" s="4" t="s">
        <v>4992</v>
      </c>
      <c r="L510" s="4" t="s">
        <v>4993</v>
      </c>
      <c r="M510">
        <v>35500</v>
      </c>
      <c r="N510" s="4" t="s">
        <v>5016</v>
      </c>
      <c r="O510" s="4" t="s">
        <v>5017</v>
      </c>
      <c r="P510" s="4" t="s">
        <v>714</v>
      </c>
      <c r="Q510" s="9">
        <v>33050</v>
      </c>
      <c r="R510" s="4" t="s">
        <v>664</v>
      </c>
      <c r="S510" s="4" t="s">
        <v>5018</v>
      </c>
      <c r="T510" s="4" t="s">
        <v>1258</v>
      </c>
      <c r="U510" s="4" t="s">
        <v>97</v>
      </c>
      <c r="V510">
        <v>1990</v>
      </c>
      <c r="W510" s="4" t="s">
        <v>5019</v>
      </c>
      <c r="X510" s="4" t="s">
        <v>5020</v>
      </c>
      <c r="Y510" s="4" t="s">
        <v>5021</v>
      </c>
      <c r="Z510" s="4" t="s">
        <v>5022</v>
      </c>
      <c r="AA510" s="4" t="s">
        <v>47</v>
      </c>
      <c r="AB510" s="4" t="s">
        <v>47</v>
      </c>
      <c r="AC510" s="4" t="s">
        <v>47</v>
      </c>
      <c r="AD510" s="4" t="s">
        <v>47</v>
      </c>
      <c r="AE510" s="4" t="s">
        <v>47</v>
      </c>
      <c r="AF510" s="4" t="s">
        <v>47</v>
      </c>
      <c r="AG510" s="4" t="s">
        <v>47</v>
      </c>
      <c r="AH510" s="4" t="s">
        <v>47</v>
      </c>
      <c r="AI510" s="4" t="s">
        <v>47</v>
      </c>
      <c r="AJ510" s="4" t="s">
        <v>47</v>
      </c>
      <c r="AK510" s="4" t="s">
        <v>47</v>
      </c>
      <c r="AL510" s="4" t="s">
        <v>47</v>
      </c>
      <c r="AM510" s="4" t="s">
        <v>47</v>
      </c>
      <c r="AN510" s="4" t="s">
        <v>47</v>
      </c>
      <c r="AO510" s="4" t="s">
        <v>5023</v>
      </c>
      <c r="AP510" s="4" t="s">
        <v>5024</v>
      </c>
      <c r="AQ510" s="4" t="s">
        <v>5025</v>
      </c>
      <c r="AR510" s="4" t="s">
        <v>5026</v>
      </c>
    </row>
    <row r="511" spans="1:44" x14ac:dyDescent="0.2">
      <c r="A511" s="4" t="s">
        <v>52</v>
      </c>
      <c r="B511" s="4" t="s">
        <v>148</v>
      </c>
      <c r="C511">
        <v>1</v>
      </c>
      <c r="F511">
        <v>0</v>
      </c>
      <c r="I511" s="4" t="s">
        <v>4925</v>
      </c>
      <c r="J511" s="4" t="s">
        <v>4936</v>
      </c>
      <c r="K511" s="4" t="s">
        <v>5027</v>
      </c>
      <c r="L511" s="4" t="s">
        <v>5028</v>
      </c>
      <c r="M511">
        <v>34520</v>
      </c>
      <c r="N511" s="4" t="s">
        <v>5029</v>
      </c>
      <c r="O511" s="4" t="s">
        <v>5030</v>
      </c>
      <c r="P511" s="4" t="s">
        <v>714</v>
      </c>
      <c r="Q511" s="9">
        <v>33050</v>
      </c>
      <c r="R511" s="4" t="s">
        <v>652</v>
      </c>
      <c r="S511" s="4" t="s">
        <v>4517</v>
      </c>
      <c r="T511" s="4" t="s">
        <v>1258</v>
      </c>
      <c r="U511" s="4" t="s">
        <v>97</v>
      </c>
      <c r="V511">
        <v>1990</v>
      </c>
      <c r="W511" s="4" t="s">
        <v>5031</v>
      </c>
      <c r="X511" s="4" t="s">
        <v>47</v>
      </c>
      <c r="Y511" s="4" t="s">
        <v>5032</v>
      </c>
      <c r="Z511" s="4" t="s">
        <v>47</v>
      </c>
      <c r="AA511" s="4" t="s">
        <v>47</v>
      </c>
      <c r="AB511" s="4" t="s">
        <v>47</v>
      </c>
      <c r="AC511" s="4" t="s">
        <v>47</v>
      </c>
      <c r="AD511" s="4" t="s">
        <v>47</v>
      </c>
      <c r="AE511" s="4" t="s">
        <v>47</v>
      </c>
      <c r="AF511" s="4" t="s">
        <v>47</v>
      </c>
      <c r="AG511" s="4" t="s">
        <v>47</v>
      </c>
      <c r="AH511" s="4" t="s">
        <v>47</v>
      </c>
      <c r="AI511" s="4" t="s">
        <v>47</v>
      </c>
      <c r="AJ511" s="4" t="s">
        <v>47</v>
      </c>
      <c r="AK511" s="4" t="s">
        <v>47</v>
      </c>
      <c r="AL511" s="4" t="s">
        <v>47</v>
      </c>
      <c r="AM511" s="4" t="s">
        <v>47</v>
      </c>
      <c r="AN511" s="4" t="s">
        <v>47</v>
      </c>
      <c r="AO511" s="4" t="s">
        <v>5033</v>
      </c>
      <c r="AP511" s="4" t="s">
        <v>47</v>
      </c>
      <c r="AQ511" s="4" t="s">
        <v>5034</v>
      </c>
      <c r="AR511" s="4" t="s">
        <v>5035</v>
      </c>
    </row>
    <row r="512" spans="1:44" x14ac:dyDescent="0.2">
      <c r="A512" s="4" t="s">
        <v>235</v>
      </c>
      <c r="B512" s="4" t="s">
        <v>227</v>
      </c>
      <c r="C512">
        <v>0</v>
      </c>
      <c r="E512">
        <v>5</v>
      </c>
      <c r="F512">
        <v>0</v>
      </c>
      <c r="H512">
        <v>4</v>
      </c>
      <c r="I512" s="4" t="s">
        <v>4513</v>
      </c>
      <c r="J512" s="4" t="s">
        <v>5036</v>
      </c>
      <c r="K512" s="4" t="s">
        <v>5037</v>
      </c>
      <c r="L512" s="4" t="s">
        <v>5038</v>
      </c>
      <c r="M512">
        <v>31818</v>
      </c>
      <c r="N512" s="4" t="s">
        <v>5039</v>
      </c>
      <c r="O512" s="4" t="s">
        <v>5040</v>
      </c>
      <c r="P512" s="4" t="s">
        <v>714</v>
      </c>
      <c r="Q512" s="9">
        <v>33049</v>
      </c>
      <c r="R512" s="4" t="s">
        <v>5041</v>
      </c>
      <c r="S512" s="4" t="s">
        <v>4940</v>
      </c>
      <c r="T512" s="4" t="s">
        <v>5042</v>
      </c>
      <c r="U512" s="4" t="s">
        <v>97</v>
      </c>
      <c r="V512">
        <v>1990</v>
      </c>
      <c r="W512" s="4" t="s">
        <v>47</v>
      </c>
      <c r="X512" s="4" t="s">
        <v>47</v>
      </c>
      <c r="Y512" s="4" t="s">
        <v>47</v>
      </c>
      <c r="Z512" s="4" t="s">
        <v>47</v>
      </c>
      <c r="AA512" s="4" t="s">
        <v>47</v>
      </c>
      <c r="AB512" s="4" t="s">
        <v>47</v>
      </c>
      <c r="AC512" s="4" t="s">
        <v>47</v>
      </c>
      <c r="AD512" s="4" t="s">
        <v>47</v>
      </c>
      <c r="AE512" s="4" t="s">
        <v>47</v>
      </c>
      <c r="AF512" s="4" t="s">
        <v>47</v>
      </c>
      <c r="AG512" s="4" t="s">
        <v>5043</v>
      </c>
      <c r="AH512" s="4" t="s">
        <v>5044</v>
      </c>
      <c r="AI512" s="4" t="s">
        <v>47</v>
      </c>
      <c r="AJ512" s="4" t="s">
        <v>5045</v>
      </c>
      <c r="AK512" s="4" t="s">
        <v>47</v>
      </c>
      <c r="AL512" s="4" t="s">
        <v>47</v>
      </c>
      <c r="AM512" s="4" t="s">
        <v>47</v>
      </c>
      <c r="AN512" s="4" t="s">
        <v>47</v>
      </c>
      <c r="AO512" s="4" t="s">
        <v>5046</v>
      </c>
      <c r="AP512" s="4" t="s">
        <v>5047</v>
      </c>
      <c r="AQ512" s="4" t="s">
        <v>5048</v>
      </c>
      <c r="AR512" s="4" t="s">
        <v>5049</v>
      </c>
    </row>
    <row r="513" spans="1:44" x14ac:dyDescent="0.2">
      <c r="A513" s="4" t="s">
        <v>97</v>
      </c>
      <c r="B513" s="4" t="s">
        <v>121</v>
      </c>
      <c r="C513">
        <v>2</v>
      </c>
      <c r="F513">
        <v>0</v>
      </c>
      <c r="I513" s="4" t="s">
        <v>4923</v>
      </c>
      <c r="J513" s="4" t="s">
        <v>4924</v>
      </c>
      <c r="K513" s="4" t="s">
        <v>5050</v>
      </c>
      <c r="L513" s="4" t="s">
        <v>5051</v>
      </c>
      <c r="M513">
        <v>73303</v>
      </c>
      <c r="N513" s="4" t="s">
        <v>4914</v>
      </c>
      <c r="O513" s="4" t="s">
        <v>5052</v>
      </c>
      <c r="P513" s="4" t="s">
        <v>714</v>
      </c>
      <c r="Q513" s="9">
        <v>33049</v>
      </c>
      <c r="R513" s="4" t="s">
        <v>630</v>
      </c>
      <c r="S513" s="4" t="s">
        <v>5053</v>
      </c>
      <c r="T513" s="4" t="s">
        <v>47</v>
      </c>
      <c r="U513" s="4" t="s">
        <v>97</v>
      </c>
      <c r="V513">
        <v>1990</v>
      </c>
      <c r="W513" s="4" t="s">
        <v>5054</v>
      </c>
      <c r="X513" s="4" t="s">
        <v>47</v>
      </c>
      <c r="Y513" s="4" t="s">
        <v>5055</v>
      </c>
      <c r="Z513" s="4" t="s">
        <v>47</v>
      </c>
      <c r="AA513" s="4" t="s">
        <v>47</v>
      </c>
      <c r="AB513" s="4" t="s">
        <v>47</v>
      </c>
      <c r="AC513" s="4" t="s">
        <v>47</v>
      </c>
      <c r="AD513" s="4" t="s">
        <v>47</v>
      </c>
      <c r="AE513" s="4" t="s">
        <v>47</v>
      </c>
      <c r="AF513" s="4" t="s">
        <v>47</v>
      </c>
      <c r="AG513" s="4" t="s">
        <v>47</v>
      </c>
      <c r="AH513" s="4" t="s">
        <v>47</v>
      </c>
      <c r="AI513" s="4" t="s">
        <v>47</v>
      </c>
      <c r="AJ513" s="4" t="s">
        <v>47</v>
      </c>
      <c r="AK513" s="4" t="s">
        <v>47</v>
      </c>
      <c r="AL513" s="4" t="s">
        <v>47</v>
      </c>
      <c r="AM513" s="4" t="s">
        <v>47</v>
      </c>
      <c r="AN513" s="4" t="s">
        <v>47</v>
      </c>
      <c r="AO513" s="4" t="s">
        <v>5056</v>
      </c>
      <c r="AP513" s="4" t="s">
        <v>5057</v>
      </c>
      <c r="AQ513" s="4" t="s">
        <v>5058</v>
      </c>
      <c r="AR513" s="4" t="s">
        <v>5059</v>
      </c>
    </row>
    <row r="514" spans="1:44" x14ac:dyDescent="0.2">
      <c r="A514" s="4" t="s">
        <v>12</v>
      </c>
      <c r="B514" s="4" t="s">
        <v>26</v>
      </c>
      <c r="C514">
        <v>0</v>
      </c>
      <c r="F514">
        <v>1</v>
      </c>
      <c r="I514" s="4" t="s">
        <v>5060</v>
      </c>
      <c r="J514" s="4" t="s">
        <v>5061</v>
      </c>
      <c r="K514" s="4" t="s">
        <v>4913</v>
      </c>
      <c r="L514" s="4" t="s">
        <v>2446</v>
      </c>
      <c r="M514">
        <v>61381</v>
      </c>
      <c r="N514" s="4" t="s">
        <v>4937</v>
      </c>
      <c r="O514" s="4" t="s">
        <v>5062</v>
      </c>
      <c r="P514" s="4" t="s">
        <v>714</v>
      </c>
      <c r="Q514" s="9">
        <v>33048</v>
      </c>
      <c r="R514" s="4" t="s">
        <v>963</v>
      </c>
      <c r="S514" s="4" t="s">
        <v>4413</v>
      </c>
      <c r="T514" s="4" t="s">
        <v>47</v>
      </c>
      <c r="U514" s="4" t="s">
        <v>97</v>
      </c>
      <c r="V514">
        <v>1990</v>
      </c>
      <c r="W514" s="4" t="s">
        <v>47</v>
      </c>
      <c r="X514" s="4" t="s">
        <v>5063</v>
      </c>
      <c r="Y514" s="4" t="s">
        <v>47</v>
      </c>
      <c r="Z514" s="4" t="s">
        <v>5064</v>
      </c>
      <c r="AA514" s="4" t="s">
        <v>47</v>
      </c>
      <c r="AB514" s="4" t="s">
        <v>47</v>
      </c>
      <c r="AC514" s="4" t="s">
        <v>47</v>
      </c>
      <c r="AD514" s="4" t="s">
        <v>47</v>
      </c>
      <c r="AE514" s="4" t="s">
        <v>47</v>
      </c>
      <c r="AF514" s="4" t="s">
        <v>47</v>
      </c>
      <c r="AG514" s="4" t="s">
        <v>47</v>
      </c>
      <c r="AH514" s="4" t="s">
        <v>47</v>
      </c>
      <c r="AI514" s="4" t="s">
        <v>47</v>
      </c>
      <c r="AJ514" s="4" t="s">
        <v>47</v>
      </c>
      <c r="AK514" s="4" t="s">
        <v>5065</v>
      </c>
      <c r="AL514" s="4" t="s">
        <v>47</v>
      </c>
      <c r="AM514" s="4" t="s">
        <v>47</v>
      </c>
      <c r="AN514" s="4" t="s">
        <v>47</v>
      </c>
      <c r="AO514" s="4" t="s">
        <v>5066</v>
      </c>
      <c r="AP514" s="4" t="s">
        <v>5067</v>
      </c>
      <c r="AQ514" s="4" t="s">
        <v>5068</v>
      </c>
      <c r="AR514" s="4" t="s">
        <v>5069</v>
      </c>
    </row>
    <row r="515" spans="1:44" x14ac:dyDescent="0.2">
      <c r="A515" s="4" t="s">
        <v>104</v>
      </c>
      <c r="B515" s="4" t="s">
        <v>95</v>
      </c>
      <c r="C515">
        <v>2</v>
      </c>
      <c r="F515">
        <v>1</v>
      </c>
      <c r="I515" s="4" t="s">
        <v>4912</v>
      </c>
      <c r="J515" s="4" t="s">
        <v>4431</v>
      </c>
      <c r="K515" s="4" t="s">
        <v>3148</v>
      </c>
      <c r="L515" s="4" t="s">
        <v>5070</v>
      </c>
      <c r="M515">
        <v>74559</v>
      </c>
      <c r="N515" s="4" t="s">
        <v>4970</v>
      </c>
      <c r="O515" s="4" t="s">
        <v>5071</v>
      </c>
      <c r="P515" s="4" t="s">
        <v>714</v>
      </c>
      <c r="Q515" s="9">
        <v>33048</v>
      </c>
      <c r="R515" s="4" t="s">
        <v>617</v>
      </c>
      <c r="S515" s="4" t="s">
        <v>5072</v>
      </c>
      <c r="T515" s="4" t="s">
        <v>47</v>
      </c>
      <c r="U515" s="4" t="s">
        <v>97</v>
      </c>
      <c r="V515">
        <v>1990</v>
      </c>
      <c r="W515" s="4" t="s">
        <v>5073</v>
      </c>
      <c r="X515" s="4" t="s">
        <v>47</v>
      </c>
      <c r="Y515" s="4" t="s">
        <v>5074</v>
      </c>
      <c r="Z515" s="4" t="s">
        <v>47</v>
      </c>
      <c r="AA515" s="4" t="s">
        <v>47</v>
      </c>
      <c r="AB515" s="4" t="s">
        <v>47</v>
      </c>
      <c r="AC515" s="4" t="s">
        <v>47</v>
      </c>
      <c r="AD515" s="4" t="s">
        <v>5075</v>
      </c>
      <c r="AE515" s="4" t="s">
        <v>47</v>
      </c>
      <c r="AF515" s="4" t="s">
        <v>47</v>
      </c>
      <c r="AG515" s="4" t="s">
        <v>47</v>
      </c>
      <c r="AH515" s="4" t="s">
        <v>47</v>
      </c>
      <c r="AI515" s="4" t="s">
        <v>47</v>
      </c>
      <c r="AJ515" s="4" t="s">
        <v>47</v>
      </c>
      <c r="AK515" s="4" t="s">
        <v>5076</v>
      </c>
      <c r="AL515" s="4" t="s">
        <v>5077</v>
      </c>
      <c r="AM515" s="4" t="s">
        <v>47</v>
      </c>
      <c r="AN515" s="4" t="s">
        <v>47</v>
      </c>
      <c r="AO515" s="4" t="s">
        <v>5078</v>
      </c>
      <c r="AP515" s="4" t="s">
        <v>5079</v>
      </c>
      <c r="AQ515" s="4" t="s">
        <v>5080</v>
      </c>
      <c r="AR515" s="4" t="s">
        <v>5081</v>
      </c>
    </row>
    <row r="516" spans="1:44" x14ac:dyDescent="0.2">
      <c r="A516" s="4" t="s">
        <v>209</v>
      </c>
      <c r="B516" s="4" t="s">
        <v>153</v>
      </c>
      <c r="C516">
        <v>2</v>
      </c>
      <c r="F516">
        <v>1</v>
      </c>
      <c r="I516" s="4" t="s">
        <v>4979</v>
      </c>
      <c r="J516" s="4" t="s">
        <v>4642</v>
      </c>
      <c r="K516" s="4" t="s">
        <v>4702</v>
      </c>
      <c r="L516" s="4" t="s">
        <v>4703</v>
      </c>
      <c r="M516">
        <v>50026</v>
      </c>
      <c r="N516" s="4" t="s">
        <v>4953</v>
      </c>
      <c r="O516" s="4" t="s">
        <v>5082</v>
      </c>
      <c r="P516" s="4" t="s">
        <v>714</v>
      </c>
      <c r="Q516" s="9">
        <v>33047</v>
      </c>
      <c r="R516" s="4" t="s">
        <v>617</v>
      </c>
      <c r="S516" s="4" t="s">
        <v>5083</v>
      </c>
      <c r="T516" s="4" t="s">
        <v>1258</v>
      </c>
      <c r="U516" s="4" t="s">
        <v>97</v>
      </c>
      <c r="V516">
        <v>1990</v>
      </c>
      <c r="W516" s="4" t="s">
        <v>5084</v>
      </c>
      <c r="X516" s="4" t="s">
        <v>5085</v>
      </c>
      <c r="Y516" s="4" t="s">
        <v>5086</v>
      </c>
      <c r="Z516" s="4" t="s">
        <v>5087</v>
      </c>
      <c r="AA516" s="4" t="s">
        <v>47</v>
      </c>
      <c r="AB516" s="4" t="s">
        <v>47</v>
      </c>
      <c r="AC516" s="4" t="s">
        <v>47</v>
      </c>
      <c r="AD516" s="4" t="s">
        <v>47</v>
      </c>
      <c r="AE516" s="4" t="s">
        <v>47</v>
      </c>
      <c r="AF516" s="4" t="s">
        <v>47</v>
      </c>
      <c r="AG516" s="4" t="s">
        <v>47</v>
      </c>
      <c r="AH516" s="4" t="s">
        <v>47</v>
      </c>
      <c r="AI516" s="4" t="s">
        <v>47</v>
      </c>
      <c r="AJ516" s="4" t="s">
        <v>47</v>
      </c>
      <c r="AK516" s="4" t="s">
        <v>47</v>
      </c>
      <c r="AL516" s="4" t="s">
        <v>47</v>
      </c>
      <c r="AM516" s="4" t="s">
        <v>47</v>
      </c>
      <c r="AN516" s="4" t="s">
        <v>47</v>
      </c>
      <c r="AO516" s="4" t="s">
        <v>5088</v>
      </c>
      <c r="AP516" s="4" t="s">
        <v>5089</v>
      </c>
      <c r="AQ516" s="4" t="s">
        <v>5090</v>
      </c>
      <c r="AR516" s="4" t="s">
        <v>5091</v>
      </c>
    </row>
    <row r="517" spans="1:44" x14ac:dyDescent="0.2">
      <c r="A517" s="4" t="s">
        <v>114</v>
      </c>
      <c r="B517" s="4" t="s">
        <v>225</v>
      </c>
      <c r="C517">
        <v>4</v>
      </c>
      <c r="F517">
        <v>1</v>
      </c>
      <c r="I517" s="4" t="s">
        <v>4968</v>
      </c>
      <c r="J517" s="4" t="s">
        <v>4969</v>
      </c>
      <c r="K517" s="4" t="s">
        <v>4523</v>
      </c>
      <c r="L517" s="4" t="s">
        <v>5092</v>
      </c>
      <c r="M517">
        <v>47673</v>
      </c>
      <c r="N517" s="4" t="s">
        <v>4927</v>
      </c>
      <c r="O517" s="4" t="s">
        <v>5093</v>
      </c>
      <c r="P517" s="4" t="s">
        <v>714</v>
      </c>
      <c r="Q517" s="9">
        <v>33047</v>
      </c>
      <c r="R517" s="4" t="s">
        <v>757</v>
      </c>
      <c r="S517" s="4" t="s">
        <v>5094</v>
      </c>
      <c r="T517" s="4" t="s">
        <v>47</v>
      </c>
      <c r="U517" s="4" t="s">
        <v>97</v>
      </c>
      <c r="V517">
        <v>1990</v>
      </c>
      <c r="W517" s="4" t="s">
        <v>5095</v>
      </c>
      <c r="X517" s="4" t="s">
        <v>5096</v>
      </c>
      <c r="Y517" s="4" t="s">
        <v>5097</v>
      </c>
      <c r="Z517" s="4" t="s">
        <v>5098</v>
      </c>
      <c r="AA517" s="4" t="s">
        <v>47</v>
      </c>
      <c r="AB517" s="4" t="s">
        <v>47</v>
      </c>
      <c r="AC517" s="4" t="s">
        <v>47</v>
      </c>
      <c r="AD517" s="4" t="s">
        <v>47</v>
      </c>
      <c r="AE517" s="4" t="s">
        <v>47</v>
      </c>
      <c r="AF517" s="4" t="s">
        <v>47</v>
      </c>
      <c r="AG517" s="4" t="s">
        <v>47</v>
      </c>
      <c r="AH517" s="4" t="s">
        <v>47</v>
      </c>
      <c r="AI517" s="4" t="s">
        <v>47</v>
      </c>
      <c r="AJ517" s="4" t="s">
        <v>47</v>
      </c>
      <c r="AK517" s="4" t="s">
        <v>47</v>
      </c>
      <c r="AL517" s="4" t="s">
        <v>47</v>
      </c>
      <c r="AM517" s="4" t="s">
        <v>47</v>
      </c>
      <c r="AN517" s="4" t="s">
        <v>47</v>
      </c>
      <c r="AO517" s="4" t="s">
        <v>5099</v>
      </c>
      <c r="AP517" s="4" t="s">
        <v>5100</v>
      </c>
      <c r="AQ517" s="4" t="s">
        <v>47</v>
      </c>
      <c r="AR517" s="4" t="s">
        <v>5101</v>
      </c>
    </row>
    <row r="518" spans="1:44" x14ac:dyDescent="0.2">
      <c r="A518" s="4" t="s">
        <v>148</v>
      </c>
      <c r="B518" s="4" t="s">
        <v>20</v>
      </c>
      <c r="C518">
        <v>1</v>
      </c>
      <c r="F518">
        <v>2</v>
      </c>
      <c r="I518" s="4" t="s">
        <v>5027</v>
      </c>
      <c r="J518" s="4" t="s">
        <v>5028</v>
      </c>
      <c r="K518" s="4" t="s">
        <v>5014</v>
      </c>
      <c r="L518" s="4" t="s">
        <v>5015</v>
      </c>
      <c r="M518">
        <v>35950</v>
      </c>
      <c r="N518" s="4" t="s">
        <v>5016</v>
      </c>
      <c r="O518" s="4" t="s">
        <v>5102</v>
      </c>
      <c r="P518" s="4" t="s">
        <v>811</v>
      </c>
      <c r="Q518" s="9">
        <v>33045</v>
      </c>
      <c r="R518" s="4" t="s">
        <v>664</v>
      </c>
      <c r="S518" s="4" t="s">
        <v>5072</v>
      </c>
      <c r="T518" s="4" t="s">
        <v>47</v>
      </c>
      <c r="U518" s="4" t="s">
        <v>97</v>
      </c>
      <c r="V518">
        <v>1990</v>
      </c>
      <c r="W518" s="4" t="s">
        <v>5103</v>
      </c>
      <c r="X518" s="4" t="s">
        <v>5104</v>
      </c>
      <c r="Y518" s="4" t="s">
        <v>5105</v>
      </c>
      <c r="Z518" s="4" t="s">
        <v>5106</v>
      </c>
      <c r="AA518" s="4" t="s">
        <v>47</v>
      </c>
      <c r="AB518" s="4" t="s">
        <v>47</v>
      </c>
      <c r="AC518" s="4" t="s">
        <v>47</v>
      </c>
      <c r="AD518" s="4" t="s">
        <v>5107</v>
      </c>
      <c r="AE518" s="4" t="s">
        <v>47</v>
      </c>
      <c r="AF518" s="4" t="s">
        <v>47</v>
      </c>
      <c r="AG518" s="4" t="s">
        <v>47</v>
      </c>
      <c r="AH518" s="4" t="s">
        <v>47</v>
      </c>
      <c r="AI518" s="4" t="s">
        <v>47</v>
      </c>
      <c r="AJ518" s="4" t="s">
        <v>47</v>
      </c>
      <c r="AK518" s="4" t="s">
        <v>47</v>
      </c>
      <c r="AL518" s="4" t="s">
        <v>47</v>
      </c>
      <c r="AM518" s="4" t="s">
        <v>47</v>
      </c>
      <c r="AN518" s="4" t="s">
        <v>47</v>
      </c>
      <c r="AO518" s="4" t="s">
        <v>47</v>
      </c>
      <c r="AP518" s="4" t="s">
        <v>47</v>
      </c>
      <c r="AQ518" s="4" t="s">
        <v>5108</v>
      </c>
      <c r="AR518" s="4" t="s">
        <v>5109</v>
      </c>
    </row>
    <row r="519" spans="1:44" x14ac:dyDescent="0.2">
      <c r="A519" s="4" t="s">
        <v>175</v>
      </c>
      <c r="B519" s="4" t="s">
        <v>121</v>
      </c>
      <c r="C519">
        <v>0</v>
      </c>
      <c r="F519">
        <v>1</v>
      </c>
      <c r="I519" s="4" t="s">
        <v>5110</v>
      </c>
      <c r="J519" s="4" t="s">
        <v>5111</v>
      </c>
      <c r="K519" s="4" t="s">
        <v>5050</v>
      </c>
      <c r="L519" s="4" t="s">
        <v>5051</v>
      </c>
      <c r="M519">
        <v>29039</v>
      </c>
      <c r="N519" s="4" t="s">
        <v>5112</v>
      </c>
      <c r="O519" s="4" t="s">
        <v>5113</v>
      </c>
      <c r="P519" s="4" t="s">
        <v>811</v>
      </c>
      <c r="Q519" s="9">
        <v>33045</v>
      </c>
      <c r="R519" s="4" t="s">
        <v>963</v>
      </c>
      <c r="S519" s="4" t="s">
        <v>5083</v>
      </c>
      <c r="T519" s="4" t="s">
        <v>47</v>
      </c>
      <c r="U519" s="4" t="s">
        <v>97</v>
      </c>
      <c r="V519">
        <v>1990</v>
      </c>
      <c r="W519" s="4" t="s">
        <v>47</v>
      </c>
      <c r="X519" s="4" t="s">
        <v>5114</v>
      </c>
      <c r="Y519" s="4" t="s">
        <v>47</v>
      </c>
      <c r="Z519" s="4" t="s">
        <v>5115</v>
      </c>
      <c r="AA519" s="4" t="s">
        <v>47</v>
      </c>
      <c r="AB519" s="4" t="s">
        <v>47</v>
      </c>
      <c r="AC519" s="4" t="s">
        <v>47</v>
      </c>
      <c r="AD519" s="4" t="s">
        <v>47</v>
      </c>
      <c r="AE519" s="4" t="s">
        <v>47</v>
      </c>
      <c r="AF519" s="4" t="s">
        <v>47</v>
      </c>
      <c r="AG519" s="4" t="s">
        <v>47</v>
      </c>
      <c r="AH519" s="4" t="s">
        <v>47</v>
      </c>
      <c r="AI519" s="4" t="s">
        <v>47</v>
      </c>
      <c r="AJ519" s="4" t="s">
        <v>47</v>
      </c>
      <c r="AK519" s="4" t="s">
        <v>5116</v>
      </c>
      <c r="AL519" s="4" t="s">
        <v>47</v>
      </c>
      <c r="AM519" s="4" t="s">
        <v>47</v>
      </c>
      <c r="AN519" s="4" t="s">
        <v>47</v>
      </c>
      <c r="AO519" s="4" t="s">
        <v>5117</v>
      </c>
      <c r="AP519" s="4" t="s">
        <v>5118</v>
      </c>
      <c r="AQ519" s="4" t="s">
        <v>5119</v>
      </c>
      <c r="AR519" s="4" t="s">
        <v>5120</v>
      </c>
    </row>
    <row r="520" spans="1:44" x14ac:dyDescent="0.2">
      <c r="A520" s="4" t="s">
        <v>235</v>
      </c>
      <c r="B520" s="4" t="s">
        <v>95</v>
      </c>
      <c r="C520">
        <v>1</v>
      </c>
      <c r="F520">
        <v>1</v>
      </c>
      <c r="I520" s="4" t="s">
        <v>4513</v>
      </c>
      <c r="J520" s="4" t="s">
        <v>3484</v>
      </c>
      <c r="K520" s="4" t="s">
        <v>3148</v>
      </c>
      <c r="L520" s="4" t="s">
        <v>5070</v>
      </c>
      <c r="M520">
        <v>33288</v>
      </c>
      <c r="N520" s="4" t="s">
        <v>5121</v>
      </c>
      <c r="O520" s="4" t="s">
        <v>5122</v>
      </c>
      <c r="P520" s="4" t="s">
        <v>811</v>
      </c>
      <c r="Q520" s="9">
        <v>33045</v>
      </c>
      <c r="R520" s="4" t="s">
        <v>1046</v>
      </c>
      <c r="S520" s="4" t="s">
        <v>4955</v>
      </c>
      <c r="T520" s="4" t="s">
        <v>47</v>
      </c>
      <c r="U520" s="4" t="s">
        <v>97</v>
      </c>
      <c r="V520">
        <v>1990</v>
      </c>
      <c r="W520" s="4" t="s">
        <v>5123</v>
      </c>
      <c r="X520" s="4" t="s">
        <v>5124</v>
      </c>
      <c r="Y520" s="4" t="s">
        <v>5125</v>
      </c>
      <c r="Z520" s="4" t="s">
        <v>5126</v>
      </c>
      <c r="AA520" s="4" t="s">
        <v>47</v>
      </c>
      <c r="AB520" s="4" t="s">
        <v>47</v>
      </c>
      <c r="AC520" s="4" t="s">
        <v>47</v>
      </c>
      <c r="AD520" s="4" t="s">
        <v>47</v>
      </c>
      <c r="AE520" s="4" t="s">
        <v>47</v>
      </c>
      <c r="AF520" s="4" t="s">
        <v>47</v>
      </c>
      <c r="AG520" s="4" t="s">
        <v>47</v>
      </c>
      <c r="AH520" s="4" t="s">
        <v>47</v>
      </c>
      <c r="AI520" s="4" t="s">
        <v>47</v>
      </c>
      <c r="AJ520" s="4" t="s">
        <v>47</v>
      </c>
      <c r="AK520" s="4" t="s">
        <v>47</v>
      </c>
      <c r="AL520" s="4" t="s">
        <v>47</v>
      </c>
      <c r="AM520" s="4" t="s">
        <v>47</v>
      </c>
      <c r="AN520" s="4" t="s">
        <v>47</v>
      </c>
      <c r="AO520" s="4" t="s">
        <v>47</v>
      </c>
      <c r="AP520" s="4" t="s">
        <v>5127</v>
      </c>
      <c r="AQ520" s="4" t="s">
        <v>5128</v>
      </c>
      <c r="AR520" s="4" t="s">
        <v>5129</v>
      </c>
    </row>
    <row r="521" spans="1:44" x14ac:dyDescent="0.2">
      <c r="A521" s="4" t="s">
        <v>52</v>
      </c>
      <c r="B521" s="4" t="s">
        <v>183</v>
      </c>
      <c r="C521">
        <v>1</v>
      </c>
      <c r="F521">
        <v>0</v>
      </c>
      <c r="I521" s="4" t="s">
        <v>4925</v>
      </c>
      <c r="J521" s="4" t="s">
        <v>4926</v>
      </c>
      <c r="K521" s="4" t="s">
        <v>5130</v>
      </c>
      <c r="L521" s="4" t="s">
        <v>5131</v>
      </c>
      <c r="M521">
        <v>34959</v>
      </c>
      <c r="N521" s="4" t="s">
        <v>5132</v>
      </c>
      <c r="O521" s="4" t="s">
        <v>5133</v>
      </c>
      <c r="P521" s="4" t="s">
        <v>811</v>
      </c>
      <c r="Q521" s="9">
        <v>33045</v>
      </c>
      <c r="R521" s="4" t="s">
        <v>652</v>
      </c>
      <c r="S521" s="4" t="s">
        <v>4563</v>
      </c>
      <c r="T521" s="4" t="s">
        <v>47</v>
      </c>
      <c r="U521" s="4" t="s">
        <v>97</v>
      </c>
      <c r="V521">
        <v>1990</v>
      </c>
      <c r="W521" s="4" t="s">
        <v>5134</v>
      </c>
      <c r="X521" s="4" t="s">
        <v>47</v>
      </c>
      <c r="Y521" s="4" t="s">
        <v>5135</v>
      </c>
      <c r="Z521" s="4" t="s">
        <v>47</v>
      </c>
      <c r="AA521" s="4" t="s">
        <v>47</v>
      </c>
      <c r="AB521" s="4" t="s">
        <v>47</v>
      </c>
      <c r="AC521" s="4" t="s">
        <v>47</v>
      </c>
      <c r="AD521" s="4" t="s">
        <v>47</v>
      </c>
      <c r="AE521" s="4" t="s">
        <v>47</v>
      </c>
      <c r="AF521" s="4" t="s">
        <v>47</v>
      </c>
      <c r="AG521" s="4" t="s">
        <v>47</v>
      </c>
      <c r="AH521" s="4" t="s">
        <v>47</v>
      </c>
      <c r="AI521" s="4" t="s">
        <v>47</v>
      </c>
      <c r="AJ521" s="4" t="s">
        <v>47</v>
      </c>
      <c r="AK521" s="4" t="s">
        <v>47</v>
      </c>
      <c r="AL521" s="4" t="s">
        <v>47</v>
      </c>
      <c r="AM521" s="4" t="s">
        <v>47</v>
      </c>
      <c r="AN521" s="4" t="s">
        <v>47</v>
      </c>
      <c r="AO521" s="4" t="s">
        <v>5136</v>
      </c>
      <c r="AP521" s="4" t="s">
        <v>5137</v>
      </c>
      <c r="AQ521" s="4" t="s">
        <v>5138</v>
      </c>
      <c r="AR521" s="4" t="s">
        <v>5139</v>
      </c>
    </row>
    <row r="522" spans="1:44" x14ac:dyDescent="0.2">
      <c r="A522" s="4" t="s">
        <v>116</v>
      </c>
      <c r="B522" s="4" t="s">
        <v>225</v>
      </c>
      <c r="C522">
        <v>1</v>
      </c>
      <c r="F522">
        <v>2</v>
      </c>
      <c r="I522" s="4" t="s">
        <v>5140</v>
      </c>
      <c r="J522" s="4" t="s">
        <v>5141</v>
      </c>
      <c r="K522" s="4" t="s">
        <v>4523</v>
      </c>
      <c r="L522" s="4" t="s">
        <v>5092</v>
      </c>
      <c r="M522">
        <v>30223</v>
      </c>
      <c r="N522" s="4" t="s">
        <v>5039</v>
      </c>
      <c r="O522" s="4" t="s">
        <v>5142</v>
      </c>
      <c r="P522" s="4" t="s">
        <v>811</v>
      </c>
      <c r="Q522" s="9">
        <v>33044</v>
      </c>
      <c r="R522" s="4" t="s">
        <v>664</v>
      </c>
      <c r="S522" s="4" t="s">
        <v>5143</v>
      </c>
      <c r="T522" s="4" t="s">
        <v>47</v>
      </c>
      <c r="U522" s="4" t="s">
        <v>97</v>
      </c>
      <c r="V522">
        <v>1990</v>
      </c>
      <c r="W522" s="4" t="s">
        <v>5144</v>
      </c>
      <c r="X522" s="4" t="s">
        <v>5145</v>
      </c>
      <c r="Y522" s="4" t="s">
        <v>5146</v>
      </c>
      <c r="Z522" s="4" t="s">
        <v>5147</v>
      </c>
      <c r="AA522" s="4" t="s">
        <v>47</v>
      </c>
      <c r="AB522" s="4" t="s">
        <v>47</v>
      </c>
      <c r="AC522" s="4" t="s">
        <v>47</v>
      </c>
      <c r="AD522" s="4" t="s">
        <v>47</v>
      </c>
      <c r="AE522" s="4" t="s">
        <v>47</v>
      </c>
      <c r="AF522" s="4" t="s">
        <v>47</v>
      </c>
      <c r="AG522" s="4" t="s">
        <v>47</v>
      </c>
      <c r="AH522" s="4" t="s">
        <v>47</v>
      </c>
      <c r="AI522" s="4" t="s">
        <v>47</v>
      </c>
      <c r="AJ522" s="4" t="s">
        <v>47</v>
      </c>
      <c r="AK522" s="4" t="s">
        <v>47</v>
      </c>
      <c r="AL522" s="4" t="s">
        <v>47</v>
      </c>
      <c r="AM522" s="4" t="s">
        <v>47</v>
      </c>
      <c r="AN522" s="4" t="s">
        <v>47</v>
      </c>
      <c r="AO522" s="4" t="s">
        <v>5148</v>
      </c>
      <c r="AP522" s="4" t="s">
        <v>5149</v>
      </c>
      <c r="AQ522" s="4" t="s">
        <v>5150</v>
      </c>
      <c r="AR522" s="4" t="s">
        <v>5151</v>
      </c>
    </row>
    <row r="523" spans="1:44" x14ac:dyDescent="0.2">
      <c r="A523" s="4" t="s">
        <v>12</v>
      </c>
      <c r="B523" s="4" t="s">
        <v>205</v>
      </c>
      <c r="C523">
        <v>1</v>
      </c>
      <c r="F523">
        <v>0</v>
      </c>
      <c r="I523" s="4" t="s">
        <v>5060</v>
      </c>
      <c r="J523" s="4" t="s">
        <v>5061</v>
      </c>
      <c r="K523" s="4" t="s">
        <v>5152</v>
      </c>
      <c r="L523" s="4" t="s">
        <v>5153</v>
      </c>
      <c r="M523">
        <v>62502</v>
      </c>
      <c r="N523" s="4" t="s">
        <v>4937</v>
      </c>
      <c r="O523" s="4" t="s">
        <v>5154</v>
      </c>
      <c r="P523" s="4" t="s">
        <v>811</v>
      </c>
      <c r="Q523" s="9">
        <v>33044</v>
      </c>
      <c r="R523" s="4" t="s">
        <v>652</v>
      </c>
      <c r="S523" s="4" t="s">
        <v>4972</v>
      </c>
      <c r="T523" s="4" t="s">
        <v>47</v>
      </c>
      <c r="U523" s="4" t="s">
        <v>97</v>
      </c>
      <c r="V523">
        <v>1990</v>
      </c>
      <c r="W523" s="4" t="s">
        <v>5155</v>
      </c>
      <c r="X523" s="4" t="s">
        <v>47</v>
      </c>
      <c r="Y523" s="4" t="s">
        <v>5156</v>
      </c>
      <c r="Z523" s="4" t="s">
        <v>47</v>
      </c>
      <c r="AA523" s="4" t="s">
        <v>47</v>
      </c>
      <c r="AB523" s="4" t="s">
        <v>47</v>
      </c>
      <c r="AC523" s="4" t="s">
        <v>47</v>
      </c>
      <c r="AD523" s="4" t="s">
        <v>47</v>
      </c>
      <c r="AE523" s="4" t="s">
        <v>47</v>
      </c>
      <c r="AF523" s="4" t="s">
        <v>47</v>
      </c>
      <c r="AG523" s="4" t="s">
        <v>47</v>
      </c>
      <c r="AH523" s="4" t="s">
        <v>47</v>
      </c>
      <c r="AI523" s="4" t="s">
        <v>47</v>
      </c>
      <c r="AJ523" s="4" t="s">
        <v>47</v>
      </c>
      <c r="AK523" s="4" t="s">
        <v>47</v>
      </c>
      <c r="AL523" s="4" t="s">
        <v>47</v>
      </c>
      <c r="AM523" s="4" t="s">
        <v>47</v>
      </c>
      <c r="AN523" s="4" t="s">
        <v>47</v>
      </c>
      <c r="AO523" s="4" t="s">
        <v>47</v>
      </c>
      <c r="AP523" s="4" t="s">
        <v>5157</v>
      </c>
      <c r="AQ523" s="4" t="s">
        <v>5158</v>
      </c>
      <c r="AR523" s="4" t="s">
        <v>5159</v>
      </c>
    </row>
    <row r="524" spans="1:44" x14ac:dyDescent="0.2">
      <c r="A524" s="4" t="s">
        <v>104</v>
      </c>
      <c r="B524" s="4" t="s">
        <v>153</v>
      </c>
      <c r="C524">
        <v>1</v>
      </c>
      <c r="F524">
        <v>1</v>
      </c>
      <c r="I524" s="4" t="s">
        <v>4912</v>
      </c>
      <c r="J524" s="4" t="s">
        <v>4431</v>
      </c>
      <c r="K524" s="4" t="s">
        <v>4702</v>
      </c>
      <c r="L524" s="4" t="s">
        <v>4703</v>
      </c>
      <c r="M524">
        <v>72510</v>
      </c>
      <c r="N524" s="4" t="s">
        <v>4970</v>
      </c>
      <c r="O524" s="4" t="s">
        <v>5160</v>
      </c>
      <c r="P524" s="4" t="s">
        <v>811</v>
      </c>
      <c r="Q524" s="9">
        <v>33043</v>
      </c>
      <c r="R524" s="4" t="s">
        <v>1046</v>
      </c>
      <c r="S524" s="4" t="s">
        <v>5161</v>
      </c>
      <c r="T524" s="4" t="s">
        <v>47</v>
      </c>
      <c r="U524" s="4" t="s">
        <v>97</v>
      </c>
      <c r="V524">
        <v>1990</v>
      </c>
      <c r="W524" s="4" t="s">
        <v>5162</v>
      </c>
      <c r="X524" s="4" t="s">
        <v>5163</v>
      </c>
      <c r="Y524" s="4" t="s">
        <v>5164</v>
      </c>
      <c r="Z524" s="4" t="s">
        <v>5165</v>
      </c>
      <c r="AA524" s="4" t="s">
        <v>47</v>
      </c>
      <c r="AB524" s="4" t="s">
        <v>47</v>
      </c>
      <c r="AC524" s="4" t="s">
        <v>47</v>
      </c>
      <c r="AD524" s="4" t="s">
        <v>47</v>
      </c>
      <c r="AE524" s="4" t="s">
        <v>47</v>
      </c>
      <c r="AF524" s="4" t="s">
        <v>47</v>
      </c>
      <c r="AG524" s="4" t="s">
        <v>47</v>
      </c>
      <c r="AH524" s="4" t="s">
        <v>47</v>
      </c>
      <c r="AI524" s="4" t="s">
        <v>47</v>
      </c>
      <c r="AJ524" s="4" t="s">
        <v>47</v>
      </c>
      <c r="AK524" s="4" t="s">
        <v>47</v>
      </c>
      <c r="AL524" s="4" t="s">
        <v>47</v>
      </c>
      <c r="AM524" s="4" t="s">
        <v>47</v>
      </c>
      <c r="AN524" s="4" t="s">
        <v>47</v>
      </c>
      <c r="AO524" s="4" t="s">
        <v>5166</v>
      </c>
      <c r="AP524" s="4" t="s">
        <v>5167</v>
      </c>
      <c r="AQ524" s="4" t="s">
        <v>5168</v>
      </c>
      <c r="AR524" s="4" t="s">
        <v>47</v>
      </c>
    </row>
    <row r="525" spans="1:44" x14ac:dyDescent="0.2">
      <c r="A525" s="4" t="s">
        <v>4991</v>
      </c>
      <c r="B525" s="4" t="s">
        <v>254</v>
      </c>
      <c r="C525">
        <v>4</v>
      </c>
      <c r="F525">
        <v>1</v>
      </c>
      <c r="I525" s="4" t="s">
        <v>4992</v>
      </c>
      <c r="J525" s="4" t="s">
        <v>4993</v>
      </c>
      <c r="K525" s="4" t="s">
        <v>2646</v>
      </c>
      <c r="L525" s="4" t="s">
        <v>5169</v>
      </c>
      <c r="M525">
        <v>27833</v>
      </c>
      <c r="N525" s="4" t="s">
        <v>5029</v>
      </c>
      <c r="O525" s="4" t="s">
        <v>5170</v>
      </c>
      <c r="P525" s="4" t="s">
        <v>811</v>
      </c>
      <c r="Q525" s="9">
        <v>33043</v>
      </c>
      <c r="R525" s="4" t="s">
        <v>757</v>
      </c>
      <c r="S525" s="4" t="s">
        <v>5171</v>
      </c>
      <c r="T525" s="4" t="s">
        <v>47</v>
      </c>
      <c r="U525" s="4" t="s">
        <v>97</v>
      </c>
      <c r="V525">
        <v>1990</v>
      </c>
      <c r="W525" s="4" t="s">
        <v>5172</v>
      </c>
      <c r="X525" s="4" t="s">
        <v>5173</v>
      </c>
      <c r="Y525" s="4" t="s">
        <v>5174</v>
      </c>
      <c r="Z525" s="4" t="s">
        <v>5175</v>
      </c>
      <c r="AA525" s="4" t="s">
        <v>47</v>
      </c>
      <c r="AB525" s="4" t="s">
        <v>47</v>
      </c>
      <c r="AC525" s="4" t="s">
        <v>47</v>
      </c>
      <c r="AD525" s="4" t="s">
        <v>47</v>
      </c>
      <c r="AE525" s="4" t="s">
        <v>47</v>
      </c>
      <c r="AF525" s="4" t="s">
        <v>47</v>
      </c>
      <c r="AG525" s="4" t="s">
        <v>47</v>
      </c>
      <c r="AH525" s="4" t="s">
        <v>47</v>
      </c>
      <c r="AI525" s="4" t="s">
        <v>47</v>
      </c>
      <c r="AJ525" s="4" t="s">
        <v>47</v>
      </c>
      <c r="AK525" s="4" t="s">
        <v>47</v>
      </c>
      <c r="AL525" s="4" t="s">
        <v>47</v>
      </c>
      <c r="AM525" s="4" t="s">
        <v>47</v>
      </c>
      <c r="AN525" s="4" t="s">
        <v>5176</v>
      </c>
      <c r="AO525" s="4" t="s">
        <v>5177</v>
      </c>
      <c r="AP525" s="4" t="s">
        <v>5178</v>
      </c>
      <c r="AQ525" s="4" t="s">
        <v>5179</v>
      </c>
      <c r="AR525" s="4" t="s">
        <v>5180</v>
      </c>
    </row>
    <row r="526" spans="1:44" x14ac:dyDescent="0.2">
      <c r="A526" s="4" t="s">
        <v>173</v>
      </c>
      <c r="B526" s="4" t="s">
        <v>102</v>
      </c>
      <c r="C526">
        <v>2</v>
      </c>
      <c r="F526">
        <v>1</v>
      </c>
      <c r="I526" s="4" t="s">
        <v>5181</v>
      </c>
      <c r="J526" s="4" t="s">
        <v>5182</v>
      </c>
      <c r="K526" s="4" t="s">
        <v>5183</v>
      </c>
      <c r="L526" s="4" t="s">
        <v>5184</v>
      </c>
      <c r="M526">
        <v>34857</v>
      </c>
      <c r="N526" s="4" t="s">
        <v>4994</v>
      </c>
      <c r="O526" s="4" t="s">
        <v>5185</v>
      </c>
      <c r="P526" s="4" t="s">
        <v>811</v>
      </c>
      <c r="Q526" s="9">
        <v>33043</v>
      </c>
      <c r="R526" s="4" t="s">
        <v>617</v>
      </c>
      <c r="S526" s="4" t="s">
        <v>4499</v>
      </c>
      <c r="T526" s="4" t="s">
        <v>47</v>
      </c>
      <c r="U526" s="4" t="s">
        <v>97</v>
      </c>
      <c r="V526">
        <v>1990</v>
      </c>
      <c r="W526" s="4" t="s">
        <v>5186</v>
      </c>
      <c r="X526" s="4" t="s">
        <v>5187</v>
      </c>
      <c r="Y526" s="4" t="s">
        <v>5188</v>
      </c>
      <c r="Z526" s="4" t="s">
        <v>5189</v>
      </c>
      <c r="AA526" s="4" t="s">
        <v>47</v>
      </c>
      <c r="AB526" s="4" t="s">
        <v>47</v>
      </c>
      <c r="AC526" s="4" t="s">
        <v>47</v>
      </c>
      <c r="AD526" s="4" t="s">
        <v>47</v>
      </c>
      <c r="AE526" s="4" t="s">
        <v>47</v>
      </c>
      <c r="AF526" s="4" t="s">
        <v>47</v>
      </c>
      <c r="AG526" s="4" t="s">
        <v>47</v>
      </c>
      <c r="AH526" s="4" t="s">
        <v>47</v>
      </c>
      <c r="AI526" s="4" t="s">
        <v>47</v>
      </c>
      <c r="AJ526" s="4" t="s">
        <v>47</v>
      </c>
      <c r="AK526" s="4" t="s">
        <v>5190</v>
      </c>
      <c r="AL526" s="4" t="s">
        <v>47</v>
      </c>
      <c r="AM526" s="4" t="s">
        <v>47</v>
      </c>
      <c r="AN526" s="4" t="s">
        <v>47</v>
      </c>
      <c r="AO526" s="4" t="s">
        <v>5191</v>
      </c>
      <c r="AP526" s="4" t="s">
        <v>5192</v>
      </c>
      <c r="AQ526" s="4" t="s">
        <v>5193</v>
      </c>
      <c r="AR526" s="4" t="s">
        <v>5194</v>
      </c>
    </row>
    <row r="527" spans="1:44" x14ac:dyDescent="0.2">
      <c r="A527" s="4" t="s">
        <v>97</v>
      </c>
      <c r="B527" s="4" t="s">
        <v>114</v>
      </c>
      <c r="C527">
        <v>2</v>
      </c>
      <c r="F527">
        <v>0</v>
      </c>
      <c r="I527" s="4" t="s">
        <v>4923</v>
      </c>
      <c r="J527" s="4" t="s">
        <v>4924</v>
      </c>
      <c r="K527" s="4" t="s">
        <v>4968</v>
      </c>
      <c r="L527" s="4" t="s">
        <v>4969</v>
      </c>
      <c r="M527">
        <v>73303</v>
      </c>
      <c r="N527" s="4" t="s">
        <v>4914</v>
      </c>
      <c r="O527" s="4" t="s">
        <v>5195</v>
      </c>
      <c r="P527" s="4" t="s">
        <v>811</v>
      </c>
      <c r="Q527" s="9">
        <v>33043</v>
      </c>
      <c r="R527" s="4" t="s">
        <v>630</v>
      </c>
      <c r="S527" s="4" t="s">
        <v>4413</v>
      </c>
      <c r="T527" s="4" t="s">
        <v>47</v>
      </c>
      <c r="U527" s="4" t="s">
        <v>97</v>
      </c>
      <c r="V527">
        <v>1990</v>
      </c>
      <c r="W527" s="4" t="s">
        <v>5196</v>
      </c>
      <c r="X527" s="4" t="s">
        <v>47</v>
      </c>
      <c r="Y527" s="4" t="s">
        <v>5197</v>
      </c>
      <c r="Z527" s="4" t="s">
        <v>47</v>
      </c>
      <c r="AA527" s="4" t="s">
        <v>47</v>
      </c>
      <c r="AB527" s="4" t="s">
        <v>47</v>
      </c>
      <c r="AC527" s="4" t="s">
        <v>47</v>
      </c>
      <c r="AD527" s="4" t="s">
        <v>47</v>
      </c>
      <c r="AE527" s="4" t="s">
        <v>47</v>
      </c>
      <c r="AF527" s="4" t="s">
        <v>47</v>
      </c>
      <c r="AG527" s="4" t="s">
        <v>47</v>
      </c>
      <c r="AH527" s="4" t="s">
        <v>47</v>
      </c>
      <c r="AI527" s="4" t="s">
        <v>47</v>
      </c>
      <c r="AJ527" s="4" t="s">
        <v>47</v>
      </c>
      <c r="AK527" s="4" t="s">
        <v>47</v>
      </c>
      <c r="AL527" s="4" t="s">
        <v>47</v>
      </c>
      <c r="AM527" s="4" t="s">
        <v>47</v>
      </c>
      <c r="AN527" s="4" t="s">
        <v>47</v>
      </c>
      <c r="AO527" s="4" t="s">
        <v>5198</v>
      </c>
      <c r="AP527" s="4" t="s">
        <v>5199</v>
      </c>
      <c r="AQ527" s="4" t="s">
        <v>5200</v>
      </c>
      <c r="AR527" s="4" t="s">
        <v>5201</v>
      </c>
    </row>
    <row r="528" spans="1:44" x14ac:dyDescent="0.2">
      <c r="A528" s="4" t="s">
        <v>26</v>
      </c>
      <c r="B528" s="4" t="s">
        <v>227</v>
      </c>
      <c r="C528">
        <v>1</v>
      </c>
      <c r="F528">
        <v>1</v>
      </c>
      <c r="I528" s="4" t="s">
        <v>4913</v>
      </c>
      <c r="J528" s="4" t="s">
        <v>2446</v>
      </c>
      <c r="K528" s="4" t="s">
        <v>5037</v>
      </c>
      <c r="L528" s="4" t="s">
        <v>5038</v>
      </c>
      <c r="M528">
        <v>52733</v>
      </c>
      <c r="N528" s="4" t="s">
        <v>4953</v>
      </c>
      <c r="O528" s="4" t="s">
        <v>5202</v>
      </c>
      <c r="P528" s="4" t="s">
        <v>811</v>
      </c>
      <c r="Q528" s="9">
        <v>33042</v>
      </c>
      <c r="R528" s="4" t="s">
        <v>1046</v>
      </c>
      <c r="S528" s="4" t="s">
        <v>5007</v>
      </c>
      <c r="T528" s="4" t="s">
        <v>47</v>
      </c>
      <c r="U528" s="4" t="s">
        <v>97</v>
      </c>
      <c r="V528">
        <v>1990</v>
      </c>
      <c r="W528" s="4" t="s">
        <v>5203</v>
      </c>
      <c r="X528" s="4" t="s">
        <v>5204</v>
      </c>
      <c r="Y528" s="4" t="s">
        <v>5205</v>
      </c>
      <c r="Z528" s="4" t="s">
        <v>5206</v>
      </c>
      <c r="AA528" s="4" t="s">
        <v>47</v>
      </c>
      <c r="AB528" s="4" t="s">
        <v>47</v>
      </c>
      <c r="AC528" s="4" t="s">
        <v>47</v>
      </c>
      <c r="AD528" s="4" t="s">
        <v>47</v>
      </c>
      <c r="AE528" s="4" t="s">
        <v>47</v>
      </c>
      <c r="AF528" s="4" t="s">
        <v>47</v>
      </c>
      <c r="AG528" s="4" t="s">
        <v>47</v>
      </c>
      <c r="AH528" s="4" t="s">
        <v>47</v>
      </c>
      <c r="AI528" s="4" t="s">
        <v>47</v>
      </c>
      <c r="AJ528" s="4" t="s">
        <v>47</v>
      </c>
      <c r="AK528" s="4" t="s">
        <v>47</v>
      </c>
      <c r="AL528" s="4" t="s">
        <v>47</v>
      </c>
      <c r="AM528" s="4" t="s">
        <v>47</v>
      </c>
      <c r="AN528" s="4" t="s">
        <v>47</v>
      </c>
      <c r="AO528" s="4" t="s">
        <v>5207</v>
      </c>
      <c r="AP528" s="4" t="s">
        <v>5208</v>
      </c>
      <c r="AQ528" s="4" t="s">
        <v>5209</v>
      </c>
      <c r="AR528" s="4" t="s">
        <v>5210</v>
      </c>
    </row>
    <row r="529" spans="1:44" x14ac:dyDescent="0.2">
      <c r="A529" s="4" t="s">
        <v>209</v>
      </c>
      <c r="B529" s="4" t="s">
        <v>5211</v>
      </c>
      <c r="C529">
        <v>0</v>
      </c>
      <c r="F529">
        <v>4</v>
      </c>
      <c r="I529" s="4" t="s">
        <v>4979</v>
      </c>
      <c r="J529" s="4" t="s">
        <v>4642</v>
      </c>
      <c r="K529" s="4" t="s">
        <v>5212</v>
      </c>
      <c r="L529" s="4" t="s">
        <v>5213</v>
      </c>
      <c r="M529">
        <v>37307</v>
      </c>
      <c r="N529" s="4" t="s">
        <v>4927</v>
      </c>
      <c r="O529" s="4" t="s">
        <v>5214</v>
      </c>
      <c r="P529" s="4" t="s">
        <v>811</v>
      </c>
      <c r="Q529" s="9">
        <v>33042</v>
      </c>
      <c r="R529" s="4" t="s">
        <v>2269</v>
      </c>
      <c r="S529" s="4" t="s">
        <v>4940</v>
      </c>
      <c r="T529" s="4" t="s">
        <v>47</v>
      </c>
      <c r="U529" s="4" t="s">
        <v>97</v>
      </c>
      <c r="V529">
        <v>1990</v>
      </c>
      <c r="W529" s="4" t="s">
        <v>47</v>
      </c>
      <c r="X529" s="4" t="s">
        <v>5215</v>
      </c>
      <c r="Y529" s="4" t="s">
        <v>47</v>
      </c>
      <c r="Z529" s="4" t="s">
        <v>5216</v>
      </c>
      <c r="AA529" s="4" t="s">
        <v>47</v>
      </c>
      <c r="AB529" s="4" t="s">
        <v>47</v>
      </c>
      <c r="AC529" s="4" t="s">
        <v>47</v>
      </c>
      <c r="AD529" s="4" t="s">
        <v>47</v>
      </c>
      <c r="AE529" s="4" t="s">
        <v>47</v>
      </c>
      <c r="AF529" s="4" t="s">
        <v>47</v>
      </c>
      <c r="AG529" s="4" t="s">
        <v>47</v>
      </c>
      <c r="AH529" s="4" t="s">
        <v>47</v>
      </c>
      <c r="AI529" s="4" t="s">
        <v>47</v>
      </c>
      <c r="AJ529" s="4" t="s">
        <v>47</v>
      </c>
      <c r="AK529" s="4" t="s">
        <v>47</v>
      </c>
      <c r="AL529" s="4" t="s">
        <v>47</v>
      </c>
      <c r="AM529" s="4" t="s">
        <v>47</v>
      </c>
      <c r="AN529" s="4" t="s">
        <v>47</v>
      </c>
      <c r="AO529" s="4" t="s">
        <v>5217</v>
      </c>
      <c r="AP529" s="4" t="s">
        <v>5218</v>
      </c>
      <c r="AQ529" s="4" t="s">
        <v>5219</v>
      </c>
      <c r="AR529" s="4" t="s">
        <v>5220</v>
      </c>
    </row>
    <row r="530" spans="1:44" x14ac:dyDescent="0.2">
      <c r="A530" s="4" t="s">
        <v>235</v>
      </c>
      <c r="B530" s="4" t="s">
        <v>183</v>
      </c>
      <c r="C530">
        <v>0</v>
      </c>
      <c r="F530">
        <v>0</v>
      </c>
      <c r="I530" s="4" t="s">
        <v>4513</v>
      </c>
      <c r="J530" s="4" t="s">
        <v>3484</v>
      </c>
      <c r="K530" s="4" t="s">
        <v>5130</v>
      </c>
      <c r="L530" s="4" t="s">
        <v>5221</v>
      </c>
      <c r="M530">
        <v>33288</v>
      </c>
      <c r="N530" s="4" t="s">
        <v>5121</v>
      </c>
      <c r="O530" s="4" t="s">
        <v>5222</v>
      </c>
      <c r="P530" s="4" t="s">
        <v>811</v>
      </c>
      <c r="Q530" s="9">
        <v>33041</v>
      </c>
      <c r="R530" s="4" t="s">
        <v>869</v>
      </c>
      <c r="S530" s="4" t="s">
        <v>5223</v>
      </c>
      <c r="T530" s="4" t="s">
        <v>47</v>
      </c>
      <c r="U530" s="4" t="s">
        <v>97</v>
      </c>
      <c r="V530">
        <v>1990</v>
      </c>
      <c r="W530" s="4" t="s">
        <v>47</v>
      </c>
      <c r="X530" s="4" t="s">
        <v>47</v>
      </c>
      <c r="Y530" s="4" t="s">
        <v>47</v>
      </c>
      <c r="Z530" s="4" t="s">
        <v>47</v>
      </c>
      <c r="AA530" s="4" t="s">
        <v>47</v>
      </c>
      <c r="AB530" s="4" t="s">
        <v>47</v>
      </c>
      <c r="AC530" s="4" t="s">
        <v>47</v>
      </c>
      <c r="AD530" s="4" t="s">
        <v>47</v>
      </c>
      <c r="AE530" s="4" t="s">
        <v>47</v>
      </c>
      <c r="AF530" s="4" t="s">
        <v>47</v>
      </c>
      <c r="AG530" s="4" t="s">
        <v>47</v>
      </c>
      <c r="AH530" s="4" t="s">
        <v>47</v>
      </c>
      <c r="AI530" s="4" t="s">
        <v>47</v>
      </c>
      <c r="AJ530" s="4" t="s">
        <v>47</v>
      </c>
      <c r="AK530" s="4" t="s">
        <v>47</v>
      </c>
      <c r="AL530" s="4" t="s">
        <v>47</v>
      </c>
      <c r="AM530" s="4" t="s">
        <v>47</v>
      </c>
      <c r="AN530" s="4" t="s">
        <v>47</v>
      </c>
      <c r="AO530" s="4" t="s">
        <v>5224</v>
      </c>
      <c r="AP530" s="4" t="s">
        <v>5225</v>
      </c>
      <c r="AQ530" s="4" t="s">
        <v>5226</v>
      </c>
      <c r="AR530" s="4" t="s">
        <v>5227</v>
      </c>
    </row>
    <row r="531" spans="1:44" x14ac:dyDescent="0.2">
      <c r="A531" s="4" t="s">
        <v>148</v>
      </c>
      <c r="B531" s="4" t="s">
        <v>121</v>
      </c>
      <c r="C531">
        <v>3</v>
      </c>
      <c r="F531">
        <v>1</v>
      </c>
      <c r="I531" s="4" t="s">
        <v>5027</v>
      </c>
      <c r="J531" s="4" t="s">
        <v>5028</v>
      </c>
      <c r="K531" s="4" t="s">
        <v>5050</v>
      </c>
      <c r="L531" s="4" t="s">
        <v>5051</v>
      </c>
      <c r="M531">
        <v>33759</v>
      </c>
      <c r="N531" s="4" t="s">
        <v>5016</v>
      </c>
      <c r="O531" s="4" t="s">
        <v>5228</v>
      </c>
      <c r="P531" s="4" t="s">
        <v>811</v>
      </c>
      <c r="Q531" s="9">
        <v>33041</v>
      </c>
      <c r="R531" s="4" t="s">
        <v>770</v>
      </c>
      <c r="S531" s="4" t="s">
        <v>5094</v>
      </c>
      <c r="T531" s="4" t="s">
        <v>47</v>
      </c>
      <c r="U531" s="4" t="s">
        <v>97</v>
      </c>
      <c r="V531">
        <v>1990</v>
      </c>
      <c r="W531" s="4" t="s">
        <v>5229</v>
      </c>
      <c r="X531" s="4" t="s">
        <v>5230</v>
      </c>
      <c r="Y531" s="4" t="s">
        <v>5231</v>
      </c>
      <c r="Z531" s="4" t="s">
        <v>5232</v>
      </c>
      <c r="AA531" s="4" t="s">
        <v>47</v>
      </c>
      <c r="AB531" s="4" t="s">
        <v>47</v>
      </c>
      <c r="AC531" s="4" t="s">
        <v>47</v>
      </c>
      <c r="AD531" s="4" t="s">
        <v>47</v>
      </c>
      <c r="AE531" s="4" t="s">
        <v>47</v>
      </c>
      <c r="AF531" s="4" t="s">
        <v>47</v>
      </c>
      <c r="AG531" s="4" t="s">
        <v>47</v>
      </c>
      <c r="AH531" s="4" t="s">
        <v>47</v>
      </c>
      <c r="AI531" s="4" t="s">
        <v>47</v>
      </c>
      <c r="AJ531" s="4" t="s">
        <v>47</v>
      </c>
      <c r="AK531" s="4" t="s">
        <v>47</v>
      </c>
      <c r="AL531" s="4" t="s">
        <v>47</v>
      </c>
      <c r="AM531" s="4" t="s">
        <v>5233</v>
      </c>
      <c r="AN531" s="4" t="s">
        <v>47</v>
      </c>
      <c r="AO531" s="4" t="s">
        <v>5234</v>
      </c>
      <c r="AP531" s="4" t="s">
        <v>5235</v>
      </c>
      <c r="AQ531" s="4" t="s">
        <v>5236</v>
      </c>
      <c r="AR531" s="4" t="s">
        <v>5237</v>
      </c>
    </row>
    <row r="532" spans="1:44" x14ac:dyDescent="0.2">
      <c r="A532" s="4" t="s">
        <v>175</v>
      </c>
      <c r="B532" s="4" t="s">
        <v>20</v>
      </c>
      <c r="C532">
        <v>1</v>
      </c>
      <c r="F532">
        <v>3</v>
      </c>
      <c r="I532" s="4" t="s">
        <v>5110</v>
      </c>
      <c r="J532" s="4" t="s">
        <v>5111</v>
      </c>
      <c r="K532" s="4" t="s">
        <v>5014</v>
      </c>
      <c r="L532" s="4" t="s">
        <v>5015</v>
      </c>
      <c r="M532">
        <v>32733</v>
      </c>
      <c r="N532" s="4" t="s">
        <v>5238</v>
      </c>
      <c r="O532" s="4" t="s">
        <v>5239</v>
      </c>
      <c r="P532" s="4" t="s">
        <v>811</v>
      </c>
      <c r="Q532" s="9">
        <v>33041</v>
      </c>
      <c r="R532" s="4" t="s">
        <v>1098</v>
      </c>
      <c r="S532" s="4" t="s">
        <v>5240</v>
      </c>
      <c r="T532" s="4" t="s">
        <v>47</v>
      </c>
      <c r="U532" s="4" t="s">
        <v>97</v>
      </c>
      <c r="V532">
        <v>1990</v>
      </c>
      <c r="W532" s="4" t="s">
        <v>5241</v>
      </c>
      <c r="X532" s="4" t="s">
        <v>5242</v>
      </c>
      <c r="Y532" s="4" t="s">
        <v>5243</v>
      </c>
      <c r="Z532" s="4" t="s">
        <v>5244</v>
      </c>
      <c r="AA532" s="4" t="s">
        <v>47</v>
      </c>
      <c r="AB532" s="4" t="s">
        <v>47</v>
      </c>
      <c r="AC532" s="4" t="s">
        <v>47</v>
      </c>
      <c r="AD532" s="4" t="s">
        <v>47</v>
      </c>
      <c r="AE532" s="4" t="s">
        <v>47</v>
      </c>
      <c r="AF532" s="4" t="s">
        <v>47</v>
      </c>
      <c r="AG532" s="4" t="s">
        <v>47</v>
      </c>
      <c r="AH532" s="4" t="s">
        <v>47</v>
      </c>
      <c r="AI532" s="4" t="s">
        <v>47</v>
      </c>
      <c r="AJ532" s="4" t="s">
        <v>47</v>
      </c>
      <c r="AK532" s="4" t="s">
        <v>47</v>
      </c>
      <c r="AL532" s="4" t="s">
        <v>47</v>
      </c>
      <c r="AM532" s="4" t="s">
        <v>47</v>
      </c>
      <c r="AN532" s="4" t="s">
        <v>47</v>
      </c>
      <c r="AO532" s="4" t="s">
        <v>5245</v>
      </c>
      <c r="AP532" s="4" t="s">
        <v>47</v>
      </c>
      <c r="AQ532" s="4" t="s">
        <v>5246</v>
      </c>
      <c r="AR532" s="4" t="s">
        <v>5247</v>
      </c>
    </row>
    <row r="533" spans="1:44" x14ac:dyDescent="0.2">
      <c r="A533" s="4" t="s">
        <v>12</v>
      </c>
      <c r="B533" s="4" t="s">
        <v>225</v>
      </c>
      <c r="C533">
        <v>1</v>
      </c>
      <c r="F533">
        <v>0</v>
      </c>
      <c r="I533" s="4" t="s">
        <v>5060</v>
      </c>
      <c r="J533" s="4" t="s">
        <v>5061</v>
      </c>
      <c r="K533" s="4" t="s">
        <v>4523</v>
      </c>
      <c r="L533" s="4" t="s">
        <v>5092</v>
      </c>
      <c r="M533">
        <v>58007</v>
      </c>
      <c r="N533" s="4" t="s">
        <v>4937</v>
      </c>
      <c r="O533" s="4" t="s">
        <v>5248</v>
      </c>
      <c r="P533" s="4" t="s">
        <v>811</v>
      </c>
      <c r="Q533" s="9">
        <v>33040</v>
      </c>
      <c r="R533" s="4" t="s">
        <v>652</v>
      </c>
      <c r="S533" s="4" t="s">
        <v>4594</v>
      </c>
      <c r="T533" s="4" t="s">
        <v>47</v>
      </c>
      <c r="U533" s="4" t="s">
        <v>97</v>
      </c>
      <c r="V533">
        <v>1990</v>
      </c>
      <c r="W533" s="4" t="s">
        <v>5249</v>
      </c>
      <c r="X533" s="4" t="s">
        <v>47</v>
      </c>
      <c r="Y533" s="4" t="s">
        <v>5250</v>
      </c>
      <c r="Z533" s="4" t="s">
        <v>47</v>
      </c>
      <c r="AA533" s="4" t="s">
        <v>47</v>
      </c>
      <c r="AB533" s="4" t="s">
        <v>47</v>
      </c>
      <c r="AC533" s="4" t="s">
        <v>47</v>
      </c>
      <c r="AD533" s="4" t="s">
        <v>47</v>
      </c>
      <c r="AE533" s="4" t="s">
        <v>47</v>
      </c>
      <c r="AF533" s="4" t="s">
        <v>47</v>
      </c>
      <c r="AG533" s="4" t="s">
        <v>47</v>
      </c>
      <c r="AH533" s="4" t="s">
        <v>47</v>
      </c>
      <c r="AI533" s="4" t="s">
        <v>47</v>
      </c>
      <c r="AJ533" s="4" t="s">
        <v>47</v>
      </c>
      <c r="AK533" s="4" t="s">
        <v>47</v>
      </c>
      <c r="AL533" s="4" t="s">
        <v>47</v>
      </c>
      <c r="AM533" s="4" t="s">
        <v>47</v>
      </c>
      <c r="AN533" s="4" t="s">
        <v>47</v>
      </c>
      <c r="AO533" s="4" t="s">
        <v>5251</v>
      </c>
      <c r="AP533" s="4" t="s">
        <v>5252</v>
      </c>
      <c r="AQ533" s="4" t="s">
        <v>5253</v>
      </c>
      <c r="AR533" s="4" t="s">
        <v>5254</v>
      </c>
    </row>
    <row r="534" spans="1:44" x14ac:dyDescent="0.2">
      <c r="A534" s="4" t="s">
        <v>52</v>
      </c>
      <c r="B534" s="4" t="s">
        <v>95</v>
      </c>
      <c r="C534">
        <v>0</v>
      </c>
      <c r="F534">
        <v>0</v>
      </c>
      <c r="I534" s="4" t="s">
        <v>4925</v>
      </c>
      <c r="J534" s="4" t="s">
        <v>5255</v>
      </c>
      <c r="K534" s="4" t="s">
        <v>3148</v>
      </c>
      <c r="L534" s="4" t="s">
        <v>5070</v>
      </c>
      <c r="M534">
        <v>35267</v>
      </c>
      <c r="N534" s="4" t="s">
        <v>5132</v>
      </c>
      <c r="O534" s="4" t="s">
        <v>5256</v>
      </c>
      <c r="P534" s="4" t="s">
        <v>811</v>
      </c>
      <c r="Q534" s="9">
        <v>33040</v>
      </c>
      <c r="R534" s="4" t="s">
        <v>869</v>
      </c>
      <c r="S534" s="4" t="s">
        <v>5143</v>
      </c>
      <c r="T534" s="4" t="s">
        <v>47</v>
      </c>
      <c r="U534" s="4" t="s">
        <v>97</v>
      </c>
      <c r="V534">
        <v>1990</v>
      </c>
      <c r="W534" s="4" t="s">
        <v>47</v>
      </c>
      <c r="X534" s="4" t="s">
        <v>47</v>
      </c>
      <c r="Y534" s="4" t="s">
        <v>47</v>
      </c>
      <c r="Z534" s="4" t="s">
        <v>47</v>
      </c>
      <c r="AA534" s="4" t="s">
        <v>47</v>
      </c>
      <c r="AB534" s="4" t="s">
        <v>47</v>
      </c>
      <c r="AC534" s="4" t="s">
        <v>47</v>
      </c>
      <c r="AD534" s="4" t="s">
        <v>47</v>
      </c>
      <c r="AE534" s="4" t="s">
        <v>47</v>
      </c>
      <c r="AF534" s="4" t="s">
        <v>47</v>
      </c>
      <c r="AG534" s="4" t="s">
        <v>47</v>
      </c>
      <c r="AH534" s="4" t="s">
        <v>47</v>
      </c>
      <c r="AI534" s="4" t="s">
        <v>47</v>
      </c>
      <c r="AJ534" s="4" t="s">
        <v>47</v>
      </c>
      <c r="AK534" s="4" t="s">
        <v>47</v>
      </c>
      <c r="AL534" s="4" t="s">
        <v>47</v>
      </c>
      <c r="AM534" s="4" t="s">
        <v>47</v>
      </c>
      <c r="AN534" s="4" t="s">
        <v>47</v>
      </c>
      <c r="AO534" s="4" t="s">
        <v>47</v>
      </c>
      <c r="AP534" s="4" t="s">
        <v>47</v>
      </c>
      <c r="AQ534" s="4" t="s">
        <v>5257</v>
      </c>
      <c r="AR534" s="4" t="s">
        <v>5258</v>
      </c>
    </row>
    <row r="535" spans="1:44" x14ac:dyDescent="0.2">
      <c r="A535" s="4" t="s">
        <v>116</v>
      </c>
      <c r="B535" s="4" t="s">
        <v>205</v>
      </c>
      <c r="C535">
        <v>1</v>
      </c>
      <c r="F535">
        <v>2</v>
      </c>
      <c r="I535" s="4" t="s">
        <v>5140</v>
      </c>
      <c r="J535" s="4" t="s">
        <v>5141</v>
      </c>
      <c r="K535" s="4" t="s">
        <v>5152</v>
      </c>
      <c r="L535" s="4" t="s">
        <v>5153</v>
      </c>
      <c r="M535">
        <v>31823</v>
      </c>
      <c r="N535" s="4" t="s">
        <v>5039</v>
      </c>
      <c r="O535" s="4" t="s">
        <v>5259</v>
      </c>
      <c r="P535" s="4" t="s">
        <v>811</v>
      </c>
      <c r="Q535" s="9">
        <v>33040</v>
      </c>
      <c r="R535" s="4" t="s">
        <v>664</v>
      </c>
      <c r="S535" s="4" t="s">
        <v>5260</v>
      </c>
      <c r="T535" s="4" t="s">
        <v>47</v>
      </c>
      <c r="U535" s="4" t="s">
        <v>97</v>
      </c>
      <c r="V535">
        <v>1990</v>
      </c>
      <c r="W535" s="4" t="s">
        <v>5261</v>
      </c>
      <c r="X535" s="4" t="s">
        <v>5262</v>
      </c>
      <c r="Y535" s="4" t="s">
        <v>5263</v>
      </c>
      <c r="Z535" s="4" t="s">
        <v>5264</v>
      </c>
      <c r="AA535" s="4" t="s">
        <v>47</v>
      </c>
      <c r="AB535" s="4" t="s">
        <v>47</v>
      </c>
      <c r="AC535" s="4" t="s">
        <v>47</v>
      </c>
      <c r="AD535" s="4" t="s">
        <v>5265</v>
      </c>
      <c r="AE535" s="4" t="s">
        <v>47</v>
      </c>
      <c r="AF535" s="4" t="s">
        <v>47</v>
      </c>
      <c r="AG535" s="4" t="s">
        <v>47</v>
      </c>
      <c r="AH535" s="4" t="s">
        <v>47</v>
      </c>
      <c r="AI535" s="4" t="s">
        <v>47</v>
      </c>
      <c r="AJ535" s="4" t="s">
        <v>47</v>
      </c>
      <c r="AK535" s="4" t="s">
        <v>47</v>
      </c>
      <c r="AL535" s="4" t="s">
        <v>47</v>
      </c>
      <c r="AM535" s="4" t="s">
        <v>47</v>
      </c>
      <c r="AN535" s="4" t="s">
        <v>47</v>
      </c>
      <c r="AO535" s="4" t="s">
        <v>5266</v>
      </c>
      <c r="AP535" s="4" t="s">
        <v>5267</v>
      </c>
      <c r="AQ535" s="4" t="s">
        <v>5268</v>
      </c>
      <c r="AR535" s="4" t="s">
        <v>5269</v>
      </c>
    </row>
    <row r="536" spans="1:44" x14ac:dyDescent="0.2">
      <c r="A536" s="4" t="s">
        <v>173</v>
      </c>
      <c r="B536" s="4" t="s">
        <v>114</v>
      </c>
      <c r="C536">
        <v>0</v>
      </c>
      <c r="F536">
        <v>1</v>
      </c>
      <c r="I536" s="4" t="s">
        <v>5181</v>
      </c>
      <c r="J536" s="4" t="s">
        <v>5182</v>
      </c>
      <c r="K536" s="4" t="s">
        <v>4968</v>
      </c>
      <c r="L536" s="4" t="s">
        <v>4969</v>
      </c>
      <c r="M536">
        <v>38962</v>
      </c>
      <c r="N536" s="4" t="s">
        <v>4994</v>
      </c>
      <c r="O536" s="4" t="s">
        <v>5270</v>
      </c>
      <c r="P536" s="4" t="s">
        <v>811</v>
      </c>
      <c r="Q536" s="9">
        <v>33039</v>
      </c>
      <c r="R536" s="4" t="s">
        <v>963</v>
      </c>
      <c r="S536" s="4" t="s">
        <v>5271</v>
      </c>
      <c r="T536" s="4" t="s">
        <v>47</v>
      </c>
      <c r="U536" s="4" t="s">
        <v>97</v>
      </c>
      <c r="V536">
        <v>1990</v>
      </c>
      <c r="W536" s="4" t="s">
        <v>47</v>
      </c>
      <c r="X536" s="4" t="s">
        <v>47</v>
      </c>
      <c r="Y536" s="4" t="s">
        <v>47</v>
      </c>
      <c r="Z536" s="4" t="s">
        <v>47</v>
      </c>
      <c r="AA536" s="4" t="s">
        <v>47</v>
      </c>
      <c r="AB536" s="4" t="s">
        <v>47</v>
      </c>
      <c r="AC536" s="4" t="s">
        <v>47</v>
      </c>
      <c r="AD536" s="4" t="s">
        <v>5272</v>
      </c>
      <c r="AE536" s="4" t="s">
        <v>47</v>
      </c>
      <c r="AF536" s="4" t="s">
        <v>47</v>
      </c>
      <c r="AG536" s="4" t="s">
        <v>47</v>
      </c>
      <c r="AH536" s="4" t="s">
        <v>47</v>
      </c>
      <c r="AI536" s="4" t="s">
        <v>47</v>
      </c>
      <c r="AJ536" s="4" t="s">
        <v>47</v>
      </c>
      <c r="AK536" s="4" t="s">
        <v>47</v>
      </c>
      <c r="AL536" s="4" t="s">
        <v>47</v>
      </c>
      <c r="AM536" s="4" t="s">
        <v>47</v>
      </c>
      <c r="AN536" s="4" t="s">
        <v>47</v>
      </c>
      <c r="AO536" s="4" t="s">
        <v>5273</v>
      </c>
      <c r="AP536" s="4" t="s">
        <v>5274</v>
      </c>
      <c r="AQ536" s="4" t="s">
        <v>5275</v>
      </c>
      <c r="AR536" s="4" t="s">
        <v>5276</v>
      </c>
    </row>
    <row r="537" spans="1:44" x14ac:dyDescent="0.2">
      <c r="A537" s="4" t="s">
        <v>104</v>
      </c>
      <c r="B537" s="4" t="s">
        <v>254</v>
      </c>
      <c r="C537">
        <v>5</v>
      </c>
      <c r="F537">
        <v>1</v>
      </c>
      <c r="I537" s="4" t="s">
        <v>4912</v>
      </c>
      <c r="J537" s="4" t="s">
        <v>4431</v>
      </c>
      <c r="K537" s="4" t="s">
        <v>2646</v>
      </c>
      <c r="L537" s="4" t="s">
        <v>5169</v>
      </c>
      <c r="M537">
        <v>71169</v>
      </c>
      <c r="N537" s="4" t="s">
        <v>4970</v>
      </c>
      <c r="O537" s="4" t="s">
        <v>5277</v>
      </c>
      <c r="P537" s="4" t="s">
        <v>811</v>
      </c>
      <c r="Q537" s="9">
        <v>33039</v>
      </c>
      <c r="R537" s="4" t="s">
        <v>5278</v>
      </c>
      <c r="S537" s="4" t="s">
        <v>5279</v>
      </c>
      <c r="T537" s="4" t="s">
        <v>47</v>
      </c>
      <c r="U537" s="4" t="s">
        <v>97</v>
      </c>
      <c r="V537">
        <v>1990</v>
      </c>
      <c r="W537" s="4" t="s">
        <v>5280</v>
      </c>
      <c r="X537" s="4" t="s">
        <v>5281</v>
      </c>
      <c r="Y537" s="4" t="s">
        <v>5282</v>
      </c>
      <c r="Z537" s="4" t="s">
        <v>5283</v>
      </c>
      <c r="AA537" s="4" t="s">
        <v>47</v>
      </c>
      <c r="AB537" s="4" t="s">
        <v>47</v>
      </c>
      <c r="AC537" s="4" t="s">
        <v>47</v>
      </c>
      <c r="AD537" s="4" t="s">
        <v>47</v>
      </c>
      <c r="AE537" s="4" t="s">
        <v>47</v>
      </c>
      <c r="AF537" s="4" t="s">
        <v>47</v>
      </c>
      <c r="AG537" s="4" t="s">
        <v>47</v>
      </c>
      <c r="AH537" s="4" t="s">
        <v>47</v>
      </c>
      <c r="AI537" s="4" t="s">
        <v>47</v>
      </c>
      <c r="AJ537" s="4" t="s">
        <v>47</v>
      </c>
      <c r="AK537" s="4" t="s">
        <v>47</v>
      </c>
      <c r="AL537" s="4" t="s">
        <v>47</v>
      </c>
      <c r="AM537" s="4" t="s">
        <v>47</v>
      </c>
      <c r="AN537" s="4" t="s">
        <v>47</v>
      </c>
      <c r="AO537" s="4" t="s">
        <v>5284</v>
      </c>
      <c r="AP537" s="4" t="s">
        <v>5285</v>
      </c>
      <c r="AQ537" s="4" t="s">
        <v>5286</v>
      </c>
      <c r="AR537" s="4" t="s">
        <v>5287</v>
      </c>
    </row>
    <row r="538" spans="1:44" x14ac:dyDescent="0.2">
      <c r="A538" s="4" t="s">
        <v>4991</v>
      </c>
      <c r="B538" s="4" t="s">
        <v>153</v>
      </c>
      <c r="C538">
        <v>1</v>
      </c>
      <c r="F538">
        <v>0</v>
      </c>
      <c r="I538" s="4" t="s">
        <v>4992</v>
      </c>
      <c r="J538" s="4" t="s">
        <v>4993</v>
      </c>
      <c r="K538" s="4" t="s">
        <v>4702</v>
      </c>
      <c r="L538" s="4" t="s">
        <v>4703</v>
      </c>
      <c r="M538">
        <v>32257</v>
      </c>
      <c r="N538" s="4" t="s">
        <v>5029</v>
      </c>
      <c r="O538" s="4" t="s">
        <v>5288</v>
      </c>
      <c r="P538" s="4" t="s">
        <v>811</v>
      </c>
      <c r="Q538" s="9">
        <v>33038</v>
      </c>
      <c r="R538" s="4" t="s">
        <v>652</v>
      </c>
      <c r="S538" s="4" t="s">
        <v>5289</v>
      </c>
      <c r="T538" s="4" t="s">
        <v>47</v>
      </c>
      <c r="U538" s="4" t="s">
        <v>97</v>
      </c>
      <c r="V538">
        <v>1990</v>
      </c>
      <c r="W538" s="4" t="s">
        <v>5290</v>
      </c>
      <c r="X538" s="4" t="s">
        <v>47</v>
      </c>
      <c r="Y538" s="4" t="s">
        <v>5291</v>
      </c>
      <c r="Z538" s="4" t="s">
        <v>47</v>
      </c>
      <c r="AA538" s="4" t="s">
        <v>47</v>
      </c>
      <c r="AB538" s="4" t="s">
        <v>47</v>
      </c>
      <c r="AC538" s="4" t="s">
        <v>47</v>
      </c>
      <c r="AD538" s="4" t="s">
        <v>47</v>
      </c>
      <c r="AE538" s="4" t="s">
        <v>47</v>
      </c>
      <c r="AF538" s="4" t="s">
        <v>47</v>
      </c>
      <c r="AG538" s="4" t="s">
        <v>47</v>
      </c>
      <c r="AH538" s="4" t="s">
        <v>47</v>
      </c>
      <c r="AI538" s="4" t="s">
        <v>47</v>
      </c>
      <c r="AJ538" s="4" t="s">
        <v>47</v>
      </c>
      <c r="AK538" s="4" t="s">
        <v>47</v>
      </c>
      <c r="AL538" s="4" t="s">
        <v>47</v>
      </c>
      <c r="AM538" s="4" t="s">
        <v>47</v>
      </c>
      <c r="AN538" s="4" t="s">
        <v>47</v>
      </c>
      <c r="AO538" s="4" t="s">
        <v>5292</v>
      </c>
      <c r="AP538" s="4" t="s">
        <v>47</v>
      </c>
      <c r="AQ538" s="4" t="s">
        <v>5293</v>
      </c>
      <c r="AR538" s="4" t="s">
        <v>5294</v>
      </c>
    </row>
    <row r="539" spans="1:44" x14ac:dyDescent="0.2">
      <c r="A539" s="4" t="s">
        <v>209</v>
      </c>
      <c r="B539" s="4" t="s">
        <v>227</v>
      </c>
      <c r="C539">
        <v>2</v>
      </c>
      <c r="F539">
        <v>1</v>
      </c>
      <c r="I539" s="4" t="s">
        <v>4979</v>
      </c>
      <c r="J539" s="4" t="s">
        <v>4642</v>
      </c>
      <c r="K539" s="4" t="s">
        <v>5037</v>
      </c>
      <c r="L539" s="4" t="s">
        <v>5038</v>
      </c>
      <c r="M539">
        <v>38687</v>
      </c>
      <c r="N539" s="4" t="s">
        <v>4927</v>
      </c>
      <c r="O539" s="4" t="s">
        <v>5295</v>
      </c>
      <c r="P539" s="4" t="s">
        <v>811</v>
      </c>
      <c r="Q539" s="9">
        <v>33038</v>
      </c>
      <c r="R539" s="4" t="s">
        <v>617</v>
      </c>
      <c r="S539" s="4" t="s">
        <v>5296</v>
      </c>
      <c r="T539" s="4" t="s">
        <v>47</v>
      </c>
      <c r="U539" s="4" t="s">
        <v>97</v>
      </c>
      <c r="V539">
        <v>1990</v>
      </c>
      <c r="W539" s="4" t="s">
        <v>5297</v>
      </c>
      <c r="X539" s="4" t="s">
        <v>5298</v>
      </c>
      <c r="Y539" s="4" t="s">
        <v>5299</v>
      </c>
      <c r="Z539" s="4" t="s">
        <v>5300</v>
      </c>
      <c r="AA539" s="4" t="s">
        <v>47</v>
      </c>
      <c r="AB539" s="4" t="s">
        <v>47</v>
      </c>
      <c r="AC539" s="4" t="s">
        <v>47</v>
      </c>
      <c r="AD539" s="4" t="s">
        <v>47</v>
      </c>
      <c r="AE539" s="4" t="s">
        <v>47</v>
      </c>
      <c r="AF539" s="4" t="s">
        <v>47</v>
      </c>
      <c r="AG539" s="4" t="s">
        <v>47</v>
      </c>
      <c r="AH539" s="4" t="s">
        <v>47</v>
      </c>
      <c r="AI539" s="4" t="s">
        <v>47</v>
      </c>
      <c r="AJ539" s="4" t="s">
        <v>47</v>
      </c>
      <c r="AK539" s="4" t="s">
        <v>47</v>
      </c>
      <c r="AL539" s="4" t="s">
        <v>47</v>
      </c>
      <c r="AM539" s="4" t="s">
        <v>47</v>
      </c>
      <c r="AN539" s="4" t="s">
        <v>47</v>
      </c>
      <c r="AO539" s="4" t="s">
        <v>5301</v>
      </c>
      <c r="AP539" s="4" t="s">
        <v>5302</v>
      </c>
      <c r="AQ539" s="4" t="s">
        <v>5303</v>
      </c>
      <c r="AR539" s="4" t="s">
        <v>5304</v>
      </c>
    </row>
    <row r="540" spans="1:44" x14ac:dyDescent="0.2">
      <c r="A540" s="4" t="s">
        <v>97</v>
      </c>
      <c r="B540" s="4" t="s">
        <v>102</v>
      </c>
      <c r="C540">
        <v>1</v>
      </c>
      <c r="F540">
        <v>0</v>
      </c>
      <c r="I540" s="4" t="s">
        <v>4923</v>
      </c>
      <c r="J540" s="4" t="s">
        <v>4924</v>
      </c>
      <c r="K540" s="4" t="s">
        <v>5183</v>
      </c>
      <c r="L540" s="4" t="s">
        <v>5184</v>
      </c>
      <c r="M540">
        <v>73423</v>
      </c>
      <c r="N540" s="4" t="s">
        <v>4914</v>
      </c>
      <c r="O540" s="4" t="s">
        <v>5305</v>
      </c>
      <c r="P540" s="4" t="s">
        <v>811</v>
      </c>
      <c r="Q540" s="9">
        <v>33038</v>
      </c>
      <c r="R540" s="4" t="s">
        <v>652</v>
      </c>
      <c r="S540" s="4" t="s">
        <v>4916</v>
      </c>
      <c r="T540" s="4" t="s">
        <v>47</v>
      </c>
      <c r="U540" s="4" t="s">
        <v>97</v>
      </c>
      <c r="V540">
        <v>1990</v>
      </c>
      <c r="W540" s="4" t="s">
        <v>5306</v>
      </c>
      <c r="X540" s="4" t="s">
        <v>47</v>
      </c>
      <c r="Y540" s="4" t="s">
        <v>5307</v>
      </c>
      <c r="Z540" s="4" t="s">
        <v>47</v>
      </c>
      <c r="AA540" s="4" t="s">
        <v>47</v>
      </c>
      <c r="AB540" s="4" t="s">
        <v>47</v>
      </c>
      <c r="AC540" s="4" t="s">
        <v>47</v>
      </c>
      <c r="AD540" s="4" t="s">
        <v>47</v>
      </c>
      <c r="AE540" s="4" t="s">
        <v>47</v>
      </c>
      <c r="AF540" s="4" t="s">
        <v>47</v>
      </c>
      <c r="AG540" s="4" t="s">
        <v>47</v>
      </c>
      <c r="AH540" s="4" t="s">
        <v>47</v>
      </c>
      <c r="AI540" s="4" t="s">
        <v>47</v>
      </c>
      <c r="AJ540" s="4" t="s">
        <v>47</v>
      </c>
      <c r="AK540" s="4" t="s">
        <v>47</v>
      </c>
      <c r="AL540" s="4" t="s">
        <v>47</v>
      </c>
      <c r="AM540" s="4" t="s">
        <v>47</v>
      </c>
      <c r="AN540" s="4" t="s">
        <v>47</v>
      </c>
      <c r="AO540" s="4" t="s">
        <v>5308</v>
      </c>
      <c r="AP540" s="4" t="s">
        <v>5309</v>
      </c>
      <c r="AQ540" s="4" t="s">
        <v>5310</v>
      </c>
      <c r="AR540" s="4" t="s">
        <v>5311</v>
      </c>
    </row>
    <row r="541" spans="1:44" x14ac:dyDescent="0.2">
      <c r="A541" s="4" t="s">
        <v>121</v>
      </c>
      <c r="B541" s="4" t="s">
        <v>20</v>
      </c>
      <c r="C541">
        <v>0</v>
      </c>
      <c r="F541">
        <v>0</v>
      </c>
      <c r="I541" s="4" t="s">
        <v>5050</v>
      </c>
      <c r="J541" s="4" t="s">
        <v>5051</v>
      </c>
      <c r="K541" s="4" t="s">
        <v>5014</v>
      </c>
      <c r="L541" s="4" t="s">
        <v>5015</v>
      </c>
      <c r="M541">
        <v>35713</v>
      </c>
      <c r="N541" s="4" t="s">
        <v>5238</v>
      </c>
      <c r="O541" s="4" t="s">
        <v>5312</v>
      </c>
      <c r="P541" s="4" t="s">
        <v>811</v>
      </c>
      <c r="Q541" s="9">
        <v>33037</v>
      </c>
      <c r="R541" s="4" t="s">
        <v>869</v>
      </c>
      <c r="S541" s="4" t="s">
        <v>4972</v>
      </c>
      <c r="T541" s="4" t="s">
        <v>47</v>
      </c>
      <c r="U541" s="4" t="s">
        <v>97</v>
      </c>
      <c r="V541">
        <v>1990</v>
      </c>
      <c r="W541" s="4" t="s">
        <v>47</v>
      </c>
      <c r="X541" s="4" t="s">
        <v>47</v>
      </c>
      <c r="Y541" s="4" t="s">
        <v>47</v>
      </c>
      <c r="Z541" s="4" t="s">
        <v>47</v>
      </c>
      <c r="AA541" s="4" t="s">
        <v>47</v>
      </c>
      <c r="AB541" s="4" t="s">
        <v>47</v>
      </c>
      <c r="AC541" s="4" t="s">
        <v>47</v>
      </c>
      <c r="AD541" s="4" t="s">
        <v>47</v>
      </c>
      <c r="AE541" s="4" t="s">
        <v>47</v>
      </c>
      <c r="AF541" s="4" t="s">
        <v>47</v>
      </c>
      <c r="AG541" s="4" t="s">
        <v>47</v>
      </c>
      <c r="AH541" s="4" t="s">
        <v>47</v>
      </c>
      <c r="AI541" s="4" t="s">
        <v>47</v>
      </c>
      <c r="AJ541" s="4" t="s">
        <v>47</v>
      </c>
      <c r="AK541" s="4" t="s">
        <v>47</v>
      </c>
      <c r="AL541" s="4" t="s">
        <v>47</v>
      </c>
      <c r="AM541" s="4" t="s">
        <v>47</v>
      </c>
      <c r="AN541" s="4" t="s">
        <v>47</v>
      </c>
      <c r="AO541" s="4" t="s">
        <v>5313</v>
      </c>
      <c r="AP541" s="4" t="s">
        <v>5314</v>
      </c>
      <c r="AQ541" s="4" t="s">
        <v>5315</v>
      </c>
      <c r="AR541" s="4" t="s">
        <v>5316</v>
      </c>
    </row>
    <row r="542" spans="1:44" x14ac:dyDescent="0.2">
      <c r="A542" s="4" t="s">
        <v>26</v>
      </c>
      <c r="B542" s="4" t="s">
        <v>5211</v>
      </c>
      <c r="C542">
        <v>2</v>
      </c>
      <c r="F542">
        <v>0</v>
      </c>
      <c r="I542" s="4" t="s">
        <v>4913</v>
      </c>
      <c r="J542" s="4" t="s">
        <v>2446</v>
      </c>
      <c r="K542" s="4" t="s">
        <v>5212</v>
      </c>
      <c r="L542" s="4" t="s">
        <v>5317</v>
      </c>
      <c r="M542">
        <v>55759</v>
      </c>
      <c r="N542" s="4" t="s">
        <v>4953</v>
      </c>
      <c r="O542" s="4" t="s">
        <v>5318</v>
      </c>
      <c r="P542" s="4" t="s">
        <v>811</v>
      </c>
      <c r="Q542" s="9">
        <v>33037</v>
      </c>
      <c r="R542" s="4" t="s">
        <v>630</v>
      </c>
      <c r="S542" s="4" t="s">
        <v>5319</v>
      </c>
      <c r="T542" s="4" t="s">
        <v>47</v>
      </c>
      <c r="U542" s="4" t="s">
        <v>97</v>
      </c>
      <c r="V542">
        <v>1990</v>
      </c>
      <c r="W542" s="4" t="s">
        <v>5320</v>
      </c>
      <c r="X542" s="4" t="s">
        <v>47</v>
      </c>
      <c r="Y542" s="4" t="s">
        <v>5321</v>
      </c>
      <c r="Z542" s="4" t="s">
        <v>47</v>
      </c>
      <c r="AA542" s="4" t="s">
        <v>47</v>
      </c>
      <c r="AB542" s="4" t="s">
        <v>47</v>
      </c>
      <c r="AC542" s="4" t="s">
        <v>47</v>
      </c>
      <c r="AD542" s="4" t="s">
        <v>47</v>
      </c>
      <c r="AE542" s="4" t="s">
        <v>47</v>
      </c>
      <c r="AF542" s="4" t="s">
        <v>47</v>
      </c>
      <c r="AG542" s="4" t="s">
        <v>47</v>
      </c>
      <c r="AH542" s="4" t="s">
        <v>47</v>
      </c>
      <c r="AI542" s="4" t="s">
        <v>47</v>
      </c>
      <c r="AJ542" s="4" t="s">
        <v>47</v>
      </c>
      <c r="AK542" s="4" t="s">
        <v>47</v>
      </c>
      <c r="AL542" s="4" t="s">
        <v>5322</v>
      </c>
      <c r="AM542" s="4" t="s">
        <v>47</v>
      </c>
      <c r="AN542" s="4" t="s">
        <v>47</v>
      </c>
      <c r="AO542" s="4" t="s">
        <v>5323</v>
      </c>
      <c r="AP542" s="4" t="s">
        <v>5324</v>
      </c>
      <c r="AQ542" s="4" t="s">
        <v>5325</v>
      </c>
      <c r="AR542" s="4" t="s">
        <v>5326</v>
      </c>
    </row>
    <row r="543" spans="1:44" x14ac:dyDescent="0.2">
      <c r="A543" s="4" t="s">
        <v>148</v>
      </c>
      <c r="B543" s="4" t="s">
        <v>175</v>
      </c>
      <c r="C543">
        <v>2</v>
      </c>
      <c r="F543">
        <v>0</v>
      </c>
      <c r="I543" s="4" t="s">
        <v>5027</v>
      </c>
      <c r="J543" s="4" t="s">
        <v>5327</v>
      </c>
      <c r="K543" s="4" t="s">
        <v>5110</v>
      </c>
      <c r="L543" s="4" t="s">
        <v>5328</v>
      </c>
      <c r="M543">
        <v>32790</v>
      </c>
      <c r="N543" s="4" t="s">
        <v>5016</v>
      </c>
      <c r="O543" s="4" t="s">
        <v>5329</v>
      </c>
      <c r="P543" s="4" t="s">
        <v>811</v>
      </c>
      <c r="Q543" s="9">
        <v>33036</v>
      </c>
      <c r="R543" s="4" t="s">
        <v>630</v>
      </c>
      <c r="S543" s="4" t="s">
        <v>5330</v>
      </c>
      <c r="T543" s="4" t="s">
        <v>47</v>
      </c>
      <c r="U543" s="4" t="s">
        <v>97</v>
      </c>
      <c r="V543">
        <v>1990</v>
      </c>
      <c r="W543" s="4" t="s">
        <v>5331</v>
      </c>
      <c r="X543" s="4" t="s">
        <v>47</v>
      </c>
      <c r="Y543" s="4" t="s">
        <v>5332</v>
      </c>
      <c r="Z543" s="4" t="s">
        <v>47</v>
      </c>
      <c r="AA543" s="4" t="s">
        <v>47</v>
      </c>
      <c r="AB543" s="4" t="s">
        <v>47</v>
      </c>
      <c r="AC543" s="4" t="s">
        <v>47</v>
      </c>
      <c r="AD543" s="4" t="s">
        <v>47</v>
      </c>
      <c r="AE543" s="4" t="s">
        <v>47</v>
      </c>
      <c r="AF543" s="4" t="s">
        <v>47</v>
      </c>
      <c r="AG543" s="4" t="s">
        <v>47</v>
      </c>
      <c r="AH543" s="4" t="s">
        <v>47</v>
      </c>
      <c r="AI543" s="4" t="s">
        <v>47</v>
      </c>
      <c r="AJ543" s="4" t="s">
        <v>47</v>
      </c>
      <c r="AK543" s="4" t="s">
        <v>47</v>
      </c>
      <c r="AL543" s="4" t="s">
        <v>47</v>
      </c>
      <c r="AM543" s="4" t="s">
        <v>47</v>
      </c>
      <c r="AN543" s="4" t="s">
        <v>47</v>
      </c>
      <c r="AO543" s="4" t="s">
        <v>47</v>
      </c>
      <c r="AP543" s="4" t="s">
        <v>5333</v>
      </c>
      <c r="AQ543" s="4" t="s">
        <v>5334</v>
      </c>
      <c r="AR543" s="4" t="s">
        <v>5335</v>
      </c>
    </row>
    <row r="544" spans="1:44" x14ac:dyDescent="0.2">
      <c r="A544" s="4" t="s">
        <v>95</v>
      </c>
      <c r="B544" s="4" t="s">
        <v>183</v>
      </c>
      <c r="C544">
        <v>1</v>
      </c>
      <c r="F544">
        <v>1</v>
      </c>
      <c r="I544" s="4" t="s">
        <v>3148</v>
      </c>
      <c r="J544" s="4" t="s">
        <v>5070</v>
      </c>
      <c r="K544" s="4" t="s">
        <v>5130</v>
      </c>
      <c r="L544" s="4" t="s">
        <v>5131</v>
      </c>
      <c r="M544">
        <v>33288</v>
      </c>
      <c r="N544" s="4" t="s">
        <v>5121</v>
      </c>
      <c r="O544" s="4" t="s">
        <v>5336</v>
      </c>
      <c r="P544" s="4" t="s">
        <v>811</v>
      </c>
      <c r="Q544" s="9">
        <v>33036</v>
      </c>
      <c r="R544" s="4" t="s">
        <v>1046</v>
      </c>
      <c r="S544" s="4" t="s">
        <v>5337</v>
      </c>
      <c r="T544" s="4" t="s">
        <v>47</v>
      </c>
      <c r="U544" s="4" t="s">
        <v>97</v>
      </c>
      <c r="V544">
        <v>1990</v>
      </c>
      <c r="W544" s="4" t="s">
        <v>5338</v>
      </c>
      <c r="X544" s="4" t="s">
        <v>47</v>
      </c>
      <c r="Y544" s="4" t="s">
        <v>5339</v>
      </c>
      <c r="Z544" s="4" t="s">
        <v>47</v>
      </c>
      <c r="AA544" s="4" t="s">
        <v>47</v>
      </c>
      <c r="AB544" s="4" t="s">
        <v>47</v>
      </c>
      <c r="AC544" s="4" t="s">
        <v>47</v>
      </c>
      <c r="AD544" s="4" t="s">
        <v>5340</v>
      </c>
      <c r="AE544" s="4" t="s">
        <v>47</v>
      </c>
      <c r="AF544" s="4" t="s">
        <v>47</v>
      </c>
      <c r="AG544" s="4" t="s">
        <v>47</v>
      </c>
      <c r="AH544" s="4" t="s">
        <v>47</v>
      </c>
      <c r="AI544" s="4" t="s">
        <v>47</v>
      </c>
      <c r="AJ544" s="4" t="s">
        <v>47</v>
      </c>
      <c r="AK544" s="4" t="s">
        <v>47</v>
      </c>
      <c r="AL544" s="4" t="s">
        <v>47</v>
      </c>
      <c r="AM544" s="4" t="s">
        <v>47</v>
      </c>
      <c r="AN544" s="4" t="s">
        <v>47</v>
      </c>
      <c r="AO544" s="4" t="s">
        <v>5339</v>
      </c>
      <c r="AP544" s="4" t="s">
        <v>5341</v>
      </c>
      <c r="AQ544" s="4" t="s">
        <v>5342</v>
      </c>
      <c r="AR544" s="4" t="s">
        <v>5343</v>
      </c>
    </row>
    <row r="545" spans="1:44" x14ac:dyDescent="0.2">
      <c r="A545" s="4" t="s">
        <v>225</v>
      </c>
      <c r="B545" s="4" t="s">
        <v>205</v>
      </c>
      <c r="C545">
        <v>1</v>
      </c>
      <c r="F545">
        <v>0</v>
      </c>
      <c r="I545" s="4" t="s">
        <v>4523</v>
      </c>
      <c r="J545" s="4" t="s">
        <v>5092</v>
      </c>
      <c r="K545" s="4" t="s">
        <v>5152</v>
      </c>
      <c r="L545" s="4" t="s">
        <v>5153</v>
      </c>
      <c r="M545">
        <v>30867</v>
      </c>
      <c r="N545" s="4" t="s">
        <v>5039</v>
      </c>
      <c r="O545" s="4" t="s">
        <v>5344</v>
      </c>
      <c r="P545" s="4" t="s">
        <v>811</v>
      </c>
      <c r="Q545" s="9">
        <v>33035</v>
      </c>
      <c r="R545" s="4" t="s">
        <v>652</v>
      </c>
      <c r="S545" s="4" t="s">
        <v>5072</v>
      </c>
      <c r="T545" s="4" t="s">
        <v>47</v>
      </c>
      <c r="U545" s="4" t="s">
        <v>97</v>
      </c>
      <c r="V545">
        <v>1990</v>
      </c>
      <c r="W545" s="4" t="s">
        <v>5345</v>
      </c>
      <c r="X545" s="4" t="s">
        <v>47</v>
      </c>
      <c r="Y545" s="4" t="s">
        <v>5346</v>
      </c>
      <c r="Z545" s="4" t="s">
        <v>47</v>
      </c>
      <c r="AA545" s="4" t="s">
        <v>47</v>
      </c>
      <c r="AB545" s="4" t="s">
        <v>47</v>
      </c>
      <c r="AC545" s="4" t="s">
        <v>47</v>
      </c>
      <c r="AD545" s="4" t="s">
        <v>47</v>
      </c>
      <c r="AE545" s="4" t="s">
        <v>47</v>
      </c>
      <c r="AF545" s="4" t="s">
        <v>47</v>
      </c>
      <c r="AG545" s="4" t="s">
        <v>47</v>
      </c>
      <c r="AH545" s="4" t="s">
        <v>47</v>
      </c>
      <c r="AI545" s="4" t="s">
        <v>47</v>
      </c>
      <c r="AJ545" s="4" t="s">
        <v>47</v>
      </c>
      <c r="AK545" s="4" t="s">
        <v>47</v>
      </c>
      <c r="AL545" s="4" t="s">
        <v>47</v>
      </c>
      <c r="AM545" s="4" t="s">
        <v>47</v>
      </c>
      <c r="AN545" s="4" t="s">
        <v>47</v>
      </c>
      <c r="AO545" s="4" t="s">
        <v>47</v>
      </c>
      <c r="AP545" s="4" t="s">
        <v>47</v>
      </c>
      <c r="AQ545" s="4" t="s">
        <v>5347</v>
      </c>
      <c r="AR545" s="4" t="s">
        <v>5348</v>
      </c>
    </row>
    <row r="546" spans="1:44" x14ac:dyDescent="0.2">
      <c r="A546" s="4" t="s">
        <v>52</v>
      </c>
      <c r="B546" s="4" t="s">
        <v>235</v>
      </c>
      <c r="C546">
        <v>1</v>
      </c>
      <c r="F546">
        <v>1</v>
      </c>
      <c r="I546" s="4" t="s">
        <v>4925</v>
      </c>
      <c r="J546" s="4" t="s">
        <v>5255</v>
      </c>
      <c r="K546" s="4" t="s">
        <v>4513</v>
      </c>
      <c r="L546" s="4" t="s">
        <v>3484</v>
      </c>
      <c r="M546">
        <v>35238</v>
      </c>
      <c r="N546" s="4" t="s">
        <v>5132</v>
      </c>
      <c r="O546" s="4" t="s">
        <v>5349</v>
      </c>
      <c r="P546" s="4" t="s">
        <v>811</v>
      </c>
      <c r="Q546" s="9">
        <v>33035</v>
      </c>
      <c r="R546" s="4" t="s">
        <v>1046</v>
      </c>
      <c r="S546" s="4" t="s">
        <v>5018</v>
      </c>
      <c r="T546" s="4" t="s">
        <v>47</v>
      </c>
      <c r="U546" s="4" t="s">
        <v>97</v>
      </c>
      <c r="V546">
        <v>1990</v>
      </c>
      <c r="W546" s="4" t="s">
        <v>5350</v>
      </c>
      <c r="X546" s="4" t="s">
        <v>5351</v>
      </c>
      <c r="Y546" s="4" t="s">
        <v>5352</v>
      </c>
      <c r="Z546" s="4" t="s">
        <v>5353</v>
      </c>
      <c r="AA546" s="4" t="s">
        <v>47</v>
      </c>
      <c r="AB546" s="4" t="s">
        <v>47</v>
      </c>
      <c r="AC546" s="4" t="s">
        <v>47</v>
      </c>
      <c r="AD546" s="4" t="s">
        <v>47</v>
      </c>
      <c r="AE546" s="4" t="s">
        <v>47</v>
      </c>
      <c r="AF546" s="4" t="s">
        <v>47</v>
      </c>
      <c r="AG546" s="4" t="s">
        <v>47</v>
      </c>
      <c r="AH546" s="4" t="s">
        <v>47</v>
      </c>
      <c r="AI546" s="4" t="s">
        <v>47</v>
      </c>
      <c r="AJ546" s="4" t="s">
        <v>47</v>
      </c>
      <c r="AK546" s="4" t="s">
        <v>47</v>
      </c>
      <c r="AL546" s="4" t="s">
        <v>47</v>
      </c>
      <c r="AM546" s="4" t="s">
        <v>47</v>
      </c>
      <c r="AN546" s="4" t="s">
        <v>47</v>
      </c>
      <c r="AO546" s="4" t="s">
        <v>5354</v>
      </c>
      <c r="AP546" s="4" t="s">
        <v>47</v>
      </c>
      <c r="AQ546" s="4" t="s">
        <v>5355</v>
      </c>
      <c r="AR546" s="4" t="s">
        <v>5356</v>
      </c>
    </row>
    <row r="547" spans="1:44" x14ac:dyDescent="0.2">
      <c r="A547" s="4" t="s">
        <v>102</v>
      </c>
      <c r="B547" s="4" t="s">
        <v>114</v>
      </c>
      <c r="C547">
        <v>1</v>
      </c>
      <c r="F547">
        <v>5</v>
      </c>
      <c r="I547" s="4" t="s">
        <v>5183</v>
      </c>
      <c r="J547" s="4" t="s">
        <v>5184</v>
      </c>
      <c r="K547" s="4" t="s">
        <v>4968</v>
      </c>
      <c r="L547" s="4" t="s">
        <v>4969</v>
      </c>
      <c r="M547">
        <v>33266</v>
      </c>
      <c r="N547" s="4" t="s">
        <v>4994</v>
      </c>
      <c r="O547" s="4" t="s">
        <v>5357</v>
      </c>
      <c r="P547" s="4" t="s">
        <v>811</v>
      </c>
      <c r="Q547" s="9">
        <v>33034</v>
      </c>
      <c r="R547" s="4" t="s">
        <v>2386</v>
      </c>
      <c r="S547" s="4" t="s">
        <v>4563</v>
      </c>
      <c r="T547" s="4" t="s">
        <v>47</v>
      </c>
      <c r="U547" s="4" t="s">
        <v>97</v>
      </c>
      <c r="V547">
        <v>1990</v>
      </c>
      <c r="W547" s="4" t="s">
        <v>5358</v>
      </c>
      <c r="X547" s="4" t="s">
        <v>5359</v>
      </c>
      <c r="Y547" s="4" t="s">
        <v>5360</v>
      </c>
      <c r="Z547" s="4" t="s">
        <v>5361</v>
      </c>
      <c r="AA547" s="4" t="s">
        <v>47</v>
      </c>
      <c r="AB547" s="4" t="s">
        <v>47</v>
      </c>
      <c r="AC547" s="4" t="s">
        <v>47</v>
      </c>
      <c r="AD547" s="4" t="s">
        <v>5362</v>
      </c>
      <c r="AE547" s="4" t="s">
        <v>47</v>
      </c>
      <c r="AF547" s="4" t="s">
        <v>47</v>
      </c>
      <c r="AG547" s="4" t="s">
        <v>47</v>
      </c>
      <c r="AH547" s="4" t="s">
        <v>47</v>
      </c>
      <c r="AI547" s="4" t="s">
        <v>47</v>
      </c>
      <c r="AJ547" s="4" t="s">
        <v>47</v>
      </c>
      <c r="AK547" s="4" t="s">
        <v>5363</v>
      </c>
      <c r="AL547" s="4" t="s">
        <v>47</v>
      </c>
      <c r="AM547" s="4" t="s">
        <v>47</v>
      </c>
      <c r="AN547" s="4" t="s">
        <v>47</v>
      </c>
      <c r="AO547" s="4" t="s">
        <v>5364</v>
      </c>
      <c r="AP547" s="4" t="s">
        <v>5365</v>
      </c>
      <c r="AQ547" s="4" t="s">
        <v>5366</v>
      </c>
      <c r="AR547" s="4" t="s">
        <v>5367</v>
      </c>
    </row>
    <row r="548" spans="1:44" x14ac:dyDescent="0.2">
      <c r="A548" s="4" t="s">
        <v>104</v>
      </c>
      <c r="B548" s="4" t="s">
        <v>4991</v>
      </c>
      <c r="C548">
        <v>4</v>
      </c>
      <c r="F548">
        <v>1</v>
      </c>
      <c r="I548" s="4" t="s">
        <v>4912</v>
      </c>
      <c r="J548" s="4" t="s">
        <v>4431</v>
      </c>
      <c r="K548" s="4" t="s">
        <v>4992</v>
      </c>
      <c r="L548" s="4" t="s">
        <v>4993</v>
      </c>
      <c r="M548">
        <v>74765</v>
      </c>
      <c r="N548" s="4" t="s">
        <v>4970</v>
      </c>
      <c r="O548" s="4" t="s">
        <v>5368</v>
      </c>
      <c r="P548" s="4" t="s">
        <v>811</v>
      </c>
      <c r="Q548" s="9">
        <v>33034</v>
      </c>
      <c r="R548" s="4" t="s">
        <v>757</v>
      </c>
      <c r="S548" s="4" t="s">
        <v>4517</v>
      </c>
      <c r="T548" s="4" t="s">
        <v>47</v>
      </c>
      <c r="U548" s="4" t="s">
        <v>97</v>
      </c>
      <c r="V548">
        <v>1990</v>
      </c>
      <c r="W548" s="4" t="s">
        <v>5369</v>
      </c>
      <c r="X548" s="4" t="s">
        <v>5370</v>
      </c>
      <c r="Y548" s="4" t="s">
        <v>5371</v>
      </c>
      <c r="Z548" s="4" t="s">
        <v>5372</v>
      </c>
      <c r="AA548" s="4" t="s">
        <v>47</v>
      </c>
      <c r="AB548" s="4" t="s">
        <v>47</v>
      </c>
      <c r="AC548" s="4" t="s">
        <v>47</v>
      </c>
      <c r="AD548" s="4" t="s">
        <v>47</v>
      </c>
      <c r="AE548" s="4" t="s">
        <v>47</v>
      </c>
      <c r="AF548" s="4" t="s">
        <v>47</v>
      </c>
      <c r="AG548" s="4" t="s">
        <v>47</v>
      </c>
      <c r="AH548" s="4" t="s">
        <v>47</v>
      </c>
      <c r="AI548" s="4" t="s">
        <v>47</v>
      </c>
      <c r="AJ548" s="4" t="s">
        <v>47</v>
      </c>
      <c r="AK548" s="4" t="s">
        <v>47</v>
      </c>
      <c r="AL548" s="4" t="s">
        <v>47</v>
      </c>
      <c r="AM548" s="4" t="s">
        <v>47</v>
      </c>
      <c r="AN548" s="4" t="s">
        <v>47</v>
      </c>
      <c r="AO548" s="4" t="s">
        <v>5373</v>
      </c>
      <c r="AP548" s="4" t="s">
        <v>47</v>
      </c>
      <c r="AQ548" s="4" t="s">
        <v>5374</v>
      </c>
      <c r="AR548" s="4" t="s">
        <v>5375</v>
      </c>
    </row>
    <row r="549" spans="1:44" x14ac:dyDescent="0.2">
      <c r="A549" s="4" t="s">
        <v>12</v>
      </c>
      <c r="B549" s="4" t="s">
        <v>116</v>
      </c>
      <c r="C549">
        <v>2</v>
      </c>
      <c r="F549">
        <v>1</v>
      </c>
      <c r="I549" s="4" t="s">
        <v>5060</v>
      </c>
      <c r="J549" s="4" t="s">
        <v>5061</v>
      </c>
      <c r="K549" s="4" t="s">
        <v>5140</v>
      </c>
      <c r="L549" s="4" t="s">
        <v>4421</v>
      </c>
      <c r="M549">
        <v>62628</v>
      </c>
      <c r="N549" s="4" t="s">
        <v>4937</v>
      </c>
      <c r="O549" s="4" t="s">
        <v>5376</v>
      </c>
      <c r="P549" s="4" t="s">
        <v>811</v>
      </c>
      <c r="Q549" s="9">
        <v>33034</v>
      </c>
      <c r="R549" s="4" t="s">
        <v>617</v>
      </c>
      <c r="S549" s="4" t="s">
        <v>5083</v>
      </c>
      <c r="T549" s="4" t="s">
        <v>47</v>
      </c>
      <c r="U549" s="4" t="s">
        <v>97</v>
      </c>
      <c r="V549">
        <v>1990</v>
      </c>
      <c r="W549" s="4" t="s">
        <v>5377</v>
      </c>
      <c r="X549" s="4" t="s">
        <v>5378</v>
      </c>
      <c r="Y549" s="4" t="s">
        <v>5379</v>
      </c>
      <c r="Z549" s="4" t="s">
        <v>5380</v>
      </c>
      <c r="AA549" s="4" t="s">
        <v>47</v>
      </c>
      <c r="AB549" s="4" t="s">
        <v>47</v>
      </c>
      <c r="AC549" s="4" t="s">
        <v>47</v>
      </c>
      <c r="AD549" s="4" t="s">
        <v>47</v>
      </c>
      <c r="AE549" s="4" t="s">
        <v>47</v>
      </c>
      <c r="AF549" s="4" t="s">
        <v>47</v>
      </c>
      <c r="AG549" s="4" t="s">
        <v>47</v>
      </c>
      <c r="AH549" s="4" t="s">
        <v>47</v>
      </c>
      <c r="AI549" s="4" t="s">
        <v>47</v>
      </c>
      <c r="AJ549" s="4" t="s">
        <v>47</v>
      </c>
      <c r="AK549" s="4" t="s">
        <v>47</v>
      </c>
      <c r="AL549" s="4" t="s">
        <v>47</v>
      </c>
      <c r="AM549" s="4" t="s">
        <v>47</v>
      </c>
      <c r="AN549" s="4" t="s">
        <v>47</v>
      </c>
      <c r="AO549" s="4" t="s">
        <v>5381</v>
      </c>
      <c r="AP549" s="4" t="s">
        <v>5382</v>
      </c>
      <c r="AQ549" s="4" t="s">
        <v>5383</v>
      </c>
      <c r="AR549" s="4" t="s">
        <v>5384</v>
      </c>
    </row>
    <row r="550" spans="1:44" x14ac:dyDescent="0.2">
      <c r="A550" s="4" t="s">
        <v>254</v>
      </c>
      <c r="B550" s="4" t="s">
        <v>153</v>
      </c>
      <c r="C550">
        <v>0</v>
      </c>
      <c r="F550">
        <v>2</v>
      </c>
      <c r="I550" s="4" t="s">
        <v>2646</v>
      </c>
      <c r="J550" s="4" t="s">
        <v>5385</v>
      </c>
      <c r="K550" s="4" t="s">
        <v>4702</v>
      </c>
      <c r="L550" s="4" t="s">
        <v>4703</v>
      </c>
      <c r="M550">
        <v>30791</v>
      </c>
      <c r="N550" s="4" t="s">
        <v>5029</v>
      </c>
      <c r="O550" s="4" t="s">
        <v>5386</v>
      </c>
      <c r="P550" s="4" t="s">
        <v>811</v>
      </c>
      <c r="Q550" s="9">
        <v>33033</v>
      </c>
      <c r="R550" s="4" t="s">
        <v>824</v>
      </c>
      <c r="S550" s="4" t="s">
        <v>5053</v>
      </c>
      <c r="T550" s="4" t="s">
        <v>47</v>
      </c>
      <c r="U550" s="4" t="s">
        <v>97</v>
      </c>
      <c r="V550">
        <v>1990</v>
      </c>
      <c r="W550" s="4" t="s">
        <v>47</v>
      </c>
      <c r="X550" s="4" t="s">
        <v>5387</v>
      </c>
      <c r="Y550" s="4" t="s">
        <v>47</v>
      </c>
      <c r="Z550" s="4" t="s">
        <v>5388</v>
      </c>
      <c r="AA550" s="4" t="s">
        <v>47</v>
      </c>
      <c r="AB550" s="4" t="s">
        <v>47</v>
      </c>
      <c r="AC550" s="4" t="s">
        <v>47</v>
      </c>
      <c r="AD550" s="4" t="s">
        <v>47</v>
      </c>
      <c r="AE550" s="4" t="s">
        <v>47</v>
      </c>
      <c r="AF550" s="4" t="s">
        <v>47</v>
      </c>
      <c r="AG550" s="4" t="s">
        <v>47</v>
      </c>
      <c r="AH550" s="4" t="s">
        <v>47</v>
      </c>
      <c r="AI550" s="4" t="s">
        <v>47</v>
      </c>
      <c r="AJ550" s="4" t="s">
        <v>47</v>
      </c>
      <c r="AK550" s="4" t="s">
        <v>47</v>
      </c>
      <c r="AL550" s="4" t="s">
        <v>47</v>
      </c>
      <c r="AM550" s="4" t="s">
        <v>47</v>
      </c>
      <c r="AN550" s="4" t="s">
        <v>47</v>
      </c>
      <c r="AO550" s="4" t="s">
        <v>5389</v>
      </c>
      <c r="AP550" s="4" t="s">
        <v>47</v>
      </c>
      <c r="AQ550" s="4" t="s">
        <v>5390</v>
      </c>
      <c r="AR550" s="4" t="s">
        <v>5391</v>
      </c>
    </row>
    <row r="551" spans="1:44" x14ac:dyDescent="0.2">
      <c r="A551" s="4" t="s">
        <v>5211</v>
      </c>
      <c r="B551" s="4" t="s">
        <v>227</v>
      </c>
      <c r="C551">
        <v>0</v>
      </c>
      <c r="F551">
        <v>2</v>
      </c>
      <c r="I551" s="4" t="s">
        <v>5212</v>
      </c>
      <c r="J551" s="4" t="s">
        <v>5392</v>
      </c>
      <c r="K551" s="4" t="s">
        <v>5037</v>
      </c>
      <c r="L551" s="4" t="s">
        <v>5038</v>
      </c>
      <c r="M551">
        <v>42907</v>
      </c>
      <c r="N551" s="4" t="s">
        <v>4927</v>
      </c>
      <c r="O551" s="4" t="s">
        <v>5393</v>
      </c>
      <c r="P551" s="4" t="s">
        <v>811</v>
      </c>
      <c r="Q551" s="9">
        <v>33033</v>
      </c>
      <c r="R551" s="4" t="s">
        <v>824</v>
      </c>
      <c r="S551" s="4" t="s">
        <v>5394</v>
      </c>
      <c r="T551" s="4" t="s">
        <v>47</v>
      </c>
      <c r="U551" s="4" t="s">
        <v>97</v>
      </c>
      <c r="V551">
        <v>1990</v>
      </c>
      <c r="W551" s="4" t="s">
        <v>47</v>
      </c>
      <c r="X551" s="4" t="s">
        <v>5395</v>
      </c>
      <c r="Y551" s="4" t="s">
        <v>47</v>
      </c>
      <c r="Z551" s="4" t="s">
        <v>5396</v>
      </c>
      <c r="AA551" s="4" t="s">
        <v>47</v>
      </c>
      <c r="AB551" s="4" t="s">
        <v>47</v>
      </c>
      <c r="AC551" s="4" t="s">
        <v>47</v>
      </c>
      <c r="AD551" s="4" t="s">
        <v>5397</v>
      </c>
      <c r="AE551" s="4" t="s">
        <v>47</v>
      </c>
      <c r="AF551" s="4" t="s">
        <v>47</v>
      </c>
      <c r="AG551" s="4" t="s">
        <v>47</v>
      </c>
      <c r="AH551" s="4" t="s">
        <v>47</v>
      </c>
      <c r="AI551" s="4" t="s">
        <v>47</v>
      </c>
      <c r="AJ551" s="4" t="s">
        <v>47</v>
      </c>
      <c r="AK551" s="4" t="s">
        <v>47</v>
      </c>
      <c r="AL551" s="4" t="s">
        <v>47</v>
      </c>
      <c r="AM551" s="4" t="s">
        <v>47</v>
      </c>
      <c r="AN551" s="4" t="s">
        <v>47</v>
      </c>
      <c r="AO551" s="4" t="s">
        <v>5398</v>
      </c>
      <c r="AP551" s="4" t="s">
        <v>5399</v>
      </c>
      <c r="AQ551" s="4" t="s">
        <v>5400</v>
      </c>
      <c r="AR551" s="4" t="s">
        <v>5401</v>
      </c>
    </row>
    <row r="552" spans="1:44" x14ac:dyDescent="0.2">
      <c r="A552" s="4" t="s">
        <v>97</v>
      </c>
      <c r="B552" s="4" t="s">
        <v>173</v>
      </c>
      <c r="C552">
        <v>1</v>
      </c>
      <c r="F552">
        <v>0</v>
      </c>
      <c r="I552" s="4" t="s">
        <v>4923</v>
      </c>
      <c r="J552" s="4" t="s">
        <v>4924</v>
      </c>
      <c r="K552" s="4" t="s">
        <v>5181</v>
      </c>
      <c r="L552" s="4" t="s">
        <v>5182</v>
      </c>
      <c r="M552">
        <v>73303</v>
      </c>
      <c r="N552" s="4" t="s">
        <v>4914</v>
      </c>
      <c r="O552" s="4" t="s">
        <v>5402</v>
      </c>
      <c r="P552" s="4" t="s">
        <v>811</v>
      </c>
      <c r="Q552" s="9">
        <v>33033</v>
      </c>
      <c r="R552" s="4" t="s">
        <v>652</v>
      </c>
      <c r="S552" s="4" t="s">
        <v>4940</v>
      </c>
      <c r="T552" s="4" t="s">
        <v>47</v>
      </c>
      <c r="U552" s="4" t="s">
        <v>97</v>
      </c>
      <c r="V552">
        <v>1990</v>
      </c>
      <c r="W552" s="4" t="s">
        <v>5403</v>
      </c>
      <c r="X552" s="4" t="s">
        <v>47</v>
      </c>
      <c r="Y552" s="4" t="s">
        <v>5404</v>
      </c>
      <c r="Z552" s="4" t="s">
        <v>47</v>
      </c>
      <c r="AA552" s="4" t="s">
        <v>47</v>
      </c>
      <c r="AB552" s="4" t="s">
        <v>47</v>
      </c>
      <c r="AC552" s="4" t="s">
        <v>47</v>
      </c>
      <c r="AD552" s="4" t="s">
        <v>47</v>
      </c>
      <c r="AE552" s="4" t="s">
        <v>47</v>
      </c>
      <c r="AF552" s="4" t="s">
        <v>47</v>
      </c>
      <c r="AG552" s="4" t="s">
        <v>47</v>
      </c>
      <c r="AH552" s="4" t="s">
        <v>47</v>
      </c>
      <c r="AI552" s="4" t="s">
        <v>47</v>
      </c>
      <c r="AJ552" s="4" t="s">
        <v>47</v>
      </c>
      <c r="AK552" s="4" t="s">
        <v>47</v>
      </c>
      <c r="AL552" s="4" t="s">
        <v>47</v>
      </c>
      <c r="AM552" s="4" t="s">
        <v>47</v>
      </c>
      <c r="AN552" s="4" t="s">
        <v>47</v>
      </c>
      <c r="AO552" s="4" t="s">
        <v>47</v>
      </c>
      <c r="AP552" s="4" t="s">
        <v>5405</v>
      </c>
      <c r="AQ552" s="4" t="s">
        <v>5406</v>
      </c>
      <c r="AR552" s="4" t="s">
        <v>5407</v>
      </c>
    </row>
    <row r="553" spans="1:44" x14ac:dyDescent="0.2">
      <c r="A553" s="4" t="s">
        <v>26</v>
      </c>
      <c r="B553" s="4" t="s">
        <v>209</v>
      </c>
      <c r="C553">
        <v>0</v>
      </c>
      <c r="F553">
        <v>1</v>
      </c>
      <c r="I553" s="4" t="s">
        <v>4913</v>
      </c>
      <c r="J553" s="4" t="s">
        <v>2446</v>
      </c>
      <c r="K553" s="4" t="s">
        <v>4979</v>
      </c>
      <c r="L553" s="4" t="s">
        <v>4642</v>
      </c>
      <c r="M553">
        <v>73780</v>
      </c>
      <c r="N553" s="4" t="s">
        <v>4970</v>
      </c>
      <c r="O553" s="4" t="s">
        <v>5408</v>
      </c>
      <c r="P553" s="4" t="s">
        <v>811</v>
      </c>
      <c r="Q553" s="9">
        <v>33032</v>
      </c>
      <c r="R553" s="4" t="s">
        <v>963</v>
      </c>
      <c r="S553" s="4" t="s">
        <v>4955</v>
      </c>
      <c r="T553" s="4" t="s">
        <v>47</v>
      </c>
      <c r="U553" s="4" t="s">
        <v>97</v>
      </c>
      <c r="V553">
        <v>1990</v>
      </c>
      <c r="W553" s="4" t="s">
        <v>47</v>
      </c>
      <c r="X553" s="4" t="s">
        <v>5409</v>
      </c>
      <c r="Y553" s="4" t="s">
        <v>47</v>
      </c>
      <c r="Z553" s="4" t="s">
        <v>5410</v>
      </c>
      <c r="AA553" s="4" t="s">
        <v>47</v>
      </c>
      <c r="AB553" s="4" t="s">
        <v>47</v>
      </c>
      <c r="AC553" s="4" t="s">
        <v>47</v>
      </c>
      <c r="AD553" s="4" t="s">
        <v>47</v>
      </c>
      <c r="AE553" s="4" t="s">
        <v>47</v>
      </c>
      <c r="AF553" s="4" t="s">
        <v>47</v>
      </c>
      <c r="AG553" s="4" t="s">
        <v>47</v>
      </c>
      <c r="AH553" s="4" t="s">
        <v>47</v>
      </c>
      <c r="AI553" s="4" t="s">
        <v>47</v>
      </c>
      <c r="AJ553" s="4" t="s">
        <v>47</v>
      </c>
      <c r="AK553" s="4" t="s">
        <v>47</v>
      </c>
      <c r="AL553" s="4" t="s">
        <v>5411</v>
      </c>
      <c r="AM553" s="4" t="s">
        <v>47</v>
      </c>
      <c r="AN553" s="4" t="s">
        <v>47</v>
      </c>
      <c r="AO553" s="4" t="s">
        <v>5412</v>
      </c>
      <c r="AP553" s="4" t="s">
        <v>5413</v>
      </c>
      <c r="AQ553" s="4" t="s">
        <v>5414</v>
      </c>
      <c r="AR553" s="4" t="s">
        <v>5415</v>
      </c>
    </row>
    <row r="554" spans="1:44" x14ac:dyDescent="0.2">
      <c r="A554" s="4" t="s">
        <v>26</v>
      </c>
      <c r="B554" s="4" t="s">
        <v>104</v>
      </c>
      <c r="C554">
        <v>3</v>
      </c>
      <c r="F554">
        <v>2</v>
      </c>
      <c r="I554" s="4" t="s">
        <v>4913</v>
      </c>
      <c r="J554" s="4" t="s">
        <v>2446</v>
      </c>
      <c r="K554" s="4" t="s">
        <v>4912</v>
      </c>
      <c r="L554" s="4" t="s">
        <v>5416</v>
      </c>
      <c r="M554">
        <v>114600</v>
      </c>
      <c r="N554" s="4" t="s">
        <v>5417</v>
      </c>
      <c r="O554" s="4" t="s">
        <v>5418</v>
      </c>
      <c r="P554" s="4" t="s">
        <v>593</v>
      </c>
      <c r="Q554" s="9">
        <v>31592</v>
      </c>
      <c r="R554" s="4" t="s">
        <v>1130</v>
      </c>
      <c r="S554" s="4" t="s">
        <v>5419</v>
      </c>
      <c r="T554" s="4" t="s">
        <v>47</v>
      </c>
      <c r="U554" s="4" t="s">
        <v>106</v>
      </c>
      <c r="V554">
        <v>1986</v>
      </c>
      <c r="W554" s="4" t="s">
        <v>5420</v>
      </c>
      <c r="X554" s="4" t="s">
        <v>5421</v>
      </c>
      <c r="Y554" s="4" t="s">
        <v>5422</v>
      </c>
      <c r="Z554" s="4" t="s">
        <v>5423</v>
      </c>
      <c r="AA554" s="4" t="s">
        <v>47</v>
      </c>
      <c r="AB554" s="4" t="s">
        <v>47</v>
      </c>
      <c r="AC554" s="4" t="s">
        <v>47</v>
      </c>
      <c r="AD554" s="4" t="s">
        <v>47</v>
      </c>
      <c r="AE554" s="4" t="s">
        <v>47</v>
      </c>
      <c r="AF554" s="4" t="s">
        <v>47</v>
      </c>
      <c r="AG554" s="4" t="s">
        <v>47</v>
      </c>
      <c r="AH554" s="4" t="s">
        <v>47</v>
      </c>
      <c r="AI554" s="4" t="s">
        <v>47</v>
      </c>
      <c r="AJ554" s="4" t="s">
        <v>47</v>
      </c>
      <c r="AK554" s="4" t="s">
        <v>47</v>
      </c>
      <c r="AL554" s="4" t="s">
        <v>47</v>
      </c>
      <c r="AM554" s="4" t="s">
        <v>47</v>
      </c>
      <c r="AN554" s="4" t="s">
        <v>47</v>
      </c>
      <c r="AO554" s="4" t="s">
        <v>5424</v>
      </c>
      <c r="AP554" s="4" t="s">
        <v>5425</v>
      </c>
      <c r="AQ554" s="4" t="s">
        <v>5426</v>
      </c>
      <c r="AR554" s="4" t="s">
        <v>5427</v>
      </c>
    </row>
    <row r="555" spans="1:44" x14ac:dyDescent="0.2">
      <c r="A555" s="4" t="s">
        <v>87</v>
      </c>
      <c r="B555" s="4" t="s">
        <v>148</v>
      </c>
      <c r="C555">
        <v>4</v>
      </c>
      <c r="F555">
        <v>2</v>
      </c>
      <c r="I555" s="4" t="s">
        <v>3114</v>
      </c>
      <c r="J555" s="4" t="s">
        <v>5428</v>
      </c>
      <c r="K555" s="4" t="s">
        <v>5027</v>
      </c>
      <c r="L555" s="4" t="s">
        <v>5028</v>
      </c>
      <c r="M555">
        <v>21000</v>
      </c>
      <c r="N555" s="4" t="s">
        <v>5429</v>
      </c>
      <c r="O555" s="4" t="s">
        <v>5430</v>
      </c>
      <c r="P555" s="4" t="s">
        <v>616</v>
      </c>
      <c r="Q555" s="9">
        <v>31591</v>
      </c>
      <c r="R555" s="4" t="s">
        <v>1236</v>
      </c>
      <c r="S555" s="4" t="s">
        <v>5053</v>
      </c>
      <c r="T555" s="4" t="s">
        <v>1258</v>
      </c>
      <c r="U555" s="4" t="s">
        <v>106</v>
      </c>
      <c r="V555">
        <v>1986</v>
      </c>
      <c r="W555" s="4" t="s">
        <v>5431</v>
      </c>
      <c r="X555" s="4" t="s">
        <v>5432</v>
      </c>
      <c r="Y555" s="4" t="s">
        <v>5433</v>
      </c>
      <c r="Z555" s="4" t="s">
        <v>5434</v>
      </c>
      <c r="AA555" s="4" t="s">
        <v>47</v>
      </c>
      <c r="AB555" s="4" t="s">
        <v>47</v>
      </c>
      <c r="AC555" s="4" t="s">
        <v>5435</v>
      </c>
      <c r="AD555" s="4" t="s">
        <v>47</v>
      </c>
      <c r="AE555" s="4" t="s">
        <v>47</v>
      </c>
      <c r="AF555" s="4" t="s">
        <v>47</v>
      </c>
      <c r="AG555" s="4" t="s">
        <v>47</v>
      </c>
      <c r="AH555" s="4" t="s">
        <v>47</v>
      </c>
      <c r="AI555" s="4" t="s">
        <v>47</v>
      </c>
      <c r="AJ555" s="4" t="s">
        <v>47</v>
      </c>
      <c r="AK555" s="4" t="s">
        <v>47</v>
      </c>
      <c r="AL555" s="4" t="s">
        <v>47</v>
      </c>
      <c r="AM555" s="4" t="s">
        <v>47</v>
      </c>
      <c r="AN555" s="4" t="s">
        <v>47</v>
      </c>
      <c r="AO555" s="4" t="s">
        <v>47</v>
      </c>
      <c r="AP555" s="4" t="s">
        <v>5436</v>
      </c>
      <c r="AQ555" s="4" t="s">
        <v>5437</v>
      </c>
      <c r="AR555" s="4" t="s">
        <v>5438</v>
      </c>
    </row>
    <row r="556" spans="1:44" x14ac:dyDescent="0.2">
      <c r="A556" s="4" t="s">
        <v>87</v>
      </c>
      <c r="B556" s="4" t="s">
        <v>104</v>
      </c>
      <c r="C556">
        <v>0</v>
      </c>
      <c r="F556">
        <v>2</v>
      </c>
      <c r="I556" s="4" t="s">
        <v>3114</v>
      </c>
      <c r="J556" s="4" t="s">
        <v>5439</v>
      </c>
      <c r="K556" s="4" t="s">
        <v>4912</v>
      </c>
      <c r="L556" s="4" t="s">
        <v>5416</v>
      </c>
      <c r="M556">
        <v>45000</v>
      </c>
      <c r="N556" s="4" t="s">
        <v>5440</v>
      </c>
      <c r="O556" s="4" t="s">
        <v>5441</v>
      </c>
      <c r="P556" s="4" t="s">
        <v>629</v>
      </c>
      <c r="Q556" s="9">
        <v>31588</v>
      </c>
      <c r="R556" s="4" t="s">
        <v>824</v>
      </c>
      <c r="S556" s="4" t="s">
        <v>5289</v>
      </c>
      <c r="T556" s="4" t="s">
        <v>47</v>
      </c>
      <c r="U556" s="4" t="s">
        <v>106</v>
      </c>
      <c r="V556">
        <v>1986</v>
      </c>
      <c r="W556" s="4" t="s">
        <v>47</v>
      </c>
      <c r="X556" s="4" t="s">
        <v>5442</v>
      </c>
      <c r="Y556" s="4" t="s">
        <v>47</v>
      </c>
      <c r="Z556" s="4" t="s">
        <v>5443</v>
      </c>
      <c r="AA556" s="4" t="s">
        <v>47</v>
      </c>
      <c r="AB556" s="4" t="s">
        <v>47</v>
      </c>
      <c r="AC556" s="4" t="s">
        <v>47</v>
      </c>
      <c r="AD556" s="4" t="s">
        <v>47</v>
      </c>
      <c r="AE556" s="4" t="s">
        <v>47</v>
      </c>
      <c r="AF556" s="4" t="s">
        <v>47</v>
      </c>
      <c r="AG556" s="4" t="s">
        <v>47</v>
      </c>
      <c r="AH556" s="4" t="s">
        <v>47</v>
      </c>
      <c r="AI556" s="4" t="s">
        <v>47</v>
      </c>
      <c r="AJ556" s="4" t="s">
        <v>47</v>
      </c>
      <c r="AK556" s="4" t="s">
        <v>47</v>
      </c>
      <c r="AL556" s="4" t="s">
        <v>47</v>
      </c>
      <c r="AM556" s="4" t="s">
        <v>47</v>
      </c>
      <c r="AN556" s="4" t="s">
        <v>47</v>
      </c>
      <c r="AO556" s="4" t="s">
        <v>5444</v>
      </c>
      <c r="AP556" s="4" t="s">
        <v>5445</v>
      </c>
      <c r="AQ556" s="4" t="s">
        <v>5446</v>
      </c>
      <c r="AR556" s="4" t="s">
        <v>5447</v>
      </c>
    </row>
    <row r="557" spans="1:44" x14ac:dyDescent="0.2">
      <c r="A557" s="4" t="s">
        <v>26</v>
      </c>
      <c r="B557" s="4" t="s">
        <v>148</v>
      </c>
      <c r="C557">
        <v>2</v>
      </c>
      <c r="F557">
        <v>0</v>
      </c>
      <c r="I557" s="4" t="s">
        <v>4913</v>
      </c>
      <c r="J557" s="4" t="s">
        <v>2446</v>
      </c>
      <c r="K557" s="4" t="s">
        <v>5027</v>
      </c>
      <c r="L557" s="4" t="s">
        <v>5028</v>
      </c>
      <c r="M557">
        <v>114500</v>
      </c>
      <c r="N557" s="4" t="s">
        <v>5417</v>
      </c>
      <c r="O557" s="4" t="s">
        <v>5448</v>
      </c>
      <c r="P557" s="4" t="s">
        <v>629</v>
      </c>
      <c r="Q557" s="9">
        <v>31588</v>
      </c>
      <c r="R557" s="4" t="s">
        <v>630</v>
      </c>
      <c r="S557" s="4" t="s">
        <v>5449</v>
      </c>
      <c r="T557" s="4" t="s">
        <v>47</v>
      </c>
      <c r="U557" s="4" t="s">
        <v>106</v>
      </c>
      <c r="V557">
        <v>1986</v>
      </c>
      <c r="W557" s="4" t="s">
        <v>5450</v>
      </c>
      <c r="X557" s="4" t="s">
        <v>47</v>
      </c>
      <c r="Y557" s="4" t="s">
        <v>5451</v>
      </c>
      <c r="Z557" s="4" t="s">
        <v>47</v>
      </c>
      <c r="AA557" s="4" t="s">
        <v>47</v>
      </c>
      <c r="AB557" s="4" t="s">
        <v>47</v>
      </c>
      <c r="AC557" s="4" t="s">
        <v>47</v>
      </c>
      <c r="AD557" s="4" t="s">
        <v>47</v>
      </c>
      <c r="AE557" s="4" t="s">
        <v>47</v>
      </c>
      <c r="AF557" s="4" t="s">
        <v>47</v>
      </c>
      <c r="AG557" s="4" t="s">
        <v>47</v>
      </c>
      <c r="AH557" s="4" t="s">
        <v>47</v>
      </c>
      <c r="AI557" s="4" t="s">
        <v>47</v>
      </c>
      <c r="AJ557" s="4" t="s">
        <v>47</v>
      </c>
      <c r="AK557" s="4" t="s">
        <v>47</v>
      </c>
      <c r="AL557" s="4" t="s">
        <v>47</v>
      </c>
      <c r="AM557" s="4" t="s">
        <v>47</v>
      </c>
      <c r="AN557" s="4" t="s">
        <v>47</v>
      </c>
      <c r="AO557" s="4" t="s">
        <v>5452</v>
      </c>
      <c r="AP557" s="4" t="s">
        <v>5453</v>
      </c>
      <c r="AQ557" s="4" t="s">
        <v>5454</v>
      </c>
      <c r="AR557" s="4" t="s">
        <v>5455</v>
      </c>
    </row>
    <row r="558" spans="1:44" x14ac:dyDescent="0.2">
      <c r="A558" s="4" t="s">
        <v>26</v>
      </c>
      <c r="B558" s="4" t="s">
        <v>52</v>
      </c>
      <c r="C558">
        <v>2</v>
      </c>
      <c r="F558">
        <v>1</v>
      </c>
      <c r="I558" s="4" t="s">
        <v>4913</v>
      </c>
      <c r="J558" s="4" t="s">
        <v>2446</v>
      </c>
      <c r="K558" s="4" t="s">
        <v>4925</v>
      </c>
      <c r="L558" s="4" t="s">
        <v>4926</v>
      </c>
      <c r="M558">
        <v>114580</v>
      </c>
      <c r="N558" s="4" t="s">
        <v>5417</v>
      </c>
      <c r="O558" s="4" t="s">
        <v>5456</v>
      </c>
      <c r="P558" s="4" t="s">
        <v>651</v>
      </c>
      <c r="Q558" s="9">
        <v>31585</v>
      </c>
      <c r="R558" s="4" t="s">
        <v>617</v>
      </c>
      <c r="S558" s="4" t="s">
        <v>5457</v>
      </c>
      <c r="T558" s="4" t="s">
        <v>47</v>
      </c>
      <c r="U558" s="4" t="s">
        <v>106</v>
      </c>
      <c r="V558">
        <v>1986</v>
      </c>
      <c r="W558" s="4" t="s">
        <v>5458</v>
      </c>
      <c r="X558" s="4" t="s">
        <v>5459</v>
      </c>
      <c r="Y558" s="4" t="s">
        <v>5460</v>
      </c>
      <c r="Z558" s="4" t="s">
        <v>5461</v>
      </c>
      <c r="AA558" s="4" t="s">
        <v>47</v>
      </c>
      <c r="AB558" s="4" t="s">
        <v>47</v>
      </c>
      <c r="AC558" s="4" t="s">
        <v>47</v>
      </c>
      <c r="AD558" s="4" t="s">
        <v>47</v>
      </c>
      <c r="AE558" s="4" t="s">
        <v>47</v>
      </c>
      <c r="AF558" s="4" t="s">
        <v>47</v>
      </c>
      <c r="AG558" s="4" t="s">
        <v>47</v>
      </c>
      <c r="AH558" s="4" t="s">
        <v>47</v>
      </c>
      <c r="AI558" s="4" t="s">
        <v>47</v>
      </c>
      <c r="AJ558" s="4" t="s">
        <v>47</v>
      </c>
      <c r="AK558" s="4" t="s">
        <v>47</v>
      </c>
      <c r="AL558" s="4" t="s">
        <v>47</v>
      </c>
      <c r="AM558" s="4" t="s">
        <v>47</v>
      </c>
      <c r="AN558" s="4" t="s">
        <v>47</v>
      </c>
      <c r="AO558" s="4" t="s">
        <v>5462</v>
      </c>
      <c r="AP558" s="4" t="s">
        <v>5463</v>
      </c>
      <c r="AQ558" s="4" t="s">
        <v>5464</v>
      </c>
      <c r="AR558" s="4" t="s">
        <v>5465</v>
      </c>
    </row>
    <row r="559" spans="1:44" x14ac:dyDescent="0.2">
      <c r="A559" s="4" t="s">
        <v>20</v>
      </c>
      <c r="B559" s="4" t="s">
        <v>148</v>
      </c>
      <c r="C559">
        <v>1</v>
      </c>
      <c r="E559">
        <v>4</v>
      </c>
      <c r="F559">
        <v>1</v>
      </c>
      <c r="H559">
        <v>5</v>
      </c>
      <c r="I559" s="4" t="s">
        <v>5466</v>
      </c>
      <c r="J559" s="4" t="s">
        <v>3408</v>
      </c>
      <c r="K559" s="4" t="s">
        <v>5027</v>
      </c>
      <c r="L559" s="4" t="s">
        <v>5028</v>
      </c>
      <c r="M559">
        <v>45000</v>
      </c>
      <c r="N559" s="4" t="s">
        <v>5429</v>
      </c>
      <c r="O559" s="4" t="s">
        <v>5467</v>
      </c>
      <c r="P559" s="4" t="s">
        <v>651</v>
      </c>
      <c r="Q559" s="9">
        <v>31585</v>
      </c>
      <c r="R559" s="4" t="s">
        <v>5468</v>
      </c>
      <c r="S559" s="4" t="s">
        <v>5094</v>
      </c>
      <c r="T559" s="4" t="s">
        <v>5469</v>
      </c>
      <c r="U559" s="4" t="s">
        <v>106</v>
      </c>
      <c r="V559">
        <v>1986</v>
      </c>
      <c r="W559" s="4" t="s">
        <v>5470</v>
      </c>
      <c r="X559" s="4" t="s">
        <v>5471</v>
      </c>
      <c r="Y559" s="4" t="s">
        <v>5472</v>
      </c>
      <c r="Z559" s="4" t="s">
        <v>5473</v>
      </c>
      <c r="AA559" s="4" t="s">
        <v>47</v>
      </c>
      <c r="AB559" s="4" t="s">
        <v>47</v>
      </c>
      <c r="AC559" s="4" t="s">
        <v>47</v>
      </c>
      <c r="AD559" s="4" t="s">
        <v>47</v>
      </c>
      <c r="AE559" s="4" t="s">
        <v>47</v>
      </c>
      <c r="AF559" s="4" t="s">
        <v>47</v>
      </c>
      <c r="AG559" s="4" t="s">
        <v>5474</v>
      </c>
      <c r="AH559" s="4" t="s">
        <v>5475</v>
      </c>
      <c r="AI559" s="4" t="s">
        <v>5476</v>
      </c>
      <c r="AJ559" s="4" t="s">
        <v>47</v>
      </c>
      <c r="AK559" s="4" t="s">
        <v>47</v>
      </c>
      <c r="AL559" s="4" t="s">
        <v>47</v>
      </c>
      <c r="AM559" s="4" t="s">
        <v>47</v>
      </c>
      <c r="AN559" s="4" t="s">
        <v>47</v>
      </c>
      <c r="AO559" s="4" t="s">
        <v>5477</v>
      </c>
      <c r="AP559" s="4" t="s">
        <v>5478</v>
      </c>
      <c r="AQ559" s="4" t="s">
        <v>5479</v>
      </c>
      <c r="AR559" s="4" t="s">
        <v>5480</v>
      </c>
    </row>
    <row r="560" spans="1:44" x14ac:dyDescent="0.2">
      <c r="A560" s="4" t="s">
        <v>12</v>
      </c>
      <c r="B560" s="4" t="s">
        <v>87</v>
      </c>
      <c r="C560">
        <v>1</v>
      </c>
      <c r="E560">
        <v>3</v>
      </c>
      <c r="F560">
        <v>1</v>
      </c>
      <c r="H560">
        <v>4</v>
      </c>
      <c r="I560" s="4" t="s">
        <v>5481</v>
      </c>
      <c r="J560" s="4" t="s">
        <v>5482</v>
      </c>
      <c r="K560" s="4" t="s">
        <v>3114</v>
      </c>
      <c r="L560" s="4" t="s">
        <v>5439</v>
      </c>
      <c r="M560">
        <v>65000</v>
      </c>
      <c r="N560" s="4" t="s">
        <v>5440</v>
      </c>
      <c r="O560" s="4" t="s">
        <v>5483</v>
      </c>
      <c r="P560" s="4" t="s">
        <v>651</v>
      </c>
      <c r="Q560" s="9">
        <v>31584</v>
      </c>
      <c r="R560" s="4" t="s">
        <v>1340</v>
      </c>
      <c r="S560" s="4" t="s">
        <v>5484</v>
      </c>
      <c r="T560" s="4" t="s">
        <v>3933</v>
      </c>
      <c r="U560" s="4" t="s">
        <v>106</v>
      </c>
      <c r="V560">
        <v>1986</v>
      </c>
      <c r="W560" s="4" t="s">
        <v>5485</v>
      </c>
      <c r="X560" s="4" t="s">
        <v>5486</v>
      </c>
      <c r="Y560" s="4" t="s">
        <v>5487</v>
      </c>
      <c r="Z560" s="4" t="s">
        <v>5488</v>
      </c>
      <c r="AA560" s="4" t="s">
        <v>47</v>
      </c>
      <c r="AB560" s="4" t="s">
        <v>47</v>
      </c>
      <c r="AC560" s="4" t="s">
        <v>47</v>
      </c>
      <c r="AD560" s="4" t="s">
        <v>47</v>
      </c>
      <c r="AE560" s="4" t="s">
        <v>47</v>
      </c>
      <c r="AF560" s="4" t="s">
        <v>47</v>
      </c>
      <c r="AG560" s="4" t="s">
        <v>5489</v>
      </c>
      <c r="AH560" s="4" t="s">
        <v>5490</v>
      </c>
      <c r="AI560" s="4" t="s">
        <v>5491</v>
      </c>
      <c r="AJ560" s="4" t="s">
        <v>5492</v>
      </c>
      <c r="AK560" s="4" t="s">
        <v>47</v>
      </c>
      <c r="AL560" s="4" t="s">
        <v>47</v>
      </c>
      <c r="AM560" s="4" t="s">
        <v>47</v>
      </c>
      <c r="AN560" s="4" t="s">
        <v>47</v>
      </c>
      <c r="AO560" s="4" t="s">
        <v>47</v>
      </c>
      <c r="AP560" s="4" t="s">
        <v>47</v>
      </c>
      <c r="AQ560" s="4" t="s">
        <v>5493</v>
      </c>
      <c r="AR560" s="4" t="s">
        <v>5494</v>
      </c>
    </row>
    <row r="561" spans="1:44" x14ac:dyDescent="0.2">
      <c r="A561" s="4" t="s">
        <v>104</v>
      </c>
      <c r="B561" s="4" t="s">
        <v>106</v>
      </c>
      <c r="C561">
        <v>0</v>
      </c>
      <c r="E561">
        <v>4</v>
      </c>
      <c r="F561">
        <v>0</v>
      </c>
      <c r="H561">
        <v>1</v>
      </c>
      <c r="I561" s="4" t="s">
        <v>4912</v>
      </c>
      <c r="J561" s="4" t="s">
        <v>5416</v>
      </c>
      <c r="K561" s="4" t="s">
        <v>4523</v>
      </c>
      <c r="L561" s="4" t="s">
        <v>5495</v>
      </c>
      <c r="M561">
        <v>41700</v>
      </c>
      <c r="N561" s="4" t="s">
        <v>5496</v>
      </c>
      <c r="O561" s="4" t="s">
        <v>5497</v>
      </c>
      <c r="P561" s="4" t="s">
        <v>651</v>
      </c>
      <c r="Q561" s="9">
        <v>31584</v>
      </c>
      <c r="R561" s="4" t="s">
        <v>5498</v>
      </c>
      <c r="S561" s="4" t="s">
        <v>5499</v>
      </c>
      <c r="T561" s="4" t="s">
        <v>4941</v>
      </c>
      <c r="U561" s="4" t="s">
        <v>106</v>
      </c>
      <c r="V561">
        <v>1986</v>
      </c>
      <c r="W561" s="4" t="s">
        <v>47</v>
      </c>
      <c r="X561" s="4" t="s">
        <v>47</v>
      </c>
      <c r="Y561" s="4" t="s">
        <v>47</v>
      </c>
      <c r="Z561" s="4" t="s">
        <v>47</v>
      </c>
      <c r="AA561" s="4" t="s">
        <v>47</v>
      </c>
      <c r="AB561" s="4" t="s">
        <v>47</v>
      </c>
      <c r="AC561" s="4" t="s">
        <v>47</v>
      </c>
      <c r="AD561" s="4" t="s">
        <v>47</v>
      </c>
      <c r="AE561" s="4" t="s">
        <v>47</v>
      </c>
      <c r="AF561" s="4" t="s">
        <v>47</v>
      </c>
      <c r="AG561" s="4" t="s">
        <v>5500</v>
      </c>
      <c r="AH561" s="4" t="s">
        <v>5501</v>
      </c>
      <c r="AI561" s="4" t="s">
        <v>47</v>
      </c>
      <c r="AJ561" s="4" t="s">
        <v>5502</v>
      </c>
      <c r="AK561" s="4" t="s">
        <v>5503</v>
      </c>
      <c r="AL561" s="4" t="s">
        <v>5504</v>
      </c>
      <c r="AM561" s="4" t="s">
        <v>47</v>
      </c>
      <c r="AN561" s="4" t="s">
        <v>47</v>
      </c>
      <c r="AO561" s="4" t="s">
        <v>5505</v>
      </c>
      <c r="AP561" s="4" t="s">
        <v>5506</v>
      </c>
      <c r="AQ561" s="4" t="s">
        <v>5507</v>
      </c>
      <c r="AR561" s="4" t="s">
        <v>5508</v>
      </c>
    </row>
    <row r="562" spans="1:44" x14ac:dyDescent="0.2">
      <c r="A562" s="4" t="s">
        <v>52</v>
      </c>
      <c r="B562" s="4" t="s">
        <v>202</v>
      </c>
      <c r="C562">
        <v>3</v>
      </c>
      <c r="F562">
        <v>0</v>
      </c>
      <c r="I562" s="4" t="s">
        <v>4925</v>
      </c>
      <c r="J562" s="4" t="s">
        <v>4926</v>
      </c>
      <c r="K562" s="4" t="s">
        <v>5509</v>
      </c>
      <c r="L562" s="4" t="s">
        <v>5510</v>
      </c>
      <c r="M562">
        <v>98728</v>
      </c>
      <c r="N562" s="4" t="s">
        <v>5417</v>
      </c>
      <c r="O562" s="4" t="s">
        <v>5511</v>
      </c>
      <c r="P562" s="4" t="s">
        <v>714</v>
      </c>
      <c r="Q562" s="9">
        <v>31581</v>
      </c>
      <c r="R562" s="4" t="s">
        <v>638</v>
      </c>
      <c r="S562" s="4" t="s">
        <v>4499</v>
      </c>
      <c r="T562" s="4" t="s">
        <v>47</v>
      </c>
      <c r="U562" s="4" t="s">
        <v>106</v>
      </c>
      <c r="V562">
        <v>1986</v>
      </c>
      <c r="W562" s="4" t="s">
        <v>5512</v>
      </c>
      <c r="X562" s="4" t="s">
        <v>47</v>
      </c>
      <c r="Y562" s="4" t="s">
        <v>5513</v>
      </c>
      <c r="Z562" s="4" t="s">
        <v>47</v>
      </c>
      <c r="AA562" s="4" t="s">
        <v>47</v>
      </c>
      <c r="AB562" s="4" t="s">
        <v>47</v>
      </c>
      <c r="AC562" s="4" t="s">
        <v>47</v>
      </c>
      <c r="AD562" s="4" t="s">
        <v>47</v>
      </c>
      <c r="AE562" s="4" t="s">
        <v>47</v>
      </c>
      <c r="AF562" s="4" t="s">
        <v>47</v>
      </c>
      <c r="AG562" s="4" t="s">
        <v>47</v>
      </c>
      <c r="AH562" s="4" t="s">
        <v>47</v>
      </c>
      <c r="AI562" s="4" t="s">
        <v>47</v>
      </c>
      <c r="AJ562" s="4" t="s">
        <v>47</v>
      </c>
      <c r="AK562" s="4" t="s">
        <v>47</v>
      </c>
      <c r="AL562" s="4" t="s">
        <v>47</v>
      </c>
      <c r="AM562" s="4" t="s">
        <v>47</v>
      </c>
      <c r="AN562" s="4" t="s">
        <v>47</v>
      </c>
      <c r="AO562" s="4" t="s">
        <v>5514</v>
      </c>
      <c r="AP562" s="4" t="s">
        <v>5515</v>
      </c>
      <c r="AQ562" s="4" t="s">
        <v>5516</v>
      </c>
      <c r="AR562" s="4" t="s">
        <v>5517</v>
      </c>
    </row>
    <row r="563" spans="1:44" x14ac:dyDescent="0.2">
      <c r="A563" s="4" t="s">
        <v>167</v>
      </c>
      <c r="B563" s="4" t="s">
        <v>20</v>
      </c>
      <c r="C563">
        <v>1</v>
      </c>
      <c r="F563">
        <v>5</v>
      </c>
      <c r="I563" s="4" t="s">
        <v>5518</v>
      </c>
      <c r="J563" s="4" t="s">
        <v>2591</v>
      </c>
      <c r="K563" s="4" t="s">
        <v>5466</v>
      </c>
      <c r="L563" s="4" t="s">
        <v>3408</v>
      </c>
      <c r="M563">
        <v>38500</v>
      </c>
      <c r="N563" s="4" t="s">
        <v>5519</v>
      </c>
      <c r="O563" s="4" t="s">
        <v>5520</v>
      </c>
      <c r="P563" s="4" t="s">
        <v>714</v>
      </c>
      <c r="Q563" s="9">
        <v>31581</v>
      </c>
      <c r="R563" s="4" t="s">
        <v>2386</v>
      </c>
      <c r="S563" s="4" t="s">
        <v>5521</v>
      </c>
      <c r="T563" s="4" t="s">
        <v>47</v>
      </c>
      <c r="U563" s="4" t="s">
        <v>106</v>
      </c>
      <c r="V563">
        <v>1986</v>
      </c>
      <c r="W563" s="4" t="s">
        <v>47</v>
      </c>
      <c r="X563" s="4" t="s">
        <v>5522</v>
      </c>
      <c r="Y563" s="4" t="s">
        <v>47</v>
      </c>
      <c r="Z563" s="4" t="s">
        <v>5523</v>
      </c>
      <c r="AA563" s="4" t="s">
        <v>47</v>
      </c>
      <c r="AB563" s="4" t="s">
        <v>47</v>
      </c>
      <c r="AC563" s="4" t="s">
        <v>5524</v>
      </c>
      <c r="AD563" s="4" t="s">
        <v>5525</v>
      </c>
      <c r="AE563" s="4" t="s">
        <v>47</v>
      </c>
      <c r="AF563" s="4" t="s">
        <v>47</v>
      </c>
      <c r="AG563" s="4" t="s">
        <v>47</v>
      </c>
      <c r="AH563" s="4" t="s">
        <v>47</v>
      </c>
      <c r="AI563" s="4" t="s">
        <v>47</v>
      </c>
      <c r="AJ563" s="4" t="s">
        <v>47</v>
      </c>
      <c r="AK563" s="4" t="s">
        <v>47</v>
      </c>
      <c r="AL563" s="4" t="s">
        <v>47</v>
      </c>
      <c r="AM563" s="4" t="s">
        <v>47</v>
      </c>
      <c r="AN563" s="4" t="s">
        <v>47</v>
      </c>
      <c r="AO563" s="4" t="s">
        <v>5526</v>
      </c>
      <c r="AP563" s="4" t="s">
        <v>5527</v>
      </c>
      <c r="AQ563" s="4" t="s">
        <v>5528</v>
      </c>
      <c r="AR563" s="4" t="s">
        <v>5529</v>
      </c>
    </row>
    <row r="564" spans="1:44" x14ac:dyDescent="0.2">
      <c r="A564" s="4" t="s">
        <v>97</v>
      </c>
      <c r="B564" s="4" t="s">
        <v>87</v>
      </c>
      <c r="C564">
        <v>0</v>
      </c>
      <c r="F564">
        <v>2</v>
      </c>
      <c r="I564" s="4" t="s">
        <v>5530</v>
      </c>
      <c r="J564" s="4" t="s">
        <v>5531</v>
      </c>
      <c r="K564" s="4" t="s">
        <v>3114</v>
      </c>
      <c r="L564" s="4" t="s">
        <v>5439</v>
      </c>
      <c r="M564">
        <v>70000</v>
      </c>
      <c r="N564" s="4" t="s">
        <v>5532</v>
      </c>
      <c r="O564" s="4" t="s">
        <v>5533</v>
      </c>
      <c r="P564" s="4" t="s">
        <v>714</v>
      </c>
      <c r="Q564" s="9">
        <v>31580</v>
      </c>
      <c r="R564" s="4" t="s">
        <v>824</v>
      </c>
      <c r="S564" s="4" t="s">
        <v>5534</v>
      </c>
      <c r="T564" s="4" t="s">
        <v>47</v>
      </c>
      <c r="U564" s="4" t="s">
        <v>106</v>
      </c>
      <c r="V564">
        <v>1986</v>
      </c>
      <c r="W564" s="4" t="s">
        <v>47</v>
      </c>
      <c r="X564" s="4" t="s">
        <v>5535</v>
      </c>
      <c r="Y564" s="4" t="s">
        <v>47</v>
      </c>
      <c r="Z564" s="4" t="s">
        <v>5536</v>
      </c>
      <c r="AA564" s="4" t="s">
        <v>47</v>
      </c>
      <c r="AB564" s="4" t="s">
        <v>47</v>
      </c>
      <c r="AC564" s="4" t="s">
        <v>47</v>
      </c>
      <c r="AD564" s="4" t="s">
        <v>47</v>
      </c>
      <c r="AE564" s="4" t="s">
        <v>47</v>
      </c>
      <c r="AF564" s="4" t="s">
        <v>47</v>
      </c>
      <c r="AG564" s="4" t="s">
        <v>47</v>
      </c>
      <c r="AH564" s="4" t="s">
        <v>47</v>
      </c>
      <c r="AI564" s="4" t="s">
        <v>47</v>
      </c>
      <c r="AJ564" s="4" t="s">
        <v>47</v>
      </c>
      <c r="AK564" s="4" t="s">
        <v>47</v>
      </c>
      <c r="AL564" s="4" t="s">
        <v>47</v>
      </c>
      <c r="AM564" s="4" t="s">
        <v>47</v>
      </c>
      <c r="AN564" s="4" t="s">
        <v>47</v>
      </c>
      <c r="AO564" s="4" t="s">
        <v>5537</v>
      </c>
      <c r="AP564" s="4" t="s">
        <v>5538</v>
      </c>
      <c r="AQ564" s="4" t="s">
        <v>5539</v>
      </c>
      <c r="AR564" s="4" t="s">
        <v>5540</v>
      </c>
    </row>
    <row r="565" spans="1:44" x14ac:dyDescent="0.2">
      <c r="A565" s="4" t="s">
        <v>144</v>
      </c>
      <c r="B565" s="4" t="s">
        <v>104</v>
      </c>
      <c r="C565">
        <v>0</v>
      </c>
      <c r="F565">
        <v>1</v>
      </c>
      <c r="I565" s="4" t="s">
        <v>5541</v>
      </c>
      <c r="J565" s="4" t="s">
        <v>5542</v>
      </c>
      <c r="K565" s="4" t="s">
        <v>4912</v>
      </c>
      <c r="L565" s="4" t="s">
        <v>5416</v>
      </c>
      <c r="M565">
        <v>19800</v>
      </c>
      <c r="N565" s="4" t="s">
        <v>5496</v>
      </c>
      <c r="O565" s="4" t="s">
        <v>5543</v>
      </c>
      <c r="P565" s="4" t="s">
        <v>714</v>
      </c>
      <c r="Q565" s="9">
        <v>31580</v>
      </c>
      <c r="R565" s="4" t="s">
        <v>963</v>
      </c>
      <c r="S565" s="4" t="s">
        <v>5143</v>
      </c>
      <c r="T565" s="4" t="s">
        <v>47</v>
      </c>
      <c r="U565" s="4" t="s">
        <v>106</v>
      </c>
      <c r="V565">
        <v>1986</v>
      </c>
      <c r="W565" s="4" t="s">
        <v>47</v>
      </c>
      <c r="X565" s="4" t="s">
        <v>5544</v>
      </c>
      <c r="Y565" s="4" t="s">
        <v>47</v>
      </c>
      <c r="Z565" s="4" t="s">
        <v>5545</v>
      </c>
      <c r="AA565" s="4" t="s">
        <v>47</v>
      </c>
      <c r="AB565" s="4" t="s">
        <v>47</v>
      </c>
      <c r="AC565" s="4" t="s">
        <v>47</v>
      </c>
      <c r="AD565" s="4" t="s">
        <v>47</v>
      </c>
      <c r="AE565" s="4" t="s">
        <v>47</v>
      </c>
      <c r="AF565" s="4" t="s">
        <v>47</v>
      </c>
      <c r="AG565" s="4" t="s">
        <v>47</v>
      </c>
      <c r="AH565" s="4" t="s">
        <v>47</v>
      </c>
      <c r="AI565" s="4" t="s">
        <v>47</v>
      </c>
      <c r="AJ565" s="4" t="s">
        <v>47</v>
      </c>
      <c r="AK565" s="4" t="s">
        <v>47</v>
      </c>
      <c r="AL565" s="4" t="s">
        <v>47</v>
      </c>
      <c r="AM565" s="4" t="s">
        <v>47</v>
      </c>
      <c r="AN565" s="4" t="s">
        <v>47</v>
      </c>
      <c r="AO565" s="4" t="s">
        <v>5546</v>
      </c>
      <c r="AP565" s="4" t="s">
        <v>47</v>
      </c>
      <c r="AQ565" s="4" t="s">
        <v>47</v>
      </c>
      <c r="AR565" s="4" t="s">
        <v>5547</v>
      </c>
    </row>
    <row r="566" spans="1:44" x14ac:dyDescent="0.2">
      <c r="A566" s="4" t="s">
        <v>12</v>
      </c>
      <c r="B566" s="4" t="s">
        <v>195</v>
      </c>
      <c r="C566">
        <v>4</v>
      </c>
      <c r="F566">
        <v>0</v>
      </c>
      <c r="I566" s="4" t="s">
        <v>5481</v>
      </c>
      <c r="J566" s="4" t="s">
        <v>5482</v>
      </c>
      <c r="K566" s="4" t="s">
        <v>5548</v>
      </c>
      <c r="L566" s="4" t="s">
        <v>5549</v>
      </c>
      <c r="M566">
        <v>45000</v>
      </c>
      <c r="N566" s="4" t="s">
        <v>5440</v>
      </c>
      <c r="O566" s="4" t="s">
        <v>5550</v>
      </c>
      <c r="P566" s="4" t="s">
        <v>714</v>
      </c>
      <c r="Q566" s="9">
        <v>31579</v>
      </c>
      <c r="R566" s="4" t="s">
        <v>2300</v>
      </c>
      <c r="S566" s="4" t="s">
        <v>5551</v>
      </c>
      <c r="T566" s="4" t="s">
        <v>47</v>
      </c>
      <c r="U566" s="4" t="s">
        <v>106</v>
      </c>
      <c r="V566">
        <v>1986</v>
      </c>
      <c r="W566" s="4" t="s">
        <v>5552</v>
      </c>
      <c r="X566" s="4" t="s">
        <v>47</v>
      </c>
      <c r="Y566" s="4" t="s">
        <v>5553</v>
      </c>
      <c r="Z566" s="4" t="s">
        <v>47</v>
      </c>
      <c r="AA566" s="4" t="s">
        <v>47</v>
      </c>
      <c r="AB566" s="4" t="s">
        <v>47</v>
      </c>
      <c r="AC566" s="4" t="s">
        <v>5554</v>
      </c>
      <c r="AD566" s="4" t="s">
        <v>47</v>
      </c>
      <c r="AE566" s="4" t="s">
        <v>47</v>
      </c>
      <c r="AF566" s="4" t="s">
        <v>47</v>
      </c>
      <c r="AG566" s="4" t="s">
        <v>47</v>
      </c>
      <c r="AH566" s="4" t="s">
        <v>47</v>
      </c>
      <c r="AI566" s="4" t="s">
        <v>47</v>
      </c>
      <c r="AJ566" s="4" t="s">
        <v>47</v>
      </c>
      <c r="AK566" s="4" t="s">
        <v>47</v>
      </c>
      <c r="AL566" s="4" t="s">
        <v>47</v>
      </c>
      <c r="AM566" s="4" t="s">
        <v>47</v>
      </c>
      <c r="AN566" s="4" t="s">
        <v>47</v>
      </c>
      <c r="AO566" s="4" t="s">
        <v>5555</v>
      </c>
      <c r="AP566" s="4" t="s">
        <v>5556</v>
      </c>
      <c r="AQ566" s="4" t="s">
        <v>5557</v>
      </c>
      <c r="AR566" s="4" t="s">
        <v>5558</v>
      </c>
    </row>
    <row r="567" spans="1:44" x14ac:dyDescent="0.2">
      <c r="A567" s="4" t="s">
        <v>26</v>
      </c>
      <c r="B567" s="4" t="s">
        <v>121</v>
      </c>
      <c r="C567">
        <v>1</v>
      </c>
      <c r="F567">
        <v>0</v>
      </c>
      <c r="I567" s="4" t="s">
        <v>4913</v>
      </c>
      <c r="J567" s="4" t="s">
        <v>2446</v>
      </c>
      <c r="K567" s="4" t="s">
        <v>5559</v>
      </c>
      <c r="L567" s="4" t="s">
        <v>5560</v>
      </c>
      <c r="M567">
        <v>26000</v>
      </c>
      <c r="N567" s="4" t="s">
        <v>5429</v>
      </c>
      <c r="O567" s="4" t="s">
        <v>5561</v>
      </c>
      <c r="P567" s="4" t="s">
        <v>714</v>
      </c>
      <c r="Q567" s="9">
        <v>31579</v>
      </c>
      <c r="R567" s="4" t="s">
        <v>652</v>
      </c>
      <c r="S567" s="4" t="s">
        <v>5289</v>
      </c>
      <c r="T567" s="4" t="s">
        <v>47</v>
      </c>
      <c r="U567" s="4" t="s">
        <v>106</v>
      </c>
      <c r="V567">
        <v>1986</v>
      </c>
      <c r="W567" s="4" t="s">
        <v>5562</v>
      </c>
      <c r="X567" s="4" t="s">
        <v>47</v>
      </c>
      <c r="Y567" s="4" t="s">
        <v>5563</v>
      </c>
      <c r="Z567" s="4" t="s">
        <v>47</v>
      </c>
      <c r="AA567" s="4" t="s">
        <v>47</v>
      </c>
      <c r="AB567" s="4" t="s">
        <v>47</v>
      </c>
      <c r="AC567" s="4" t="s">
        <v>47</v>
      </c>
      <c r="AD567" s="4" t="s">
        <v>47</v>
      </c>
      <c r="AE567" s="4" t="s">
        <v>47</v>
      </c>
      <c r="AF567" s="4" t="s">
        <v>47</v>
      </c>
      <c r="AG567" s="4" t="s">
        <v>47</v>
      </c>
      <c r="AH567" s="4" t="s">
        <v>47</v>
      </c>
      <c r="AI567" s="4" t="s">
        <v>47</v>
      </c>
      <c r="AJ567" s="4" t="s">
        <v>47</v>
      </c>
      <c r="AK567" s="4" t="s">
        <v>47</v>
      </c>
      <c r="AL567" s="4" t="s">
        <v>47</v>
      </c>
      <c r="AM567" s="4" t="s">
        <v>47</v>
      </c>
      <c r="AN567" s="4" t="s">
        <v>47</v>
      </c>
      <c r="AO567" s="4" t="s">
        <v>5564</v>
      </c>
      <c r="AP567" s="4" t="s">
        <v>5565</v>
      </c>
      <c r="AQ567" s="4" t="s">
        <v>5566</v>
      </c>
      <c r="AR567" s="4" t="s">
        <v>5567</v>
      </c>
    </row>
    <row r="568" spans="1:44" x14ac:dyDescent="0.2">
      <c r="A568" s="4" t="s">
        <v>106</v>
      </c>
      <c r="B568" s="4" t="s">
        <v>293</v>
      </c>
      <c r="C568">
        <v>2</v>
      </c>
      <c r="F568">
        <v>0</v>
      </c>
      <c r="I568" s="4" t="s">
        <v>4523</v>
      </c>
      <c r="J568" s="4" t="s">
        <v>5495</v>
      </c>
      <c r="K568" s="4" t="s">
        <v>5568</v>
      </c>
      <c r="L568" s="4" t="s">
        <v>5569</v>
      </c>
      <c r="M568">
        <v>114580</v>
      </c>
      <c r="N568" s="4" t="s">
        <v>5417</v>
      </c>
      <c r="O568" s="4" t="s">
        <v>5570</v>
      </c>
      <c r="P568" s="4" t="s">
        <v>714</v>
      </c>
      <c r="Q568" s="9">
        <v>31578</v>
      </c>
      <c r="R568" s="4" t="s">
        <v>630</v>
      </c>
      <c r="S568" s="4" t="s">
        <v>5419</v>
      </c>
      <c r="T568" s="4" t="s">
        <v>47</v>
      </c>
      <c r="U568" s="4" t="s">
        <v>106</v>
      </c>
      <c r="V568">
        <v>1986</v>
      </c>
      <c r="W568" s="4" t="s">
        <v>5571</v>
      </c>
      <c r="X568" s="4" t="s">
        <v>47</v>
      </c>
      <c r="Y568" s="4" t="s">
        <v>5572</v>
      </c>
      <c r="Z568" s="4" t="s">
        <v>47</v>
      </c>
      <c r="AA568" s="4" t="s">
        <v>47</v>
      </c>
      <c r="AB568" s="4" t="s">
        <v>47</v>
      </c>
      <c r="AC568" s="4" t="s">
        <v>47</v>
      </c>
      <c r="AD568" s="4" t="s">
        <v>47</v>
      </c>
      <c r="AE568" s="4" t="s">
        <v>47</v>
      </c>
      <c r="AF568" s="4" t="s">
        <v>47</v>
      </c>
      <c r="AG568" s="4" t="s">
        <v>47</v>
      </c>
      <c r="AH568" s="4" t="s">
        <v>47</v>
      </c>
      <c r="AI568" s="4" t="s">
        <v>47</v>
      </c>
      <c r="AJ568" s="4" t="s">
        <v>47</v>
      </c>
      <c r="AK568" s="4" t="s">
        <v>47</v>
      </c>
      <c r="AL568" s="4" t="s">
        <v>47</v>
      </c>
      <c r="AM568" s="4" t="s">
        <v>47</v>
      </c>
      <c r="AN568" s="4" t="s">
        <v>47</v>
      </c>
      <c r="AO568" s="4" t="s">
        <v>47</v>
      </c>
      <c r="AP568" s="4" t="s">
        <v>5573</v>
      </c>
      <c r="AQ568" s="4" t="s">
        <v>5574</v>
      </c>
      <c r="AR568" s="4" t="s">
        <v>5575</v>
      </c>
    </row>
    <row r="569" spans="1:44" x14ac:dyDescent="0.2">
      <c r="A569" s="4" t="s">
        <v>5211</v>
      </c>
      <c r="B569" s="4" t="s">
        <v>148</v>
      </c>
      <c r="C569">
        <v>3</v>
      </c>
      <c r="F569">
        <v>4</v>
      </c>
      <c r="I569" s="4" t="s">
        <v>5212</v>
      </c>
      <c r="J569" s="4" t="s">
        <v>5213</v>
      </c>
      <c r="K569" s="4" t="s">
        <v>5027</v>
      </c>
      <c r="L569" s="4" t="s">
        <v>5028</v>
      </c>
      <c r="M569">
        <v>32277</v>
      </c>
      <c r="N569" s="4" t="s">
        <v>5576</v>
      </c>
      <c r="O569" s="4" t="s">
        <v>5577</v>
      </c>
      <c r="P569" s="4" t="s">
        <v>714</v>
      </c>
      <c r="Q569" s="9">
        <v>31578</v>
      </c>
      <c r="R569" s="4" t="s">
        <v>5578</v>
      </c>
      <c r="S569" s="4" t="s">
        <v>5319</v>
      </c>
      <c r="T569" s="4" t="s">
        <v>1258</v>
      </c>
      <c r="U569" s="4" t="s">
        <v>106</v>
      </c>
      <c r="V569">
        <v>1986</v>
      </c>
      <c r="W569" s="4" t="s">
        <v>5579</v>
      </c>
      <c r="X569" s="4" t="s">
        <v>5580</v>
      </c>
      <c r="Y569" s="4" t="s">
        <v>5581</v>
      </c>
      <c r="Z569" s="4" t="s">
        <v>5582</v>
      </c>
      <c r="AA569" s="4" t="s">
        <v>47</v>
      </c>
      <c r="AB569" s="4" t="s">
        <v>47</v>
      </c>
      <c r="AC569" s="4" t="s">
        <v>5583</v>
      </c>
      <c r="AD569" s="4" t="s">
        <v>47</v>
      </c>
      <c r="AE569" s="4" t="s">
        <v>47</v>
      </c>
      <c r="AF569" s="4" t="s">
        <v>47</v>
      </c>
      <c r="AG569" s="4" t="s">
        <v>47</v>
      </c>
      <c r="AH569" s="4" t="s">
        <v>47</v>
      </c>
      <c r="AI569" s="4" t="s">
        <v>47</v>
      </c>
      <c r="AJ569" s="4" t="s">
        <v>47</v>
      </c>
      <c r="AK569" s="4" t="s">
        <v>47</v>
      </c>
      <c r="AL569" s="4" t="s">
        <v>47</v>
      </c>
      <c r="AM569" s="4" t="s">
        <v>47</v>
      </c>
      <c r="AN569" s="4" t="s">
        <v>47</v>
      </c>
      <c r="AO569" s="4" t="s">
        <v>47</v>
      </c>
      <c r="AP569" s="4" t="s">
        <v>5584</v>
      </c>
      <c r="AQ569" s="4" t="s">
        <v>5585</v>
      </c>
      <c r="AR569" s="4" t="s">
        <v>5586</v>
      </c>
    </row>
    <row r="570" spans="1:44" x14ac:dyDescent="0.2">
      <c r="A570" s="4" t="s">
        <v>205</v>
      </c>
      <c r="B570" s="4" t="s">
        <v>121</v>
      </c>
      <c r="C570">
        <v>0</v>
      </c>
      <c r="F570">
        <v>0</v>
      </c>
      <c r="I570" s="4" t="s">
        <v>5587</v>
      </c>
      <c r="J570" s="4" t="s">
        <v>5588</v>
      </c>
      <c r="K570" s="4" t="s">
        <v>5559</v>
      </c>
      <c r="L570" s="4" t="s">
        <v>5560</v>
      </c>
      <c r="M570">
        <v>20000</v>
      </c>
      <c r="N570" s="4" t="s">
        <v>5589</v>
      </c>
      <c r="O570" s="4" t="s">
        <v>5590</v>
      </c>
      <c r="P570" s="4" t="s">
        <v>811</v>
      </c>
      <c r="Q570" s="9">
        <v>31576</v>
      </c>
      <c r="R570" s="4" t="s">
        <v>869</v>
      </c>
      <c r="S570" s="4" t="s">
        <v>4413</v>
      </c>
      <c r="T570" s="4" t="s">
        <v>47</v>
      </c>
      <c r="U570" s="4" t="s">
        <v>106</v>
      </c>
      <c r="V570">
        <v>1986</v>
      </c>
      <c r="W570" s="4" t="s">
        <v>47</v>
      </c>
      <c r="X570" s="4" t="s">
        <v>47</v>
      </c>
      <c r="Y570" s="4" t="s">
        <v>47</v>
      </c>
      <c r="Z570" s="4" t="s">
        <v>47</v>
      </c>
      <c r="AA570" s="4" t="s">
        <v>47</v>
      </c>
      <c r="AB570" s="4" t="s">
        <v>47</v>
      </c>
      <c r="AC570" s="4" t="s">
        <v>47</v>
      </c>
      <c r="AD570" s="4" t="s">
        <v>47</v>
      </c>
      <c r="AE570" s="4" t="s">
        <v>47</v>
      </c>
      <c r="AF570" s="4" t="s">
        <v>47</v>
      </c>
      <c r="AG570" s="4" t="s">
        <v>47</v>
      </c>
      <c r="AH570" s="4" t="s">
        <v>47</v>
      </c>
      <c r="AI570" s="4" t="s">
        <v>47</v>
      </c>
      <c r="AJ570" s="4" t="s">
        <v>47</v>
      </c>
      <c r="AK570" s="4" t="s">
        <v>47</v>
      </c>
      <c r="AL570" s="4" t="s">
        <v>5591</v>
      </c>
      <c r="AM570" s="4" t="s">
        <v>47</v>
      </c>
      <c r="AN570" s="4" t="s">
        <v>47</v>
      </c>
      <c r="AO570" s="4" t="s">
        <v>5592</v>
      </c>
      <c r="AP570" s="4" t="s">
        <v>5593</v>
      </c>
      <c r="AQ570" s="4" t="s">
        <v>5594</v>
      </c>
      <c r="AR570" s="4" t="s">
        <v>5595</v>
      </c>
    </row>
    <row r="571" spans="1:44" x14ac:dyDescent="0.2">
      <c r="A571" s="4" t="s">
        <v>167</v>
      </c>
      <c r="B571" s="4" t="s">
        <v>104</v>
      </c>
      <c r="C571">
        <v>2</v>
      </c>
      <c r="F571">
        <v>0</v>
      </c>
      <c r="I571" s="4" t="s">
        <v>5518</v>
      </c>
      <c r="J571" s="4" t="s">
        <v>2591</v>
      </c>
      <c r="K571" s="4" t="s">
        <v>4912</v>
      </c>
      <c r="L571" s="4" t="s">
        <v>5596</v>
      </c>
      <c r="M571">
        <v>36000</v>
      </c>
      <c r="N571" s="4" t="s">
        <v>5519</v>
      </c>
      <c r="O571" s="4" t="s">
        <v>5597</v>
      </c>
      <c r="P571" s="4" t="s">
        <v>811</v>
      </c>
      <c r="Q571" s="9">
        <v>31576</v>
      </c>
      <c r="R571" s="4" t="s">
        <v>630</v>
      </c>
      <c r="S571" s="4" t="s">
        <v>5598</v>
      </c>
      <c r="T571" s="4" t="s">
        <v>47</v>
      </c>
      <c r="U571" s="4" t="s">
        <v>106</v>
      </c>
      <c r="V571">
        <v>1986</v>
      </c>
      <c r="W571" s="4" t="s">
        <v>5599</v>
      </c>
      <c r="X571" s="4" t="s">
        <v>47</v>
      </c>
      <c r="Y571" s="4" t="s">
        <v>5600</v>
      </c>
      <c r="Z571" s="4" t="s">
        <v>47</v>
      </c>
      <c r="AA571" s="4" t="s">
        <v>47</v>
      </c>
      <c r="AB571" s="4" t="s">
        <v>47</v>
      </c>
      <c r="AC571" s="4" t="s">
        <v>5601</v>
      </c>
      <c r="AD571" s="4" t="s">
        <v>47</v>
      </c>
      <c r="AE571" s="4" t="s">
        <v>47</v>
      </c>
      <c r="AF571" s="4" t="s">
        <v>47</v>
      </c>
      <c r="AG571" s="4" t="s">
        <v>47</v>
      </c>
      <c r="AH571" s="4" t="s">
        <v>47</v>
      </c>
      <c r="AI571" s="4" t="s">
        <v>47</v>
      </c>
      <c r="AJ571" s="4" t="s">
        <v>47</v>
      </c>
      <c r="AK571" s="4" t="s">
        <v>5602</v>
      </c>
      <c r="AL571" s="4" t="s">
        <v>47</v>
      </c>
      <c r="AM571" s="4" t="s">
        <v>47</v>
      </c>
      <c r="AN571" s="4" t="s">
        <v>47</v>
      </c>
      <c r="AO571" s="4" t="s">
        <v>5603</v>
      </c>
      <c r="AP571" s="4" t="s">
        <v>5604</v>
      </c>
      <c r="AQ571" s="4" t="s">
        <v>5605</v>
      </c>
      <c r="AR571" s="4" t="s">
        <v>5606</v>
      </c>
    </row>
    <row r="572" spans="1:44" x14ac:dyDescent="0.2">
      <c r="A572" s="4" t="s">
        <v>181</v>
      </c>
      <c r="B572" s="4" t="s">
        <v>20</v>
      </c>
      <c r="C572">
        <v>0</v>
      </c>
      <c r="F572">
        <v>3</v>
      </c>
      <c r="I572" s="4" t="s">
        <v>5607</v>
      </c>
      <c r="J572" s="4" t="s">
        <v>5608</v>
      </c>
      <c r="K572" s="4" t="s">
        <v>5466</v>
      </c>
      <c r="L572" s="4" t="s">
        <v>3408</v>
      </c>
      <c r="M572">
        <v>23980</v>
      </c>
      <c r="N572" s="4" t="s">
        <v>5609</v>
      </c>
      <c r="O572" s="4" t="s">
        <v>5610</v>
      </c>
      <c r="P572" s="4" t="s">
        <v>811</v>
      </c>
      <c r="Q572" s="9">
        <v>31575</v>
      </c>
      <c r="R572" s="4" t="s">
        <v>973</v>
      </c>
      <c r="S572" s="4" t="s">
        <v>5171</v>
      </c>
      <c r="T572" s="4" t="s">
        <v>47</v>
      </c>
      <c r="U572" s="4" t="s">
        <v>106</v>
      </c>
      <c r="V572">
        <v>1986</v>
      </c>
      <c r="W572" s="4" t="s">
        <v>47</v>
      </c>
      <c r="X572" s="4" t="s">
        <v>5611</v>
      </c>
      <c r="Y572" s="4" t="s">
        <v>47</v>
      </c>
      <c r="Z572" s="4" t="s">
        <v>5612</v>
      </c>
      <c r="AA572" s="4" t="s">
        <v>47</v>
      </c>
      <c r="AB572" s="4" t="s">
        <v>47</v>
      </c>
      <c r="AC572" s="4" t="s">
        <v>47</v>
      </c>
      <c r="AD572" s="4" t="s">
        <v>47</v>
      </c>
      <c r="AE572" s="4" t="s">
        <v>47</v>
      </c>
      <c r="AF572" s="4" t="s">
        <v>47</v>
      </c>
      <c r="AG572" s="4" t="s">
        <v>47</v>
      </c>
      <c r="AH572" s="4" t="s">
        <v>47</v>
      </c>
      <c r="AI572" s="4" t="s">
        <v>47</v>
      </c>
      <c r="AJ572" s="4" t="s">
        <v>47</v>
      </c>
      <c r="AK572" s="4" t="s">
        <v>47</v>
      </c>
      <c r="AL572" s="4" t="s">
        <v>47</v>
      </c>
      <c r="AM572" s="4" t="s">
        <v>47</v>
      </c>
      <c r="AN572" s="4" t="s">
        <v>47</v>
      </c>
      <c r="AO572" s="4" t="s">
        <v>5613</v>
      </c>
      <c r="AP572" s="4" t="s">
        <v>5614</v>
      </c>
      <c r="AQ572" s="4" t="s">
        <v>5615</v>
      </c>
      <c r="AR572" s="4" t="s">
        <v>5616</v>
      </c>
    </row>
    <row r="573" spans="1:44" x14ac:dyDescent="0.2">
      <c r="A573" s="4" t="s">
        <v>258</v>
      </c>
      <c r="B573" s="4" t="s">
        <v>12</v>
      </c>
      <c r="C573">
        <v>0</v>
      </c>
      <c r="F573">
        <v>3</v>
      </c>
      <c r="I573" s="4" t="s">
        <v>5617</v>
      </c>
      <c r="J573" s="4" t="s">
        <v>5618</v>
      </c>
      <c r="K573" s="4" t="s">
        <v>5481</v>
      </c>
      <c r="L573" s="4" t="s">
        <v>5482</v>
      </c>
      <c r="M573">
        <v>51000</v>
      </c>
      <c r="N573" s="4" t="s">
        <v>5440</v>
      </c>
      <c r="O573" s="4" t="s">
        <v>5619</v>
      </c>
      <c r="P573" s="4" t="s">
        <v>811</v>
      </c>
      <c r="Q573" s="9">
        <v>31575</v>
      </c>
      <c r="R573" s="4" t="s">
        <v>973</v>
      </c>
      <c r="S573" s="4" t="s">
        <v>5094</v>
      </c>
      <c r="T573" s="4" t="s">
        <v>47</v>
      </c>
      <c r="U573" s="4" t="s">
        <v>106</v>
      </c>
      <c r="V573">
        <v>1986</v>
      </c>
      <c r="W573" s="4" t="s">
        <v>47</v>
      </c>
      <c r="X573" s="4" t="s">
        <v>5620</v>
      </c>
      <c r="Y573" s="4" t="s">
        <v>47</v>
      </c>
      <c r="Z573" s="4" t="s">
        <v>5621</v>
      </c>
      <c r="AA573" s="4" t="s">
        <v>47</v>
      </c>
      <c r="AB573" s="4" t="s">
        <v>47</v>
      </c>
      <c r="AC573" s="4" t="s">
        <v>47</v>
      </c>
      <c r="AD573" s="4" t="s">
        <v>47</v>
      </c>
      <c r="AE573" s="4" t="s">
        <v>47</v>
      </c>
      <c r="AF573" s="4" t="s">
        <v>47</v>
      </c>
      <c r="AG573" s="4" t="s">
        <v>47</v>
      </c>
      <c r="AH573" s="4" t="s">
        <v>47</v>
      </c>
      <c r="AI573" s="4" t="s">
        <v>47</v>
      </c>
      <c r="AJ573" s="4" t="s">
        <v>47</v>
      </c>
      <c r="AK573" s="4" t="s">
        <v>47</v>
      </c>
      <c r="AL573" s="4" t="s">
        <v>47</v>
      </c>
      <c r="AM573" s="4" t="s">
        <v>47</v>
      </c>
      <c r="AN573" s="4" t="s">
        <v>47</v>
      </c>
      <c r="AO573" s="4" t="s">
        <v>5622</v>
      </c>
      <c r="AP573" s="4" t="s">
        <v>47</v>
      </c>
      <c r="AQ573" s="4" t="s">
        <v>5623</v>
      </c>
      <c r="AR573" s="4" t="s">
        <v>5624</v>
      </c>
    </row>
    <row r="574" spans="1:44" x14ac:dyDescent="0.2">
      <c r="A574" s="4" t="s">
        <v>202</v>
      </c>
      <c r="B574" s="4" t="s">
        <v>148</v>
      </c>
      <c r="C574">
        <v>2</v>
      </c>
      <c r="F574">
        <v>2</v>
      </c>
      <c r="I574" s="4" t="s">
        <v>5509</v>
      </c>
      <c r="J574" s="4" t="s">
        <v>5510</v>
      </c>
      <c r="K574" s="4" t="s">
        <v>5027</v>
      </c>
      <c r="L574" s="4" t="s">
        <v>5028</v>
      </c>
      <c r="M574">
        <v>16000</v>
      </c>
      <c r="N574" s="4" t="s">
        <v>5625</v>
      </c>
      <c r="O574" s="4" t="s">
        <v>5626</v>
      </c>
      <c r="P574" s="4" t="s">
        <v>811</v>
      </c>
      <c r="Q574" s="9">
        <v>31574</v>
      </c>
      <c r="R574" s="4" t="s">
        <v>1487</v>
      </c>
      <c r="S574" s="4" t="s">
        <v>5627</v>
      </c>
      <c r="T574" s="4" t="s">
        <v>47</v>
      </c>
      <c r="U574" s="4" t="s">
        <v>106</v>
      </c>
      <c r="V574">
        <v>1986</v>
      </c>
      <c r="W574" s="4" t="s">
        <v>5628</v>
      </c>
      <c r="X574" s="4" t="s">
        <v>5629</v>
      </c>
      <c r="Y574" s="4" t="s">
        <v>5630</v>
      </c>
      <c r="Z574" s="4" t="s">
        <v>5631</v>
      </c>
      <c r="AA574" s="4" t="s">
        <v>47</v>
      </c>
      <c r="AB574" s="4" t="s">
        <v>47</v>
      </c>
      <c r="AC574" s="4" t="s">
        <v>47</v>
      </c>
      <c r="AD574" s="4" t="s">
        <v>47</v>
      </c>
      <c r="AE574" s="4" t="s">
        <v>47</v>
      </c>
      <c r="AF574" s="4" t="s">
        <v>47</v>
      </c>
      <c r="AG574" s="4" t="s">
        <v>47</v>
      </c>
      <c r="AH574" s="4" t="s">
        <v>47</v>
      </c>
      <c r="AI574" s="4" t="s">
        <v>47</v>
      </c>
      <c r="AJ574" s="4" t="s">
        <v>47</v>
      </c>
      <c r="AK574" s="4" t="s">
        <v>47</v>
      </c>
      <c r="AL574" s="4" t="s">
        <v>47</v>
      </c>
      <c r="AM574" s="4" t="s">
        <v>47</v>
      </c>
      <c r="AN574" s="4" t="s">
        <v>47</v>
      </c>
      <c r="AO574" s="4" t="s">
        <v>5632</v>
      </c>
      <c r="AP574" s="4" t="s">
        <v>5633</v>
      </c>
      <c r="AQ574" s="4" t="s">
        <v>5634</v>
      </c>
      <c r="AR574" s="4" t="s">
        <v>5635</v>
      </c>
    </row>
    <row r="575" spans="1:44" x14ac:dyDescent="0.2">
      <c r="A575" s="4" t="s">
        <v>232</v>
      </c>
      <c r="B575" s="4" t="s">
        <v>106</v>
      </c>
      <c r="C575">
        <v>0</v>
      </c>
      <c r="F575">
        <v>1</v>
      </c>
      <c r="I575" s="4" t="s">
        <v>5636</v>
      </c>
      <c r="J575" s="4" t="s">
        <v>5637</v>
      </c>
      <c r="K575" s="4" t="s">
        <v>4523</v>
      </c>
      <c r="L575" s="4" t="s">
        <v>5495</v>
      </c>
      <c r="M575">
        <v>103763</v>
      </c>
      <c r="N575" s="4" t="s">
        <v>5417</v>
      </c>
      <c r="O575" s="4" t="s">
        <v>5638</v>
      </c>
      <c r="P575" s="4" t="s">
        <v>811</v>
      </c>
      <c r="Q575" s="9">
        <v>31574</v>
      </c>
      <c r="R575" s="4" t="s">
        <v>963</v>
      </c>
      <c r="S575" s="4" t="s">
        <v>5143</v>
      </c>
      <c r="T575" s="4" t="s">
        <v>47</v>
      </c>
      <c r="U575" s="4" t="s">
        <v>106</v>
      </c>
      <c r="V575">
        <v>1986</v>
      </c>
      <c r="W575" s="4" t="s">
        <v>47</v>
      </c>
      <c r="X575" s="4" t="s">
        <v>5639</v>
      </c>
      <c r="Y575" s="4" t="s">
        <v>47</v>
      </c>
      <c r="Z575" s="4" t="s">
        <v>5640</v>
      </c>
      <c r="AA575" s="4" t="s">
        <v>47</v>
      </c>
      <c r="AB575" s="4" t="s">
        <v>47</v>
      </c>
      <c r="AC575" s="4" t="s">
        <v>47</v>
      </c>
      <c r="AD575" s="4" t="s">
        <v>47</v>
      </c>
      <c r="AE575" s="4" t="s">
        <v>47</v>
      </c>
      <c r="AF575" s="4" t="s">
        <v>47</v>
      </c>
      <c r="AG575" s="4" t="s">
        <v>47</v>
      </c>
      <c r="AH575" s="4" t="s">
        <v>47</v>
      </c>
      <c r="AI575" s="4" t="s">
        <v>47</v>
      </c>
      <c r="AJ575" s="4" t="s">
        <v>47</v>
      </c>
      <c r="AK575" s="4" t="s">
        <v>47</v>
      </c>
      <c r="AL575" s="4" t="s">
        <v>47</v>
      </c>
      <c r="AM575" s="4" t="s">
        <v>47</v>
      </c>
      <c r="AN575" s="4" t="s">
        <v>47</v>
      </c>
      <c r="AO575" s="4" t="s">
        <v>5641</v>
      </c>
      <c r="AP575" s="4" t="s">
        <v>47</v>
      </c>
      <c r="AQ575" s="4" t="s">
        <v>5642</v>
      </c>
      <c r="AR575" s="4" t="s">
        <v>5643</v>
      </c>
    </row>
    <row r="576" spans="1:44" x14ac:dyDescent="0.2">
      <c r="A576" s="4" t="s">
        <v>52</v>
      </c>
      <c r="B576" s="4" t="s">
        <v>195</v>
      </c>
      <c r="C576">
        <v>3</v>
      </c>
      <c r="F576">
        <v>0</v>
      </c>
      <c r="I576" s="4" t="s">
        <v>4925</v>
      </c>
      <c r="J576" s="4" t="s">
        <v>4926</v>
      </c>
      <c r="K576" s="4" t="s">
        <v>5548</v>
      </c>
      <c r="L576" s="4" t="s">
        <v>5549</v>
      </c>
      <c r="M576">
        <v>22700</v>
      </c>
      <c r="N576" s="4" t="s">
        <v>5609</v>
      </c>
      <c r="O576" s="4" t="s">
        <v>5644</v>
      </c>
      <c r="P576" s="4" t="s">
        <v>811</v>
      </c>
      <c r="Q576" s="9">
        <v>31574</v>
      </c>
      <c r="R576" s="4" t="s">
        <v>638</v>
      </c>
      <c r="S576" s="4" t="s">
        <v>5645</v>
      </c>
      <c r="T576" s="4" t="s">
        <v>47</v>
      </c>
      <c r="U576" s="4" t="s">
        <v>106</v>
      </c>
      <c r="V576">
        <v>1986</v>
      </c>
      <c r="W576" s="4" t="s">
        <v>5646</v>
      </c>
      <c r="X576" s="4" t="s">
        <v>47</v>
      </c>
      <c r="Y576" s="4" t="s">
        <v>5647</v>
      </c>
      <c r="Z576" s="4" t="s">
        <v>47</v>
      </c>
      <c r="AA576" s="4" t="s">
        <v>47</v>
      </c>
      <c r="AB576" s="4" t="s">
        <v>47</v>
      </c>
      <c r="AC576" s="4" t="s">
        <v>47</v>
      </c>
      <c r="AD576" s="4" t="s">
        <v>47</v>
      </c>
      <c r="AE576" s="4" t="s">
        <v>47</v>
      </c>
      <c r="AF576" s="4" t="s">
        <v>47</v>
      </c>
      <c r="AG576" s="4" t="s">
        <v>47</v>
      </c>
      <c r="AH576" s="4" t="s">
        <v>47</v>
      </c>
      <c r="AI576" s="4" t="s">
        <v>47</v>
      </c>
      <c r="AJ576" s="4" t="s">
        <v>47</v>
      </c>
      <c r="AK576" s="4" t="s">
        <v>47</v>
      </c>
      <c r="AL576" s="4" t="s">
        <v>47</v>
      </c>
      <c r="AM576" s="4" t="s">
        <v>47</v>
      </c>
      <c r="AN576" s="4" t="s">
        <v>47</v>
      </c>
      <c r="AO576" s="4" t="s">
        <v>5648</v>
      </c>
      <c r="AP576" s="4" t="s">
        <v>47</v>
      </c>
      <c r="AQ576" s="4" t="s">
        <v>5649</v>
      </c>
      <c r="AR576" s="4" t="s">
        <v>5650</v>
      </c>
    </row>
    <row r="577" spans="1:44" x14ac:dyDescent="0.2">
      <c r="A577" s="4" t="s">
        <v>141</v>
      </c>
      <c r="B577" s="4" t="s">
        <v>144</v>
      </c>
      <c r="C577">
        <v>1</v>
      </c>
      <c r="F577">
        <v>3</v>
      </c>
      <c r="I577" s="4" t="s">
        <v>5651</v>
      </c>
      <c r="J577" s="4" t="s">
        <v>5652</v>
      </c>
      <c r="K577" s="4" t="s">
        <v>5541</v>
      </c>
      <c r="L577" s="4" t="s">
        <v>5542</v>
      </c>
      <c r="M577">
        <v>28000</v>
      </c>
      <c r="N577" s="4" t="s">
        <v>5653</v>
      </c>
      <c r="O577" s="4" t="s">
        <v>5654</v>
      </c>
      <c r="P577" s="4" t="s">
        <v>811</v>
      </c>
      <c r="Q577" s="9">
        <v>31574</v>
      </c>
      <c r="R577" s="4" t="s">
        <v>1098</v>
      </c>
      <c r="S577" s="4" t="s">
        <v>5161</v>
      </c>
      <c r="T577" s="4" t="s">
        <v>47</v>
      </c>
      <c r="U577" s="4" t="s">
        <v>106</v>
      </c>
      <c r="V577">
        <v>1986</v>
      </c>
      <c r="W577" s="4" t="s">
        <v>5655</v>
      </c>
      <c r="X577" s="4" t="s">
        <v>5656</v>
      </c>
      <c r="Y577" s="4" t="s">
        <v>5657</v>
      </c>
      <c r="Z577" s="4" t="s">
        <v>5658</v>
      </c>
      <c r="AA577" s="4" t="s">
        <v>47</v>
      </c>
      <c r="AB577" s="4" t="s">
        <v>47</v>
      </c>
      <c r="AC577" s="4" t="s">
        <v>47</v>
      </c>
      <c r="AD577" s="4" t="s">
        <v>47</v>
      </c>
      <c r="AE577" s="4" t="s">
        <v>47</v>
      </c>
      <c r="AF577" s="4" t="s">
        <v>47</v>
      </c>
      <c r="AG577" s="4" t="s">
        <v>47</v>
      </c>
      <c r="AH577" s="4" t="s">
        <v>47</v>
      </c>
      <c r="AI577" s="4" t="s">
        <v>47</v>
      </c>
      <c r="AJ577" s="4" t="s">
        <v>47</v>
      </c>
      <c r="AK577" s="4" t="s">
        <v>47</v>
      </c>
      <c r="AL577" s="4" t="s">
        <v>47</v>
      </c>
      <c r="AM577" s="4" t="s">
        <v>47</v>
      </c>
      <c r="AN577" s="4" t="s">
        <v>47</v>
      </c>
      <c r="AO577" s="4" t="s">
        <v>5659</v>
      </c>
      <c r="AP577" s="4" t="s">
        <v>47</v>
      </c>
      <c r="AQ577" s="4" t="s">
        <v>5660</v>
      </c>
      <c r="AR577" s="4" t="s">
        <v>5661</v>
      </c>
    </row>
    <row r="578" spans="1:44" x14ac:dyDescent="0.2">
      <c r="A578" s="4" t="s">
        <v>26</v>
      </c>
      <c r="B578" s="4" t="s">
        <v>293</v>
      </c>
      <c r="C578">
        <v>2</v>
      </c>
      <c r="F578">
        <v>0</v>
      </c>
      <c r="I578" s="4" t="s">
        <v>4913</v>
      </c>
      <c r="J578" s="4" t="s">
        <v>2446</v>
      </c>
      <c r="K578" s="4" t="s">
        <v>5568</v>
      </c>
      <c r="L578" s="4" t="s">
        <v>5569</v>
      </c>
      <c r="M578">
        <v>65000</v>
      </c>
      <c r="N578" s="4" t="s">
        <v>5532</v>
      </c>
      <c r="O578" s="4" t="s">
        <v>5662</v>
      </c>
      <c r="P578" s="4" t="s">
        <v>811</v>
      </c>
      <c r="Q578" s="9">
        <v>31573</v>
      </c>
      <c r="R578" s="4" t="s">
        <v>630</v>
      </c>
      <c r="S578" s="4" t="s">
        <v>5663</v>
      </c>
      <c r="T578" s="4" t="s">
        <v>47</v>
      </c>
      <c r="U578" s="4" t="s">
        <v>106</v>
      </c>
      <c r="V578">
        <v>1986</v>
      </c>
      <c r="W578" s="4" t="s">
        <v>5664</v>
      </c>
      <c r="X578" s="4" t="s">
        <v>47</v>
      </c>
      <c r="Y578" s="4" t="s">
        <v>5665</v>
      </c>
      <c r="Z578" s="4" t="s">
        <v>47</v>
      </c>
      <c r="AA578" s="4" t="s">
        <v>47</v>
      </c>
      <c r="AB578" s="4" t="s">
        <v>47</v>
      </c>
      <c r="AC578" s="4" t="s">
        <v>47</v>
      </c>
      <c r="AD578" s="4" t="s">
        <v>47</v>
      </c>
      <c r="AE578" s="4" t="s">
        <v>47</v>
      </c>
      <c r="AF578" s="4" t="s">
        <v>47</v>
      </c>
      <c r="AG578" s="4" t="s">
        <v>47</v>
      </c>
      <c r="AH578" s="4" t="s">
        <v>47</v>
      </c>
      <c r="AI578" s="4" t="s">
        <v>47</v>
      </c>
      <c r="AJ578" s="4" t="s">
        <v>47</v>
      </c>
      <c r="AK578" s="4" t="s">
        <v>47</v>
      </c>
      <c r="AL578" s="4" t="s">
        <v>47</v>
      </c>
      <c r="AM578" s="4" t="s">
        <v>47</v>
      </c>
      <c r="AN578" s="4" t="s">
        <v>47</v>
      </c>
      <c r="AO578" s="4" t="s">
        <v>5666</v>
      </c>
      <c r="AP578" s="4" t="s">
        <v>47</v>
      </c>
      <c r="AQ578" s="4" t="s">
        <v>5667</v>
      </c>
      <c r="AR578" s="4" t="s">
        <v>5668</v>
      </c>
    </row>
    <row r="579" spans="1:44" x14ac:dyDescent="0.2">
      <c r="A579" s="4" t="s">
        <v>175</v>
      </c>
      <c r="B579" s="4" t="s">
        <v>97</v>
      </c>
      <c r="C579">
        <v>2</v>
      </c>
      <c r="F579">
        <v>3</v>
      </c>
      <c r="I579" s="4" t="s">
        <v>5669</v>
      </c>
      <c r="J579" s="4" t="s">
        <v>5670</v>
      </c>
      <c r="K579" s="4" t="s">
        <v>5530</v>
      </c>
      <c r="L579" s="4" t="s">
        <v>5531</v>
      </c>
      <c r="M579">
        <v>20000</v>
      </c>
      <c r="N579" s="4" t="s">
        <v>5429</v>
      </c>
      <c r="O579" s="4" t="s">
        <v>5671</v>
      </c>
      <c r="P579" s="4" t="s">
        <v>811</v>
      </c>
      <c r="Q579" s="9">
        <v>31573</v>
      </c>
      <c r="R579" s="4" t="s">
        <v>847</v>
      </c>
      <c r="S579" s="4" t="s">
        <v>5672</v>
      </c>
      <c r="T579" s="4" t="s">
        <v>47</v>
      </c>
      <c r="U579" s="4" t="s">
        <v>106</v>
      </c>
      <c r="V579">
        <v>1986</v>
      </c>
      <c r="W579" s="4" t="s">
        <v>5673</v>
      </c>
      <c r="X579" s="4" t="s">
        <v>5674</v>
      </c>
      <c r="Y579" s="4" t="s">
        <v>5675</v>
      </c>
      <c r="Z579" s="4" t="s">
        <v>5676</v>
      </c>
      <c r="AA579" s="4" t="s">
        <v>47</v>
      </c>
      <c r="AB579" s="4" t="s">
        <v>5677</v>
      </c>
      <c r="AC579" s="4" t="s">
        <v>47</v>
      </c>
      <c r="AD579" s="4" t="s">
        <v>47</v>
      </c>
      <c r="AE579" s="4" t="s">
        <v>47</v>
      </c>
      <c r="AF579" s="4" t="s">
        <v>47</v>
      </c>
      <c r="AG579" s="4" t="s">
        <v>47</v>
      </c>
      <c r="AH579" s="4" t="s">
        <v>47</v>
      </c>
      <c r="AI579" s="4" t="s">
        <v>47</v>
      </c>
      <c r="AJ579" s="4" t="s">
        <v>47</v>
      </c>
      <c r="AK579" s="4" t="s">
        <v>47</v>
      </c>
      <c r="AL579" s="4" t="s">
        <v>47</v>
      </c>
      <c r="AM579" s="4" t="s">
        <v>47</v>
      </c>
      <c r="AN579" s="4" t="s">
        <v>47</v>
      </c>
      <c r="AO579" s="4" t="s">
        <v>5678</v>
      </c>
      <c r="AP579" s="4" t="s">
        <v>5679</v>
      </c>
      <c r="AQ579" s="4" t="s">
        <v>5680</v>
      </c>
      <c r="AR579" s="4" t="s">
        <v>5681</v>
      </c>
    </row>
    <row r="580" spans="1:44" x14ac:dyDescent="0.2">
      <c r="A580" s="4" t="s">
        <v>5211</v>
      </c>
      <c r="B580" s="4" t="s">
        <v>185</v>
      </c>
      <c r="C580">
        <v>2</v>
      </c>
      <c r="F580">
        <v>0</v>
      </c>
      <c r="I580" s="4" t="s">
        <v>5212</v>
      </c>
      <c r="J580" s="4" t="s">
        <v>2951</v>
      </c>
      <c r="K580" s="4" t="s">
        <v>5682</v>
      </c>
      <c r="L580" s="4" t="s">
        <v>5683</v>
      </c>
      <c r="M580">
        <v>14200</v>
      </c>
      <c r="N580" s="4" t="s">
        <v>5684</v>
      </c>
      <c r="O580" s="4" t="s">
        <v>5685</v>
      </c>
      <c r="P580" s="4" t="s">
        <v>811</v>
      </c>
      <c r="Q580" s="9">
        <v>31572</v>
      </c>
      <c r="R580" s="4" t="s">
        <v>630</v>
      </c>
      <c r="S580" s="4" t="s">
        <v>5686</v>
      </c>
      <c r="T580" s="4" t="s">
        <v>47</v>
      </c>
      <c r="U580" s="4" t="s">
        <v>106</v>
      </c>
      <c r="V580">
        <v>1986</v>
      </c>
      <c r="W580" s="4" t="s">
        <v>5687</v>
      </c>
      <c r="X580" s="4" t="s">
        <v>47</v>
      </c>
      <c r="Y580" s="4" t="s">
        <v>5688</v>
      </c>
      <c r="Z580" s="4" t="s">
        <v>47</v>
      </c>
      <c r="AA580" s="4" t="s">
        <v>47</v>
      </c>
      <c r="AB580" s="4" t="s">
        <v>47</v>
      </c>
      <c r="AC580" s="4" t="s">
        <v>47</v>
      </c>
      <c r="AD580" s="4" t="s">
        <v>47</v>
      </c>
      <c r="AE580" s="4" t="s">
        <v>47</v>
      </c>
      <c r="AF580" s="4" t="s">
        <v>47</v>
      </c>
      <c r="AG580" s="4" t="s">
        <v>47</v>
      </c>
      <c r="AH580" s="4" t="s">
        <v>47</v>
      </c>
      <c r="AI580" s="4" t="s">
        <v>47</v>
      </c>
      <c r="AJ580" s="4" t="s">
        <v>47</v>
      </c>
      <c r="AK580" s="4" t="s">
        <v>47</v>
      </c>
      <c r="AL580" s="4" t="s">
        <v>47</v>
      </c>
      <c r="AM580" s="4" t="s">
        <v>47</v>
      </c>
      <c r="AN580" s="4" t="s">
        <v>47</v>
      </c>
      <c r="AO580" s="4" t="s">
        <v>47</v>
      </c>
      <c r="AP580" s="4" t="s">
        <v>47</v>
      </c>
      <c r="AQ580" s="4" t="s">
        <v>5689</v>
      </c>
      <c r="AR580" s="4" t="s">
        <v>5690</v>
      </c>
    </row>
    <row r="581" spans="1:44" x14ac:dyDescent="0.2">
      <c r="A581" s="4" t="s">
        <v>119</v>
      </c>
      <c r="B581" s="4" t="s">
        <v>87</v>
      </c>
      <c r="C581">
        <v>0</v>
      </c>
      <c r="F581">
        <v>3</v>
      </c>
      <c r="I581" s="4" t="s">
        <v>5691</v>
      </c>
      <c r="J581" s="4" t="s">
        <v>5692</v>
      </c>
      <c r="K581" s="4" t="s">
        <v>3114</v>
      </c>
      <c r="L581" s="4" t="s">
        <v>5439</v>
      </c>
      <c r="M581">
        <v>31420</v>
      </c>
      <c r="N581" s="4" t="s">
        <v>5576</v>
      </c>
      <c r="O581" s="4" t="s">
        <v>5693</v>
      </c>
      <c r="P581" s="4" t="s">
        <v>811</v>
      </c>
      <c r="Q581" s="9">
        <v>31572</v>
      </c>
      <c r="R581" s="4" t="s">
        <v>973</v>
      </c>
      <c r="S581" s="4" t="s">
        <v>5007</v>
      </c>
      <c r="T581" s="4" t="s">
        <v>47</v>
      </c>
      <c r="U581" s="4" t="s">
        <v>106</v>
      </c>
      <c r="V581">
        <v>1986</v>
      </c>
      <c r="W581" s="4" t="s">
        <v>47</v>
      </c>
      <c r="X581" s="4" t="s">
        <v>5694</v>
      </c>
      <c r="Y581" s="4" t="s">
        <v>47</v>
      </c>
      <c r="Z581" s="4" t="s">
        <v>5695</v>
      </c>
      <c r="AA581" s="4" t="s">
        <v>47</v>
      </c>
      <c r="AB581" s="4" t="s">
        <v>47</v>
      </c>
      <c r="AC581" s="4" t="s">
        <v>47</v>
      </c>
      <c r="AD581" s="4" t="s">
        <v>47</v>
      </c>
      <c r="AE581" s="4" t="s">
        <v>47</v>
      </c>
      <c r="AF581" s="4" t="s">
        <v>47</v>
      </c>
      <c r="AG581" s="4" t="s">
        <v>47</v>
      </c>
      <c r="AH581" s="4" t="s">
        <v>47</v>
      </c>
      <c r="AI581" s="4" t="s">
        <v>47</v>
      </c>
      <c r="AJ581" s="4" t="s">
        <v>47</v>
      </c>
      <c r="AK581" s="4" t="s">
        <v>47</v>
      </c>
      <c r="AL581" s="4" t="s">
        <v>47</v>
      </c>
      <c r="AM581" s="4" t="s">
        <v>47</v>
      </c>
      <c r="AN581" s="4" t="s">
        <v>47</v>
      </c>
      <c r="AO581" s="4" t="s">
        <v>47</v>
      </c>
      <c r="AP581" s="4" t="s">
        <v>5696</v>
      </c>
      <c r="AQ581" s="4" t="s">
        <v>5697</v>
      </c>
      <c r="AR581" s="4" t="s">
        <v>5698</v>
      </c>
    </row>
    <row r="582" spans="1:44" x14ac:dyDescent="0.2">
      <c r="A582" s="4" t="s">
        <v>104</v>
      </c>
      <c r="B582" s="4" t="s">
        <v>205</v>
      </c>
      <c r="C582">
        <v>2</v>
      </c>
      <c r="F582">
        <v>1</v>
      </c>
      <c r="I582" s="4" t="s">
        <v>4912</v>
      </c>
      <c r="J582" s="4" t="s">
        <v>5596</v>
      </c>
      <c r="K582" s="4" t="s">
        <v>5587</v>
      </c>
      <c r="L582" s="4" t="s">
        <v>5699</v>
      </c>
      <c r="M582">
        <v>30000</v>
      </c>
      <c r="N582" s="4" t="s">
        <v>5519</v>
      </c>
      <c r="O582" s="4" t="s">
        <v>5700</v>
      </c>
      <c r="P582" s="4" t="s">
        <v>811</v>
      </c>
      <c r="Q582" s="9">
        <v>31571</v>
      </c>
      <c r="R582" s="4" t="s">
        <v>617</v>
      </c>
      <c r="S582" s="4" t="s">
        <v>5484</v>
      </c>
      <c r="T582" s="4" t="s">
        <v>47</v>
      </c>
      <c r="U582" s="4" t="s">
        <v>106</v>
      </c>
      <c r="V582">
        <v>1986</v>
      </c>
      <c r="W582" s="4" t="s">
        <v>5701</v>
      </c>
      <c r="X582" s="4" t="s">
        <v>5702</v>
      </c>
      <c r="Y582" s="4" t="s">
        <v>5703</v>
      </c>
      <c r="Z582" s="4" t="s">
        <v>5704</v>
      </c>
      <c r="AA582" s="4" t="s">
        <v>47</v>
      </c>
      <c r="AB582" s="4" t="s">
        <v>47</v>
      </c>
      <c r="AC582" s="4" t="s">
        <v>47</v>
      </c>
      <c r="AD582" s="4" t="s">
        <v>47</v>
      </c>
      <c r="AE582" s="4" t="s">
        <v>47</v>
      </c>
      <c r="AF582" s="4" t="s">
        <v>47</v>
      </c>
      <c r="AG582" s="4" t="s">
        <v>47</v>
      </c>
      <c r="AH582" s="4" t="s">
        <v>47</v>
      </c>
      <c r="AI582" s="4" t="s">
        <v>47</v>
      </c>
      <c r="AJ582" s="4" t="s">
        <v>47</v>
      </c>
      <c r="AK582" s="4" t="s">
        <v>47</v>
      </c>
      <c r="AL582" s="4" t="s">
        <v>47</v>
      </c>
      <c r="AM582" s="4" t="s">
        <v>47</v>
      </c>
      <c r="AN582" s="4" t="s">
        <v>47</v>
      </c>
      <c r="AO582" s="4" t="s">
        <v>47</v>
      </c>
      <c r="AP582" s="4" t="s">
        <v>5705</v>
      </c>
      <c r="AQ582" s="4" t="s">
        <v>5706</v>
      </c>
      <c r="AR582" s="4" t="s">
        <v>5707</v>
      </c>
    </row>
    <row r="583" spans="1:44" x14ac:dyDescent="0.2">
      <c r="A583" s="4" t="s">
        <v>232</v>
      </c>
      <c r="B583" s="4" t="s">
        <v>148</v>
      </c>
      <c r="C583">
        <v>1</v>
      </c>
      <c r="F583">
        <v>2</v>
      </c>
      <c r="I583" s="4" t="s">
        <v>5636</v>
      </c>
      <c r="J583" s="4" t="s">
        <v>5708</v>
      </c>
      <c r="K583" s="4" t="s">
        <v>5027</v>
      </c>
      <c r="L583" s="4" t="s">
        <v>5028</v>
      </c>
      <c r="M583">
        <v>20000</v>
      </c>
      <c r="N583" s="4" t="s">
        <v>5625</v>
      </c>
      <c r="O583" s="4" t="s">
        <v>5709</v>
      </c>
      <c r="P583" s="4" t="s">
        <v>811</v>
      </c>
      <c r="Q583" s="9">
        <v>31571</v>
      </c>
      <c r="R583" s="4" t="s">
        <v>664</v>
      </c>
      <c r="S583" s="4" t="s">
        <v>5499</v>
      </c>
      <c r="T583" s="4" t="s">
        <v>47</v>
      </c>
      <c r="U583" s="4" t="s">
        <v>106</v>
      </c>
      <c r="V583">
        <v>1986</v>
      </c>
      <c r="W583" s="4" t="s">
        <v>5710</v>
      </c>
      <c r="X583" s="4" t="s">
        <v>5711</v>
      </c>
      <c r="Y583" s="4" t="s">
        <v>5712</v>
      </c>
      <c r="Z583" s="4" t="s">
        <v>5713</v>
      </c>
      <c r="AA583" s="4" t="s">
        <v>47</v>
      </c>
      <c r="AB583" s="4" t="s">
        <v>47</v>
      </c>
      <c r="AC583" s="4" t="s">
        <v>47</v>
      </c>
      <c r="AD583" s="4" t="s">
        <v>5714</v>
      </c>
      <c r="AE583" s="4" t="s">
        <v>47</v>
      </c>
      <c r="AF583" s="4" t="s">
        <v>47</v>
      </c>
      <c r="AG583" s="4" t="s">
        <v>47</v>
      </c>
      <c r="AH583" s="4" t="s">
        <v>47</v>
      </c>
      <c r="AI583" s="4" t="s">
        <v>47</v>
      </c>
      <c r="AJ583" s="4" t="s">
        <v>47</v>
      </c>
      <c r="AK583" s="4" t="s">
        <v>47</v>
      </c>
      <c r="AL583" s="4" t="s">
        <v>47</v>
      </c>
      <c r="AM583" s="4" t="s">
        <v>5715</v>
      </c>
      <c r="AN583" s="4" t="s">
        <v>47</v>
      </c>
      <c r="AO583" s="4" t="s">
        <v>5716</v>
      </c>
      <c r="AP583" s="4" t="s">
        <v>5717</v>
      </c>
      <c r="AQ583" s="4" t="s">
        <v>5718</v>
      </c>
      <c r="AR583" s="4" t="s">
        <v>5719</v>
      </c>
    </row>
    <row r="584" spans="1:44" x14ac:dyDescent="0.2">
      <c r="A584" s="4" t="s">
        <v>167</v>
      </c>
      <c r="B584" s="4" t="s">
        <v>121</v>
      </c>
      <c r="C584">
        <v>6</v>
      </c>
      <c r="F584">
        <v>1</v>
      </c>
      <c r="I584" s="4" t="s">
        <v>5518</v>
      </c>
      <c r="J584" s="4" t="s">
        <v>2591</v>
      </c>
      <c r="K584" s="4" t="s">
        <v>5559</v>
      </c>
      <c r="L584" s="4" t="s">
        <v>5720</v>
      </c>
      <c r="M584">
        <v>26500</v>
      </c>
      <c r="N584" s="4" t="s">
        <v>5589</v>
      </c>
      <c r="O584" s="4" t="s">
        <v>5721</v>
      </c>
      <c r="P584" s="4" t="s">
        <v>811</v>
      </c>
      <c r="Q584" s="9">
        <v>31571</v>
      </c>
      <c r="R584" s="4" t="s">
        <v>728</v>
      </c>
      <c r="S584" s="4" t="s">
        <v>5449</v>
      </c>
      <c r="T584" s="4" t="s">
        <v>47</v>
      </c>
      <c r="U584" s="4" t="s">
        <v>106</v>
      </c>
      <c r="V584">
        <v>1986</v>
      </c>
      <c r="W584" s="4" t="s">
        <v>5722</v>
      </c>
      <c r="X584" s="4" t="s">
        <v>47</v>
      </c>
      <c r="Y584" s="4" t="s">
        <v>5723</v>
      </c>
      <c r="Z584" s="4" t="s">
        <v>47</v>
      </c>
      <c r="AA584" s="4" t="s">
        <v>47</v>
      </c>
      <c r="AB584" s="4" t="s">
        <v>47</v>
      </c>
      <c r="AC584" s="4" t="s">
        <v>47</v>
      </c>
      <c r="AD584" s="4" t="s">
        <v>5724</v>
      </c>
      <c r="AE584" s="4" t="s">
        <v>47</v>
      </c>
      <c r="AF584" s="4" t="s">
        <v>47</v>
      </c>
      <c r="AG584" s="4" t="s">
        <v>47</v>
      </c>
      <c r="AH584" s="4" t="s">
        <v>47</v>
      </c>
      <c r="AI584" s="4" t="s">
        <v>47</v>
      </c>
      <c r="AJ584" s="4" t="s">
        <v>47</v>
      </c>
      <c r="AK584" s="4" t="s">
        <v>47</v>
      </c>
      <c r="AL584" s="4" t="s">
        <v>5725</v>
      </c>
      <c r="AM584" s="4" t="s">
        <v>47</v>
      </c>
      <c r="AN584" s="4" t="s">
        <v>47</v>
      </c>
      <c r="AO584" s="4" t="s">
        <v>5726</v>
      </c>
      <c r="AP584" s="4" t="s">
        <v>5727</v>
      </c>
      <c r="AQ584" s="4" t="s">
        <v>5728</v>
      </c>
      <c r="AR584" s="4" t="s">
        <v>5729</v>
      </c>
    </row>
    <row r="585" spans="1:44" x14ac:dyDescent="0.2">
      <c r="A585" s="4" t="s">
        <v>106</v>
      </c>
      <c r="B585" s="4" t="s">
        <v>202</v>
      </c>
      <c r="C585">
        <v>1</v>
      </c>
      <c r="F585">
        <v>1</v>
      </c>
      <c r="I585" s="4" t="s">
        <v>4523</v>
      </c>
      <c r="J585" s="4" t="s">
        <v>5495</v>
      </c>
      <c r="K585" s="4" t="s">
        <v>5509</v>
      </c>
      <c r="L585" s="4" t="s">
        <v>5510</v>
      </c>
      <c r="M585">
        <v>114600</v>
      </c>
      <c r="N585" s="4" t="s">
        <v>5417</v>
      </c>
      <c r="O585" s="4" t="s">
        <v>5730</v>
      </c>
      <c r="P585" s="4" t="s">
        <v>811</v>
      </c>
      <c r="Q585" s="9">
        <v>31570</v>
      </c>
      <c r="R585" s="4" t="s">
        <v>1046</v>
      </c>
      <c r="S585" s="4" t="s">
        <v>5053</v>
      </c>
      <c r="T585" s="4" t="s">
        <v>47</v>
      </c>
      <c r="U585" s="4" t="s">
        <v>106</v>
      </c>
      <c r="V585">
        <v>1986</v>
      </c>
      <c r="W585" s="4" t="s">
        <v>5731</v>
      </c>
      <c r="X585" s="4" t="s">
        <v>5732</v>
      </c>
      <c r="Y585" s="4" t="s">
        <v>5733</v>
      </c>
      <c r="Z585" s="4" t="s">
        <v>5734</v>
      </c>
      <c r="AA585" s="4" t="s">
        <v>47</v>
      </c>
      <c r="AB585" s="4" t="s">
        <v>47</v>
      </c>
      <c r="AC585" s="4" t="s">
        <v>47</v>
      </c>
      <c r="AD585" s="4" t="s">
        <v>47</v>
      </c>
      <c r="AE585" s="4" t="s">
        <v>47</v>
      </c>
      <c r="AF585" s="4" t="s">
        <v>47</v>
      </c>
      <c r="AG585" s="4" t="s">
        <v>47</v>
      </c>
      <c r="AH585" s="4" t="s">
        <v>47</v>
      </c>
      <c r="AI585" s="4" t="s">
        <v>47</v>
      </c>
      <c r="AJ585" s="4" t="s">
        <v>47</v>
      </c>
      <c r="AK585" s="4" t="s">
        <v>47</v>
      </c>
      <c r="AL585" s="4" t="s">
        <v>47</v>
      </c>
      <c r="AM585" s="4" t="s">
        <v>47</v>
      </c>
      <c r="AN585" s="4" t="s">
        <v>47</v>
      </c>
      <c r="AO585" s="4" t="s">
        <v>5735</v>
      </c>
      <c r="AP585" s="4" t="s">
        <v>5736</v>
      </c>
      <c r="AQ585" s="4" t="s">
        <v>5737</v>
      </c>
      <c r="AR585" s="4" t="s">
        <v>5738</v>
      </c>
    </row>
    <row r="586" spans="1:44" x14ac:dyDescent="0.2">
      <c r="A586" s="4" t="s">
        <v>258</v>
      </c>
      <c r="B586" s="4" t="s">
        <v>20</v>
      </c>
      <c r="C586">
        <v>1</v>
      </c>
      <c r="F586">
        <v>2</v>
      </c>
      <c r="I586" s="4" t="s">
        <v>5617</v>
      </c>
      <c r="J586" s="4" t="s">
        <v>5618</v>
      </c>
      <c r="K586" s="4" t="s">
        <v>5466</v>
      </c>
      <c r="L586" s="4" t="s">
        <v>3408</v>
      </c>
      <c r="M586">
        <v>28000</v>
      </c>
      <c r="N586" s="4" t="s">
        <v>5653</v>
      </c>
      <c r="O586" s="4" t="s">
        <v>5739</v>
      </c>
      <c r="P586" s="4" t="s">
        <v>811</v>
      </c>
      <c r="Q586" s="9">
        <v>31570</v>
      </c>
      <c r="R586" s="4" t="s">
        <v>664</v>
      </c>
      <c r="S586" s="4" t="s">
        <v>5740</v>
      </c>
      <c r="T586" s="4" t="s">
        <v>47</v>
      </c>
      <c r="U586" s="4" t="s">
        <v>106</v>
      </c>
      <c r="V586">
        <v>1986</v>
      </c>
      <c r="W586" s="4" t="s">
        <v>5741</v>
      </c>
      <c r="X586" s="4" t="s">
        <v>5742</v>
      </c>
      <c r="Y586" s="4" t="s">
        <v>5743</v>
      </c>
      <c r="Z586" s="4" t="s">
        <v>5744</v>
      </c>
      <c r="AA586" s="4" t="s">
        <v>47</v>
      </c>
      <c r="AB586" s="4" t="s">
        <v>47</v>
      </c>
      <c r="AC586" s="4" t="s">
        <v>47</v>
      </c>
      <c r="AD586" s="4" t="s">
        <v>47</v>
      </c>
      <c r="AE586" s="4" t="s">
        <v>47</v>
      </c>
      <c r="AF586" s="4" t="s">
        <v>47</v>
      </c>
      <c r="AG586" s="4" t="s">
        <v>47</v>
      </c>
      <c r="AH586" s="4" t="s">
        <v>47</v>
      </c>
      <c r="AI586" s="4" t="s">
        <v>47</v>
      </c>
      <c r="AJ586" s="4" t="s">
        <v>47</v>
      </c>
      <c r="AK586" s="4" t="s">
        <v>47</v>
      </c>
      <c r="AL586" s="4" t="s">
        <v>47</v>
      </c>
      <c r="AM586" s="4" t="s">
        <v>47</v>
      </c>
      <c r="AN586" s="4" t="s">
        <v>47</v>
      </c>
      <c r="AO586" s="4" t="s">
        <v>5745</v>
      </c>
      <c r="AP586" s="4" t="s">
        <v>5746</v>
      </c>
      <c r="AQ586" s="4" t="s">
        <v>5747</v>
      </c>
      <c r="AR586" s="4" t="s">
        <v>5748</v>
      </c>
    </row>
    <row r="587" spans="1:44" x14ac:dyDescent="0.2">
      <c r="A587" s="4" t="s">
        <v>195</v>
      </c>
      <c r="B587" s="4" t="s">
        <v>141</v>
      </c>
      <c r="C587">
        <v>1</v>
      </c>
      <c r="F587">
        <v>0</v>
      </c>
      <c r="I587" s="4" t="s">
        <v>5548</v>
      </c>
      <c r="J587" s="4" t="s">
        <v>5549</v>
      </c>
      <c r="K587" s="4" t="s">
        <v>5651</v>
      </c>
      <c r="L587" s="4" t="s">
        <v>5652</v>
      </c>
      <c r="M587">
        <v>19915</v>
      </c>
      <c r="N587" s="4" t="s">
        <v>5496</v>
      </c>
      <c r="O587" s="4" t="s">
        <v>5749</v>
      </c>
      <c r="P587" s="4" t="s">
        <v>811</v>
      </c>
      <c r="Q587" s="9">
        <v>31570</v>
      </c>
      <c r="R587" s="4" t="s">
        <v>652</v>
      </c>
      <c r="S587" s="4" t="s">
        <v>5457</v>
      </c>
      <c r="T587" s="4" t="s">
        <v>47</v>
      </c>
      <c r="U587" s="4" t="s">
        <v>106</v>
      </c>
      <c r="V587">
        <v>1986</v>
      </c>
      <c r="W587" s="4" t="s">
        <v>5750</v>
      </c>
      <c r="X587" s="4" t="s">
        <v>47</v>
      </c>
      <c r="Y587" s="4" t="s">
        <v>5751</v>
      </c>
      <c r="Z587" s="4" t="s">
        <v>47</v>
      </c>
      <c r="AA587" s="4" t="s">
        <v>47</v>
      </c>
      <c r="AB587" s="4" t="s">
        <v>47</v>
      </c>
      <c r="AC587" s="4" t="s">
        <v>47</v>
      </c>
      <c r="AD587" s="4" t="s">
        <v>47</v>
      </c>
      <c r="AE587" s="4" t="s">
        <v>47</v>
      </c>
      <c r="AF587" s="4" t="s">
        <v>47</v>
      </c>
      <c r="AG587" s="4" t="s">
        <v>47</v>
      </c>
      <c r="AH587" s="4" t="s">
        <v>47</v>
      </c>
      <c r="AI587" s="4" t="s">
        <v>47</v>
      </c>
      <c r="AJ587" s="4" t="s">
        <v>47</v>
      </c>
      <c r="AK587" s="4" t="s">
        <v>47</v>
      </c>
      <c r="AL587" s="4" t="s">
        <v>47</v>
      </c>
      <c r="AM587" s="4" t="s">
        <v>47</v>
      </c>
      <c r="AN587" s="4" t="s">
        <v>47</v>
      </c>
      <c r="AO587" s="4" t="s">
        <v>5752</v>
      </c>
      <c r="AP587" s="4" t="s">
        <v>47</v>
      </c>
      <c r="AQ587" s="4" t="s">
        <v>5753</v>
      </c>
      <c r="AR587" s="4" t="s">
        <v>5754</v>
      </c>
    </row>
    <row r="588" spans="1:44" x14ac:dyDescent="0.2">
      <c r="A588" s="4" t="s">
        <v>12</v>
      </c>
      <c r="B588" s="4" t="s">
        <v>181</v>
      </c>
      <c r="C588">
        <v>1</v>
      </c>
      <c r="F588">
        <v>0</v>
      </c>
      <c r="I588" s="4" t="s">
        <v>5481</v>
      </c>
      <c r="J588" s="4" t="s">
        <v>5482</v>
      </c>
      <c r="K588" s="4" t="s">
        <v>5607</v>
      </c>
      <c r="L588" s="4" t="s">
        <v>5608</v>
      </c>
      <c r="M588">
        <v>48000</v>
      </c>
      <c r="N588" s="4" t="s">
        <v>5440</v>
      </c>
      <c r="O588" s="4" t="s">
        <v>5755</v>
      </c>
      <c r="P588" s="4" t="s">
        <v>811</v>
      </c>
      <c r="Q588" s="9">
        <v>31569</v>
      </c>
      <c r="R588" s="4" t="s">
        <v>652</v>
      </c>
      <c r="S588" s="4" t="s">
        <v>5756</v>
      </c>
      <c r="T588" s="4" t="s">
        <v>47</v>
      </c>
      <c r="U588" s="4" t="s">
        <v>106</v>
      </c>
      <c r="V588">
        <v>1986</v>
      </c>
      <c r="W588" s="4" t="s">
        <v>5757</v>
      </c>
      <c r="X588" s="4" t="s">
        <v>47</v>
      </c>
      <c r="Y588" s="4" t="s">
        <v>5758</v>
      </c>
      <c r="Z588" s="4" t="s">
        <v>47</v>
      </c>
      <c r="AA588" s="4" t="s">
        <v>47</v>
      </c>
      <c r="AB588" s="4" t="s">
        <v>47</v>
      </c>
      <c r="AC588" s="4" t="s">
        <v>47</v>
      </c>
      <c r="AD588" s="4" t="s">
        <v>47</v>
      </c>
      <c r="AE588" s="4" t="s">
        <v>47</v>
      </c>
      <c r="AF588" s="4" t="s">
        <v>47</v>
      </c>
      <c r="AG588" s="4" t="s">
        <v>47</v>
      </c>
      <c r="AH588" s="4" t="s">
        <v>47</v>
      </c>
      <c r="AI588" s="4" t="s">
        <v>47</v>
      </c>
      <c r="AJ588" s="4" t="s">
        <v>47</v>
      </c>
      <c r="AK588" s="4" t="s">
        <v>47</v>
      </c>
      <c r="AL588" s="4" t="s">
        <v>47</v>
      </c>
      <c r="AM588" s="4" t="s">
        <v>47</v>
      </c>
      <c r="AN588" s="4" t="s">
        <v>47</v>
      </c>
      <c r="AO588" s="4" t="s">
        <v>47</v>
      </c>
      <c r="AP588" s="4" t="s">
        <v>47</v>
      </c>
      <c r="AQ588" s="4" t="s">
        <v>5759</v>
      </c>
      <c r="AR588" s="4" t="s">
        <v>5760</v>
      </c>
    </row>
    <row r="589" spans="1:44" x14ac:dyDescent="0.2">
      <c r="A589" s="4" t="s">
        <v>119</v>
      </c>
      <c r="B589" s="4" t="s">
        <v>185</v>
      </c>
      <c r="C589">
        <v>2</v>
      </c>
      <c r="F589">
        <v>0</v>
      </c>
      <c r="I589" s="4" t="s">
        <v>5691</v>
      </c>
      <c r="J589" s="4" t="s">
        <v>5761</v>
      </c>
      <c r="K589" s="4" t="s">
        <v>5682</v>
      </c>
      <c r="L589" s="4" t="s">
        <v>5683</v>
      </c>
      <c r="M589">
        <v>13800</v>
      </c>
      <c r="N589" s="4" t="s">
        <v>5684</v>
      </c>
      <c r="O589" s="4" t="s">
        <v>5762</v>
      </c>
      <c r="P589" s="4" t="s">
        <v>811</v>
      </c>
      <c r="Q589" s="9">
        <v>31569</v>
      </c>
      <c r="R589" s="4" t="s">
        <v>630</v>
      </c>
      <c r="S589" s="4" t="s">
        <v>4499</v>
      </c>
      <c r="T589" s="4" t="s">
        <v>47</v>
      </c>
      <c r="U589" s="4" t="s">
        <v>106</v>
      </c>
      <c r="V589">
        <v>1986</v>
      </c>
      <c r="W589" s="4" t="s">
        <v>5763</v>
      </c>
      <c r="X589" s="4" t="s">
        <v>47</v>
      </c>
      <c r="Y589" s="4" t="s">
        <v>5764</v>
      </c>
      <c r="Z589" s="4" t="s">
        <v>47</v>
      </c>
      <c r="AA589" s="4" t="s">
        <v>47</v>
      </c>
      <c r="AB589" s="4" t="s">
        <v>47</v>
      </c>
      <c r="AC589" s="4" t="s">
        <v>47</v>
      </c>
      <c r="AD589" s="4" t="s">
        <v>47</v>
      </c>
      <c r="AE589" s="4" t="s">
        <v>47</v>
      </c>
      <c r="AF589" s="4" t="s">
        <v>47</v>
      </c>
      <c r="AG589" s="4" t="s">
        <v>47</v>
      </c>
      <c r="AH589" s="4" t="s">
        <v>47</v>
      </c>
      <c r="AI589" s="4" t="s">
        <v>47</v>
      </c>
      <c r="AJ589" s="4" t="s">
        <v>47</v>
      </c>
      <c r="AK589" s="4" t="s">
        <v>47</v>
      </c>
      <c r="AL589" s="4" t="s">
        <v>5765</v>
      </c>
      <c r="AM589" s="4" t="s">
        <v>47</v>
      </c>
      <c r="AN589" s="4" t="s">
        <v>47</v>
      </c>
      <c r="AO589" s="4" t="s">
        <v>47</v>
      </c>
      <c r="AP589" s="4" t="s">
        <v>5766</v>
      </c>
      <c r="AQ589" s="4" t="s">
        <v>5767</v>
      </c>
      <c r="AR589" s="4" t="s">
        <v>5768</v>
      </c>
    </row>
    <row r="590" spans="1:44" x14ac:dyDescent="0.2">
      <c r="A590" s="4" t="s">
        <v>52</v>
      </c>
      <c r="B590" s="4" t="s">
        <v>144</v>
      </c>
      <c r="C590">
        <v>0</v>
      </c>
      <c r="F590">
        <v>0</v>
      </c>
      <c r="I590" s="4" t="s">
        <v>4925</v>
      </c>
      <c r="J590" s="4" t="s">
        <v>5255</v>
      </c>
      <c r="K590" s="4" t="s">
        <v>5541</v>
      </c>
      <c r="L590" s="4" t="s">
        <v>5542</v>
      </c>
      <c r="M590">
        <v>20200</v>
      </c>
      <c r="N590" s="4" t="s">
        <v>5609</v>
      </c>
      <c r="O590" s="4" t="s">
        <v>5769</v>
      </c>
      <c r="P590" s="4" t="s">
        <v>811</v>
      </c>
      <c r="Q590" s="9">
        <v>31569</v>
      </c>
      <c r="R590" s="4" t="s">
        <v>869</v>
      </c>
      <c r="S590" s="4" t="s">
        <v>5770</v>
      </c>
      <c r="T590" s="4" t="s">
        <v>47</v>
      </c>
      <c r="U590" s="4" t="s">
        <v>106</v>
      </c>
      <c r="V590">
        <v>1986</v>
      </c>
      <c r="W590" s="4" t="s">
        <v>47</v>
      </c>
      <c r="X590" s="4" t="s">
        <v>47</v>
      </c>
      <c r="Y590" s="4" t="s">
        <v>47</v>
      </c>
      <c r="Z590" s="4" t="s">
        <v>47</v>
      </c>
      <c r="AA590" s="4" t="s">
        <v>47</v>
      </c>
      <c r="AB590" s="4" t="s">
        <v>47</v>
      </c>
      <c r="AC590" s="4" t="s">
        <v>47</v>
      </c>
      <c r="AD590" s="4" t="s">
        <v>47</v>
      </c>
      <c r="AE590" s="4" t="s">
        <v>47</v>
      </c>
      <c r="AF590" s="4" t="s">
        <v>47</v>
      </c>
      <c r="AG590" s="4" t="s">
        <v>47</v>
      </c>
      <c r="AH590" s="4" t="s">
        <v>47</v>
      </c>
      <c r="AI590" s="4" t="s">
        <v>47</v>
      </c>
      <c r="AJ590" s="4" t="s">
        <v>47</v>
      </c>
      <c r="AK590" s="4" t="s">
        <v>5771</v>
      </c>
      <c r="AL590" s="4" t="s">
        <v>47</v>
      </c>
      <c r="AM590" s="4" t="s">
        <v>47</v>
      </c>
      <c r="AN590" s="4" t="s">
        <v>47</v>
      </c>
      <c r="AO590" s="4" t="s">
        <v>5772</v>
      </c>
      <c r="AP590" s="4" t="s">
        <v>5773</v>
      </c>
      <c r="AQ590" s="4" t="s">
        <v>5774</v>
      </c>
      <c r="AR590" s="4" t="s">
        <v>5775</v>
      </c>
    </row>
    <row r="591" spans="1:44" x14ac:dyDescent="0.2">
      <c r="A591" s="4" t="s">
        <v>97</v>
      </c>
      <c r="B591" s="4" t="s">
        <v>26</v>
      </c>
      <c r="C591">
        <v>1</v>
      </c>
      <c r="F591">
        <v>1</v>
      </c>
      <c r="I591" s="4" t="s">
        <v>5530</v>
      </c>
      <c r="J591" s="4" t="s">
        <v>5531</v>
      </c>
      <c r="K591" s="4" t="s">
        <v>4913</v>
      </c>
      <c r="L591" s="4" t="s">
        <v>2446</v>
      </c>
      <c r="M591">
        <v>32000</v>
      </c>
      <c r="N591" s="4" t="s">
        <v>5429</v>
      </c>
      <c r="O591" s="4" t="s">
        <v>5776</v>
      </c>
      <c r="P591" s="4" t="s">
        <v>811</v>
      </c>
      <c r="Q591" s="9">
        <v>31568</v>
      </c>
      <c r="R591" s="4" t="s">
        <v>1046</v>
      </c>
      <c r="S591" s="4" t="s">
        <v>5521</v>
      </c>
      <c r="T591" s="4" t="s">
        <v>47</v>
      </c>
      <c r="U591" s="4" t="s">
        <v>106</v>
      </c>
      <c r="V591">
        <v>1986</v>
      </c>
      <c r="W591" s="4" t="s">
        <v>47</v>
      </c>
      <c r="X591" s="4" t="s">
        <v>5777</v>
      </c>
      <c r="Y591" s="4" t="s">
        <v>47</v>
      </c>
      <c r="Z591" s="4" t="s">
        <v>5778</v>
      </c>
      <c r="AA591" s="4" t="s">
        <v>47</v>
      </c>
      <c r="AB591" s="4" t="s">
        <v>47</v>
      </c>
      <c r="AC591" s="4" t="s">
        <v>5779</v>
      </c>
      <c r="AD591" s="4" t="s">
        <v>47</v>
      </c>
      <c r="AE591" s="4" t="s">
        <v>47</v>
      </c>
      <c r="AF591" s="4" t="s">
        <v>47</v>
      </c>
      <c r="AG591" s="4" t="s">
        <v>47</v>
      </c>
      <c r="AH591" s="4" t="s">
        <v>47</v>
      </c>
      <c r="AI591" s="4" t="s">
        <v>47</v>
      </c>
      <c r="AJ591" s="4" t="s">
        <v>47</v>
      </c>
      <c r="AK591" s="4" t="s">
        <v>47</v>
      </c>
      <c r="AL591" s="4" t="s">
        <v>47</v>
      </c>
      <c r="AM591" s="4" t="s">
        <v>47</v>
      </c>
      <c r="AN591" s="4" t="s">
        <v>47</v>
      </c>
      <c r="AO591" s="4" t="s">
        <v>5780</v>
      </c>
      <c r="AP591" s="4" t="s">
        <v>5781</v>
      </c>
      <c r="AQ591" s="4" t="s">
        <v>5782</v>
      </c>
      <c r="AR591" s="4" t="s">
        <v>5783</v>
      </c>
    </row>
    <row r="592" spans="1:44" x14ac:dyDescent="0.2">
      <c r="A592" s="4" t="s">
        <v>87</v>
      </c>
      <c r="B592" s="4" t="s">
        <v>5211</v>
      </c>
      <c r="C592">
        <v>1</v>
      </c>
      <c r="F592">
        <v>1</v>
      </c>
      <c r="I592" s="4" t="s">
        <v>3114</v>
      </c>
      <c r="J592" s="4" t="s">
        <v>5439</v>
      </c>
      <c r="K592" s="4" t="s">
        <v>5212</v>
      </c>
      <c r="L592" s="4" t="s">
        <v>5213</v>
      </c>
      <c r="M592">
        <v>36540</v>
      </c>
      <c r="N592" s="4" t="s">
        <v>5576</v>
      </c>
      <c r="O592" s="4" t="s">
        <v>5784</v>
      </c>
      <c r="P592" s="4" t="s">
        <v>811</v>
      </c>
      <c r="Q592" s="9">
        <v>31568</v>
      </c>
      <c r="R592" s="4" t="s">
        <v>1046</v>
      </c>
      <c r="S592" s="4" t="s">
        <v>5419</v>
      </c>
      <c r="T592" s="4" t="s">
        <v>47</v>
      </c>
      <c r="U592" s="4" t="s">
        <v>106</v>
      </c>
      <c r="V592">
        <v>1986</v>
      </c>
      <c r="W592" s="4" t="s">
        <v>5785</v>
      </c>
      <c r="X592" s="4" t="s">
        <v>5786</v>
      </c>
      <c r="Y592" s="4" t="s">
        <v>5787</v>
      </c>
      <c r="Z592" s="4" t="s">
        <v>5788</v>
      </c>
      <c r="AA592" s="4" t="s">
        <v>47</v>
      </c>
      <c r="AB592" s="4" t="s">
        <v>47</v>
      </c>
      <c r="AC592" s="4" t="s">
        <v>47</v>
      </c>
      <c r="AD592" s="4" t="s">
        <v>47</v>
      </c>
      <c r="AE592" s="4" t="s">
        <v>47</v>
      </c>
      <c r="AF592" s="4" t="s">
        <v>47</v>
      </c>
      <c r="AG592" s="4" t="s">
        <v>47</v>
      </c>
      <c r="AH592" s="4" t="s">
        <v>47</v>
      </c>
      <c r="AI592" s="4" t="s">
        <v>47</v>
      </c>
      <c r="AJ592" s="4" t="s">
        <v>47</v>
      </c>
      <c r="AK592" s="4" t="s">
        <v>47</v>
      </c>
      <c r="AL592" s="4" t="s">
        <v>47</v>
      </c>
      <c r="AM592" s="4" t="s">
        <v>47</v>
      </c>
      <c r="AN592" s="4" t="s">
        <v>47</v>
      </c>
      <c r="AO592" s="4" t="s">
        <v>5789</v>
      </c>
      <c r="AP592" s="4" t="s">
        <v>5790</v>
      </c>
      <c r="AQ592" s="4" t="s">
        <v>5791</v>
      </c>
      <c r="AR592" s="4" t="s">
        <v>5792</v>
      </c>
    </row>
    <row r="593" spans="1:44" x14ac:dyDescent="0.2">
      <c r="A593" s="4" t="s">
        <v>175</v>
      </c>
      <c r="B593" s="4" t="s">
        <v>293</v>
      </c>
      <c r="C593">
        <v>1</v>
      </c>
      <c r="F593">
        <v>1</v>
      </c>
      <c r="I593" s="4" t="s">
        <v>5669</v>
      </c>
      <c r="J593" s="4" t="s">
        <v>5670</v>
      </c>
      <c r="K593" s="4" t="s">
        <v>5568</v>
      </c>
      <c r="L593" s="4" t="s">
        <v>5569</v>
      </c>
      <c r="M593">
        <v>45000</v>
      </c>
      <c r="N593" s="4" t="s">
        <v>5532</v>
      </c>
      <c r="O593" s="4" t="s">
        <v>5793</v>
      </c>
      <c r="P593" s="4" t="s">
        <v>811</v>
      </c>
      <c r="Q593" s="9">
        <v>31568</v>
      </c>
      <c r="R593" s="4" t="s">
        <v>1046</v>
      </c>
      <c r="S593" s="4" t="s">
        <v>5794</v>
      </c>
      <c r="T593" s="4" t="s">
        <v>47</v>
      </c>
      <c r="U593" s="4" t="s">
        <v>106</v>
      </c>
      <c r="V593">
        <v>1986</v>
      </c>
      <c r="W593" s="4" t="s">
        <v>5795</v>
      </c>
      <c r="X593" s="4" t="s">
        <v>5796</v>
      </c>
      <c r="Y593" s="4" t="s">
        <v>5797</v>
      </c>
      <c r="Z593" s="4" t="s">
        <v>5798</v>
      </c>
      <c r="AA593" s="4" t="s">
        <v>47</v>
      </c>
      <c r="AB593" s="4" t="s">
        <v>47</v>
      </c>
      <c r="AC593" s="4" t="s">
        <v>47</v>
      </c>
      <c r="AD593" s="4" t="s">
        <v>47</v>
      </c>
      <c r="AE593" s="4" t="s">
        <v>47</v>
      </c>
      <c r="AF593" s="4" t="s">
        <v>47</v>
      </c>
      <c r="AG593" s="4" t="s">
        <v>47</v>
      </c>
      <c r="AH593" s="4" t="s">
        <v>47</v>
      </c>
      <c r="AI593" s="4" t="s">
        <v>47</v>
      </c>
      <c r="AJ593" s="4" t="s">
        <v>47</v>
      </c>
      <c r="AK593" s="4" t="s">
        <v>47</v>
      </c>
      <c r="AL593" s="4" t="s">
        <v>47</v>
      </c>
      <c r="AM593" s="4" t="s">
        <v>47</v>
      </c>
      <c r="AN593" s="4" t="s">
        <v>47</v>
      </c>
      <c r="AO593" s="4" t="s">
        <v>5799</v>
      </c>
      <c r="AP593" s="4" t="s">
        <v>5800</v>
      </c>
      <c r="AQ593" s="4" t="s">
        <v>5801</v>
      </c>
      <c r="AR593" s="4" t="s">
        <v>5802</v>
      </c>
    </row>
    <row r="594" spans="1:44" x14ac:dyDescent="0.2">
      <c r="A594" s="4" t="s">
        <v>202</v>
      </c>
      <c r="B594" s="4" t="s">
        <v>232</v>
      </c>
      <c r="C594">
        <v>1</v>
      </c>
      <c r="F594">
        <v>0</v>
      </c>
      <c r="I594" s="4" t="s">
        <v>5509</v>
      </c>
      <c r="J594" s="4" t="s">
        <v>5510</v>
      </c>
      <c r="K594" s="4" t="s">
        <v>5636</v>
      </c>
      <c r="L594" s="4" t="s">
        <v>5708</v>
      </c>
      <c r="M594">
        <v>24000</v>
      </c>
      <c r="N594" s="4" t="s">
        <v>5625</v>
      </c>
      <c r="O594" s="4" t="s">
        <v>5803</v>
      </c>
      <c r="P594" s="4" t="s">
        <v>811</v>
      </c>
      <c r="Q594" s="9">
        <v>31567</v>
      </c>
      <c r="R594" s="4" t="s">
        <v>652</v>
      </c>
      <c r="S594" s="4" t="s">
        <v>5804</v>
      </c>
      <c r="T594" s="4" t="s">
        <v>47</v>
      </c>
      <c r="U594" s="4" t="s">
        <v>106</v>
      </c>
      <c r="V594">
        <v>1986</v>
      </c>
      <c r="W594" s="4" t="s">
        <v>5805</v>
      </c>
      <c r="X594" s="4" t="s">
        <v>47</v>
      </c>
      <c r="Y594" s="4" t="s">
        <v>5806</v>
      </c>
      <c r="Z594" s="4" t="s">
        <v>47</v>
      </c>
      <c r="AA594" s="4" t="s">
        <v>47</v>
      </c>
      <c r="AB594" s="4" t="s">
        <v>47</v>
      </c>
      <c r="AC594" s="4" t="s">
        <v>47</v>
      </c>
      <c r="AD594" s="4" t="s">
        <v>47</v>
      </c>
      <c r="AE594" s="4" t="s">
        <v>47</v>
      </c>
      <c r="AF594" s="4" t="s">
        <v>47</v>
      </c>
      <c r="AG594" s="4" t="s">
        <v>47</v>
      </c>
      <c r="AH594" s="4" t="s">
        <v>47</v>
      </c>
      <c r="AI594" s="4" t="s">
        <v>47</v>
      </c>
      <c r="AJ594" s="4" t="s">
        <v>47</v>
      </c>
      <c r="AK594" s="4" t="s">
        <v>47</v>
      </c>
      <c r="AL594" s="4" t="s">
        <v>47</v>
      </c>
      <c r="AM594" s="4" t="s">
        <v>47</v>
      </c>
      <c r="AN594" s="4" t="s">
        <v>47</v>
      </c>
      <c r="AO594" s="4" t="s">
        <v>5807</v>
      </c>
      <c r="AP594" s="4" t="s">
        <v>5808</v>
      </c>
      <c r="AQ594" s="4" t="s">
        <v>5809</v>
      </c>
      <c r="AR594" s="4" t="s">
        <v>5810</v>
      </c>
    </row>
    <row r="595" spans="1:44" x14ac:dyDescent="0.2">
      <c r="A595" s="4" t="s">
        <v>121</v>
      </c>
      <c r="B595" s="4" t="s">
        <v>104</v>
      </c>
      <c r="C595">
        <v>1</v>
      </c>
      <c r="F595">
        <v>1</v>
      </c>
      <c r="I595" s="4" t="s">
        <v>5559</v>
      </c>
      <c r="J595" s="4" t="s">
        <v>5560</v>
      </c>
      <c r="K595" s="4" t="s">
        <v>4912</v>
      </c>
      <c r="L595" s="4" t="s">
        <v>5596</v>
      </c>
      <c r="M595">
        <v>30500</v>
      </c>
      <c r="N595" s="4" t="s">
        <v>5519</v>
      </c>
      <c r="O595" s="4" t="s">
        <v>5811</v>
      </c>
      <c r="P595" s="4" t="s">
        <v>811</v>
      </c>
      <c r="Q595" s="9">
        <v>31567</v>
      </c>
      <c r="R595" s="4" t="s">
        <v>1046</v>
      </c>
      <c r="S595" s="4" t="s">
        <v>5812</v>
      </c>
      <c r="T595" s="4" t="s">
        <v>47</v>
      </c>
      <c r="U595" s="4" t="s">
        <v>106</v>
      </c>
      <c r="V595">
        <v>1986</v>
      </c>
      <c r="W595" s="4" t="s">
        <v>5813</v>
      </c>
      <c r="X595" s="4" t="s">
        <v>5814</v>
      </c>
      <c r="Y595" s="4" t="s">
        <v>5815</v>
      </c>
      <c r="Z595" s="4" t="s">
        <v>5816</v>
      </c>
      <c r="AA595" s="4" t="s">
        <v>47</v>
      </c>
      <c r="AB595" s="4" t="s">
        <v>47</v>
      </c>
      <c r="AC595" s="4" t="s">
        <v>47</v>
      </c>
      <c r="AD595" s="4" t="s">
        <v>47</v>
      </c>
      <c r="AE595" s="4" t="s">
        <v>47</v>
      </c>
      <c r="AF595" s="4" t="s">
        <v>47</v>
      </c>
      <c r="AG595" s="4" t="s">
        <v>47</v>
      </c>
      <c r="AH595" s="4" t="s">
        <v>47</v>
      </c>
      <c r="AI595" s="4" t="s">
        <v>47</v>
      </c>
      <c r="AJ595" s="4" t="s">
        <v>47</v>
      </c>
      <c r="AK595" s="4" t="s">
        <v>47</v>
      </c>
      <c r="AL595" s="4" t="s">
        <v>47</v>
      </c>
      <c r="AM595" s="4" t="s">
        <v>47</v>
      </c>
      <c r="AN595" s="4" t="s">
        <v>47</v>
      </c>
      <c r="AO595" s="4" t="s">
        <v>5817</v>
      </c>
      <c r="AP595" s="4" t="s">
        <v>47</v>
      </c>
      <c r="AQ595" s="4" t="s">
        <v>5818</v>
      </c>
      <c r="AR595" s="4" t="s">
        <v>5819</v>
      </c>
    </row>
    <row r="596" spans="1:44" x14ac:dyDescent="0.2">
      <c r="A596" s="4" t="s">
        <v>205</v>
      </c>
      <c r="B596" s="4" t="s">
        <v>167</v>
      </c>
      <c r="C596">
        <v>0</v>
      </c>
      <c r="F596">
        <v>1</v>
      </c>
      <c r="I596" s="4" t="s">
        <v>5587</v>
      </c>
      <c r="J596" s="4" t="s">
        <v>5699</v>
      </c>
      <c r="K596" s="4" t="s">
        <v>5518</v>
      </c>
      <c r="L596" s="4" t="s">
        <v>2591</v>
      </c>
      <c r="M596">
        <v>18000</v>
      </c>
      <c r="N596" s="4" t="s">
        <v>5589</v>
      </c>
      <c r="O596" s="4" t="s">
        <v>5820</v>
      </c>
      <c r="P596" s="4" t="s">
        <v>811</v>
      </c>
      <c r="Q596" s="9">
        <v>31567</v>
      </c>
      <c r="R596" s="4" t="s">
        <v>963</v>
      </c>
      <c r="S596" s="4" t="s">
        <v>5821</v>
      </c>
      <c r="T596" s="4" t="s">
        <v>47</v>
      </c>
      <c r="U596" s="4" t="s">
        <v>106</v>
      </c>
      <c r="V596">
        <v>1986</v>
      </c>
      <c r="W596" s="4" t="s">
        <v>47</v>
      </c>
      <c r="X596" s="4" t="s">
        <v>5822</v>
      </c>
      <c r="Y596" s="4" t="s">
        <v>47</v>
      </c>
      <c r="Z596" s="4" t="s">
        <v>5823</v>
      </c>
      <c r="AA596" s="4" t="s">
        <v>47</v>
      </c>
      <c r="AB596" s="4" t="s">
        <v>47</v>
      </c>
      <c r="AC596" s="4" t="s">
        <v>47</v>
      </c>
      <c r="AD596" s="4" t="s">
        <v>47</v>
      </c>
      <c r="AE596" s="4" t="s">
        <v>47</v>
      </c>
      <c r="AF596" s="4" t="s">
        <v>47</v>
      </c>
      <c r="AG596" s="4" t="s">
        <v>47</v>
      </c>
      <c r="AH596" s="4" t="s">
        <v>47</v>
      </c>
      <c r="AI596" s="4" t="s">
        <v>47</v>
      </c>
      <c r="AJ596" s="4" t="s">
        <v>47</v>
      </c>
      <c r="AK596" s="4" t="s">
        <v>47</v>
      </c>
      <c r="AL596" s="4" t="s">
        <v>47</v>
      </c>
      <c r="AM596" s="4" t="s">
        <v>47</v>
      </c>
      <c r="AN596" s="4" t="s">
        <v>47</v>
      </c>
      <c r="AO596" s="4" t="s">
        <v>47</v>
      </c>
      <c r="AP596" s="4" t="s">
        <v>5824</v>
      </c>
      <c r="AQ596" s="4" t="s">
        <v>5825</v>
      </c>
      <c r="AR596" s="4" t="s">
        <v>5826</v>
      </c>
    </row>
    <row r="597" spans="1:44" x14ac:dyDescent="0.2">
      <c r="A597" s="4" t="s">
        <v>148</v>
      </c>
      <c r="B597" s="4" t="s">
        <v>106</v>
      </c>
      <c r="C597">
        <v>1</v>
      </c>
      <c r="F597">
        <v>2</v>
      </c>
      <c r="I597" s="4" t="s">
        <v>5027</v>
      </c>
      <c r="J597" s="4" t="s">
        <v>5028</v>
      </c>
      <c r="K597" s="4" t="s">
        <v>4523</v>
      </c>
      <c r="L597" s="4" t="s">
        <v>5495</v>
      </c>
      <c r="M597">
        <v>110000</v>
      </c>
      <c r="N597" s="4" t="s">
        <v>5417</v>
      </c>
      <c r="O597" s="4" t="s">
        <v>5827</v>
      </c>
      <c r="P597" s="4" t="s">
        <v>811</v>
      </c>
      <c r="Q597" s="9">
        <v>31566</v>
      </c>
      <c r="R597" s="4" t="s">
        <v>664</v>
      </c>
      <c r="S597" s="4" t="s">
        <v>5534</v>
      </c>
      <c r="T597" s="4" t="s">
        <v>47</v>
      </c>
      <c r="U597" s="4" t="s">
        <v>106</v>
      </c>
      <c r="V597">
        <v>1986</v>
      </c>
      <c r="W597" s="4" t="s">
        <v>5828</v>
      </c>
      <c r="X597" s="4" t="s">
        <v>5829</v>
      </c>
      <c r="Y597" s="4" t="s">
        <v>5830</v>
      </c>
      <c r="Z597" s="4" t="s">
        <v>5831</v>
      </c>
      <c r="AA597" s="4" t="s">
        <v>47</v>
      </c>
      <c r="AB597" s="4" t="s">
        <v>47</v>
      </c>
      <c r="AC597" s="4" t="s">
        <v>47</v>
      </c>
      <c r="AD597" s="4" t="s">
        <v>47</v>
      </c>
      <c r="AE597" s="4" t="s">
        <v>47</v>
      </c>
      <c r="AF597" s="4" t="s">
        <v>47</v>
      </c>
      <c r="AG597" s="4" t="s">
        <v>47</v>
      </c>
      <c r="AH597" s="4" t="s">
        <v>47</v>
      </c>
      <c r="AI597" s="4" t="s">
        <v>47</v>
      </c>
      <c r="AJ597" s="4" t="s">
        <v>47</v>
      </c>
      <c r="AK597" s="4" t="s">
        <v>47</v>
      </c>
      <c r="AL597" s="4" t="s">
        <v>47</v>
      </c>
      <c r="AM597" s="4" t="s">
        <v>47</v>
      </c>
      <c r="AN597" s="4" t="s">
        <v>47</v>
      </c>
      <c r="AO597" s="4" t="s">
        <v>5832</v>
      </c>
      <c r="AP597" s="4" t="s">
        <v>5833</v>
      </c>
      <c r="AQ597" s="4" t="s">
        <v>5834</v>
      </c>
      <c r="AR597" s="4" t="s">
        <v>5835</v>
      </c>
    </row>
    <row r="598" spans="1:44" x14ac:dyDescent="0.2">
      <c r="A598" s="4" t="s">
        <v>181</v>
      </c>
      <c r="B598" s="4" t="s">
        <v>258</v>
      </c>
      <c r="C598">
        <v>1</v>
      </c>
      <c r="F598">
        <v>1</v>
      </c>
      <c r="I598" s="4" t="s">
        <v>5607</v>
      </c>
      <c r="J598" s="4" t="s">
        <v>5608</v>
      </c>
      <c r="K598" s="4" t="s">
        <v>5617</v>
      </c>
      <c r="L598" s="4" t="s">
        <v>5618</v>
      </c>
      <c r="M598">
        <v>22000</v>
      </c>
      <c r="N598" s="4" t="s">
        <v>5653</v>
      </c>
      <c r="O598" s="4" t="s">
        <v>5836</v>
      </c>
      <c r="P598" s="4" t="s">
        <v>811</v>
      </c>
      <c r="Q598" s="9">
        <v>31566</v>
      </c>
      <c r="R598" s="4" t="s">
        <v>1046</v>
      </c>
      <c r="S598" s="4" t="s">
        <v>5837</v>
      </c>
      <c r="T598" s="4" t="s">
        <v>47</v>
      </c>
      <c r="U598" s="4" t="s">
        <v>106</v>
      </c>
      <c r="V598">
        <v>1986</v>
      </c>
      <c r="W598" s="4" t="s">
        <v>5838</v>
      </c>
      <c r="X598" s="4" t="s">
        <v>5839</v>
      </c>
      <c r="Y598" s="4" t="s">
        <v>5840</v>
      </c>
      <c r="Z598" s="4" t="s">
        <v>5841</v>
      </c>
      <c r="AA598" s="4" t="s">
        <v>47</v>
      </c>
      <c r="AB598" s="4" t="s">
        <v>47</v>
      </c>
      <c r="AC598" s="4" t="s">
        <v>47</v>
      </c>
      <c r="AD598" s="4" t="s">
        <v>47</v>
      </c>
      <c r="AE598" s="4" t="s">
        <v>47</v>
      </c>
      <c r="AF598" s="4" t="s">
        <v>47</v>
      </c>
      <c r="AG598" s="4" t="s">
        <v>47</v>
      </c>
      <c r="AH598" s="4" t="s">
        <v>47</v>
      </c>
      <c r="AI598" s="4" t="s">
        <v>47</v>
      </c>
      <c r="AJ598" s="4" t="s">
        <v>47</v>
      </c>
      <c r="AK598" s="4" t="s">
        <v>47</v>
      </c>
      <c r="AL598" s="4" t="s">
        <v>47</v>
      </c>
      <c r="AM598" s="4" t="s">
        <v>47</v>
      </c>
      <c r="AN598" s="4" t="s">
        <v>47</v>
      </c>
      <c r="AO598" s="4" t="s">
        <v>5842</v>
      </c>
      <c r="AP598" s="4" t="s">
        <v>5843</v>
      </c>
      <c r="AQ598" s="4" t="s">
        <v>5844</v>
      </c>
      <c r="AR598" s="4" t="s">
        <v>5845</v>
      </c>
    </row>
    <row r="599" spans="1:44" x14ac:dyDescent="0.2">
      <c r="A599" s="4" t="s">
        <v>141</v>
      </c>
      <c r="B599" s="4" t="s">
        <v>52</v>
      </c>
      <c r="C599">
        <v>1</v>
      </c>
      <c r="F599">
        <v>0</v>
      </c>
      <c r="I599" s="4" t="s">
        <v>5651</v>
      </c>
      <c r="J599" s="4" t="s">
        <v>5846</v>
      </c>
      <c r="K599" s="4" t="s">
        <v>4925</v>
      </c>
      <c r="L599" s="4" t="s">
        <v>5255</v>
      </c>
      <c r="M599">
        <v>23000</v>
      </c>
      <c r="N599" s="4" t="s">
        <v>5609</v>
      </c>
      <c r="O599" s="4" t="s">
        <v>5847</v>
      </c>
      <c r="P599" s="4" t="s">
        <v>811</v>
      </c>
      <c r="Q599" s="9">
        <v>31566</v>
      </c>
      <c r="R599" s="4" t="s">
        <v>652</v>
      </c>
      <c r="S599" s="4" t="s">
        <v>5551</v>
      </c>
      <c r="T599" s="4" t="s">
        <v>47</v>
      </c>
      <c r="U599" s="4" t="s">
        <v>106</v>
      </c>
      <c r="V599">
        <v>1986</v>
      </c>
      <c r="W599" s="4" t="s">
        <v>5848</v>
      </c>
      <c r="X599" s="4" t="s">
        <v>47</v>
      </c>
      <c r="Y599" s="4" t="s">
        <v>5849</v>
      </c>
      <c r="Z599" s="4" t="s">
        <v>47</v>
      </c>
      <c r="AA599" s="4" t="s">
        <v>47</v>
      </c>
      <c r="AB599" s="4" t="s">
        <v>47</v>
      </c>
      <c r="AC599" s="4" t="s">
        <v>47</v>
      </c>
      <c r="AD599" s="4" t="s">
        <v>47</v>
      </c>
      <c r="AE599" s="4" t="s">
        <v>47</v>
      </c>
      <c r="AF599" s="4" t="s">
        <v>47</v>
      </c>
      <c r="AG599" s="4" t="s">
        <v>47</v>
      </c>
      <c r="AH599" s="4" t="s">
        <v>47</v>
      </c>
      <c r="AI599" s="4" t="s">
        <v>47</v>
      </c>
      <c r="AJ599" s="4" t="s">
        <v>47</v>
      </c>
      <c r="AK599" s="4" t="s">
        <v>47</v>
      </c>
      <c r="AL599" s="4" t="s">
        <v>47</v>
      </c>
      <c r="AM599" s="4" t="s">
        <v>47</v>
      </c>
      <c r="AN599" s="4" t="s">
        <v>47</v>
      </c>
      <c r="AO599" s="4" t="s">
        <v>5850</v>
      </c>
      <c r="AP599" s="4" t="s">
        <v>5851</v>
      </c>
      <c r="AQ599" s="4" t="s">
        <v>5852</v>
      </c>
      <c r="AR599" s="4" t="s">
        <v>5853</v>
      </c>
    </row>
    <row r="600" spans="1:44" x14ac:dyDescent="0.2">
      <c r="A600" s="4" t="s">
        <v>5211</v>
      </c>
      <c r="B600" s="4" t="s">
        <v>119</v>
      </c>
      <c r="C600">
        <v>6</v>
      </c>
      <c r="F600">
        <v>0</v>
      </c>
      <c r="I600" s="4" t="s">
        <v>5212</v>
      </c>
      <c r="J600" s="4" t="s">
        <v>5213</v>
      </c>
      <c r="K600" s="4" t="s">
        <v>5691</v>
      </c>
      <c r="L600" s="4" t="s">
        <v>5761</v>
      </c>
      <c r="M600">
        <v>16500</v>
      </c>
      <c r="N600" s="4" t="s">
        <v>5684</v>
      </c>
      <c r="O600" s="4" t="s">
        <v>5854</v>
      </c>
      <c r="P600" s="4" t="s">
        <v>811</v>
      </c>
      <c r="Q600" s="9">
        <v>31565</v>
      </c>
      <c r="R600" s="4" t="s">
        <v>3226</v>
      </c>
      <c r="S600" s="4" t="s">
        <v>5289</v>
      </c>
      <c r="T600" s="4" t="s">
        <v>47</v>
      </c>
      <c r="U600" s="4" t="s">
        <v>106</v>
      </c>
      <c r="V600">
        <v>1986</v>
      </c>
      <c r="W600" s="4" t="s">
        <v>5855</v>
      </c>
      <c r="X600" s="4" t="s">
        <v>47</v>
      </c>
      <c r="Y600" s="4" t="s">
        <v>5856</v>
      </c>
      <c r="Z600" s="4" t="s">
        <v>47</v>
      </c>
      <c r="AA600" s="4" t="s">
        <v>5857</v>
      </c>
      <c r="AB600" s="4" t="s">
        <v>47</v>
      </c>
      <c r="AC600" s="4" t="s">
        <v>5858</v>
      </c>
      <c r="AD600" s="4" t="s">
        <v>47</v>
      </c>
      <c r="AE600" s="4" t="s">
        <v>47</v>
      </c>
      <c r="AF600" s="4" t="s">
        <v>47</v>
      </c>
      <c r="AG600" s="4" t="s">
        <v>47</v>
      </c>
      <c r="AH600" s="4" t="s">
        <v>47</v>
      </c>
      <c r="AI600" s="4" t="s">
        <v>47</v>
      </c>
      <c r="AJ600" s="4" t="s">
        <v>47</v>
      </c>
      <c r="AK600" s="4" t="s">
        <v>47</v>
      </c>
      <c r="AL600" s="4" t="s">
        <v>47</v>
      </c>
      <c r="AM600" s="4" t="s">
        <v>47</v>
      </c>
      <c r="AN600" s="4" t="s">
        <v>47</v>
      </c>
      <c r="AO600" s="4" t="s">
        <v>47</v>
      </c>
      <c r="AP600" s="4" t="s">
        <v>47</v>
      </c>
      <c r="AQ600" s="4" t="s">
        <v>5859</v>
      </c>
      <c r="AR600" s="4" t="s">
        <v>5860</v>
      </c>
    </row>
    <row r="601" spans="1:44" x14ac:dyDescent="0.2">
      <c r="A601" s="4" t="s">
        <v>26</v>
      </c>
      <c r="B601" s="4" t="s">
        <v>175</v>
      </c>
      <c r="C601">
        <v>3</v>
      </c>
      <c r="F601">
        <v>1</v>
      </c>
      <c r="I601" s="4" t="s">
        <v>4913</v>
      </c>
      <c r="J601" s="4" t="s">
        <v>2446</v>
      </c>
      <c r="K601" s="4" t="s">
        <v>5669</v>
      </c>
      <c r="L601" s="4" t="s">
        <v>5670</v>
      </c>
      <c r="M601">
        <v>60000</v>
      </c>
      <c r="N601" s="4" t="s">
        <v>5532</v>
      </c>
      <c r="O601" s="4" t="s">
        <v>5861</v>
      </c>
      <c r="P601" s="4" t="s">
        <v>811</v>
      </c>
      <c r="Q601" s="9">
        <v>31565</v>
      </c>
      <c r="R601" s="4" t="s">
        <v>770</v>
      </c>
      <c r="S601" s="4" t="s">
        <v>5862</v>
      </c>
      <c r="T601" s="4" t="s">
        <v>47</v>
      </c>
      <c r="U601" s="4" t="s">
        <v>106</v>
      </c>
      <c r="V601">
        <v>1986</v>
      </c>
      <c r="W601" s="4" t="s">
        <v>5863</v>
      </c>
      <c r="X601" s="4" t="s">
        <v>5864</v>
      </c>
      <c r="Y601" s="4" t="s">
        <v>5865</v>
      </c>
      <c r="Z601" s="4" t="s">
        <v>5866</v>
      </c>
      <c r="AA601" s="4" t="s">
        <v>47</v>
      </c>
      <c r="AB601" s="4" t="s">
        <v>47</v>
      </c>
      <c r="AC601" s="4" t="s">
        <v>47</v>
      </c>
      <c r="AD601" s="4" t="s">
        <v>47</v>
      </c>
      <c r="AE601" s="4" t="s">
        <v>47</v>
      </c>
      <c r="AF601" s="4" t="s">
        <v>47</v>
      </c>
      <c r="AG601" s="4" t="s">
        <v>47</v>
      </c>
      <c r="AH601" s="4" t="s">
        <v>47</v>
      </c>
      <c r="AI601" s="4" t="s">
        <v>47</v>
      </c>
      <c r="AJ601" s="4" t="s">
        <v>47</v>
      </c>
      <c r="AK601" s="4" t="s">
        <v>47</v>
      </c>
      <c r="AL601" s="4" t="s">
        <v>47</v>
      </c>
      <c r="AM601" s="4" t="s">
        <v>47</v>
      </c>
      <c r="AN601" s="4" t="s">
        <v>47</v>
      </c>
      <c r="AO601" s="4" t="s">
        <v>47</v>
      </c>
      <c r="AP601" s="4" t="s">
        <v>5867</v>
      </c>
      <c r="AQ601" s="4" t="s">
        <v>5868</v>
      </c>
      <c r="AR601" s="4" t="s">
        <v>5869</v>
      </c>
    </row>
    <row r="602" spans="1:44" x14ac:dyDescent="0.2">
      <c r="A602" s="4" t="s">
        <v>144</v>
      </c>
      <c r="B602" s="4" t="s">
        <v>195</v>
      </c>
      <c r="C602">
        <v>0</v>
      </c>
      <c r="F602">
        <v>0</v>
      </c>
      <c r="I602" s="4" t="s">
        <v>5541</v>
      </c>
      <c r="J602" s="4" t="s">
        <v>5542</v>
      </c>
      <c r="K602" s="4" t="s">
        <v>5548</v>
      </c>
      <c r="L602" s="4" t="s">
        <v>5549</v>
      </c>
      <c r="M602">
        <v>19900</v>
      </c>
      <c r="N602" s="4" t="s">
        <v>5496</v>
      </c>
      <c r="O602" s="4" t="s">
        <v>5870</v>
      </c>
      <c r="P602" s="4" t="s">
        <v>811</v>
      </c>
      <c r="Q602" s="9">
        <v>31565</v>
      </c>
      <c r="R602" s="4" t="s">
        <v>869</v>
      </c>
      <c r="S602" s="4" t="s">
        <v>5871</v>
      </c>
      <c r="T602" s="4" t="s">
        <v>47</v>
      </c>
      <c r="U602" s="4" t="s">
        <v>106</v>
      </c>
      <c r="V602">
        <v>1986</v>
      </c>
      <c r="W602" s="4" t="s">
        <v>47</v>
      </c>
      <c r="X602" s="4" t="s">
        <v>47</v>
      </c>
      <c r="Y602" s="4" t="s">
        <v>47</v>
      </c>
      <c r="Z602" s="4" t="s">
        <v>47</v>
      </c>
      <c r="AA602" s="4" t="s">
        <v>47</v>
      </c>
      <c r="AB602" s="4" t="s">
        <v>47</v>
      </c>
      <c r="AC602" s="4" t="s">
        <v>47</v>
      </c>
      <c r="AD602" s="4" t="s">
        <v>47</v>
      </c>
      <c r="AE602" s="4" t="s">
        <v>47</v>
      </c>
      <c r="AF602" s="4" t="s">
        <v>47</v>
      </c>
      <c r="AG602" s="4" t="s">
        <v>47</v>
      </c>
      <c r="AH602" s="4" t="s">
        <v>47</v>
      </c>
      <c r="AI602" s="4" t="s">
        <v>47</v>
      </c>
      <c r="AJ602" s="4" t="s">
        <v>47</v>
      </c>
      <c r="AK602" s="4" t="s">
        <v>47</v>
      </c>
      <c r="AL602" s="4" t="s">
        <v>47</v>
      </c>
      <c r="AM602" s="4" t="s">
        <v>47</v>
      </c>
      <c r="AN602" s="4" t="s">
        <v>47</v>
      </c>
      <c r="AO602" s="4" t="s">
        <v>5872</v>
      </c>
      <c r="AP602" s="4" t="s">
        <v>47</v>
      </c>
      <c r="AQ602" s="4" t="s">
        <v>5873</v>
      </c>
      <c r="AR602" s="4" t="s">
        <v>5874</v>
      </c>
    </row>
    <row r="603" spans="1:44" x14ac:dyDescent="0.2">
      <c r="A603" s="4" t="s">
        <v>20</v>
      </c>
      <c r="B603" s="4" t="s">
        <v>12</v>
      </c>
      <c r="C603">
        <v>0</v>
      </c>
      <c r="F603">
        <v>1</v>
      </c>
      <c r="I603" s="4" t="s">
        <v>5466</v>
      </c>
      <c r="J603" s="4" t="s">
        <v>3408</v>
      </c>
      <c r="K603" s="4" t="s">
        <v>5481</v>
      </c>
      <c r="L603" s="4" t="s">
        <v>5482</v>
      </c>
      <c r="M603">
        <v>35748</v>
      </c>
      <c r="N603" s="4" t="s">
        <v>5440</v>
      </c>
      <c r="O603" s="4" t="s">
        <v>5875</v>
      </c>
      <c r="P603" s="4" t="s">
        <v>811</v>
      </c>
      <c r="Q603" s="9">
        <v>31564</v>
      </c>
      <c r="R603" s="4" t="s">
        <v>963</v>
      </c>
      <c r="S603" s="4" t="s">
        <v>5876</v>
      </c>
      <c r="T603" s="4" t="s">
        <v>47</v>
      </c>
      <c r="U603" s="4" t="s">
        <v>106</v>
      </c>
      <c r="V603">
        <v>1986</v>
      </c>
      <c r="W603" s="4" t="s">
        <v>47</v>
      </c>
      <c r="X603" s="4" t="s">
        <v>5877</v>
      </c>
      <c r="Y603" s="4" t="s">
        <v>47</v>
      </c>
      <c r="Z603" s="4" t="s">
        <v>5878</v>
      </c>
      <c r="AA603" s="4" t="s">
        <v>47</v>
      </c>
      <c r="AB603" s="4" t="s">
        <v>47</v>
      </c>
      <c r="AC603" s="4" t="s">
        <v>47</v>
      </c>
      <c r="AD603" s="4" t="s">
        <v>47</v>
      </c>
      <c r="AE603" s="4" t="s">
        <v>47</v>
      </c>
      <c r="AF603" s="4" t="s">
        <v>47</v>
      </c>
      <c r="AG603" s="4" t="s">
        <v>47</v>
      </c>
      <c r="AH603" s="4" t="s">
        <v>47</v>
      </c>
      <c r="AI603" s="4" t="s">
        <v>47</v>
      </c>
      <c r="AJ603" s="4" t="s">
        <v>47</v>
      </c>
      <c r="AK603" s="4" t="s">
        <v>47</v>
      </c>
      <c r="AL603" s="4" t="s">
        <v>47</v>
      </c>
      <c r="AM603" s="4" t="s">
        <v>47</v>
      </c>
      <c r="AN603" s="4" t="s">
        <v>47</v>
      </c>
      <c r="AO603" s="4" t="s">
        <v>5879</v>
      </c>
      <c r="AP603" s="4" t="s">
        <v>5880</v>
      </c>
      <c r="AQ603" s="4" t="s">
        <v>5881</v>
      </c>
      <c r="AR603" s="4" t="s">
        <v>5882</v>
      </c>
    </row>
    <row r="604" spans="1:44" x14ac:dyDescent="0.2">
      <c r="A604" s="4" t="s">
        <v>185</v>
      </c>
      <c r="B604" s="4" t="s">
        <v>87</v>
      </c>
      <c r="C604">
        <v>0</v>
      </c>
      <c r="F604">
        <v>1</v>
      </c>
      <c r="I604" s="4" t="s">
        <v>5682</v>
      </c>
      <c r="J604" s="4" t="s">
        <v>5683</v>
      </c>
      <c r="K604" s="4" t="s">
        <v>3114</v>
      </c>
      <c r="L604" s="4" t="s">
        <v>5439</v>
      </c>
      <c r="M604">
        <v>65500</v>
      </c>
      <c r="N604" s="4" t="s">
        <v>5576</v>
      </c>
      <c r="O604" s="4" t="s">
        <v>5883</v>
      </c>
      <c r="P604" s="4" t="s">
        <v>811</v>
      </c>
      <c r="Q604" s="9">
        <v>31564</v>
      </c>
      <c r="R604" s="4" t="s">
        <v>963</v>
      </c>
      <c r="S604" s="4" t="s">
        <v>5296</v>
      </c>
      <c r="T604" s="4" t="s">
        <v>47</v>
      </c>
      <c r="U604" s="4" t="s">
        <v>106</v>
      </c>
      <c r="V604">
        <v>1986</v>
      </c>
      <c r="W604" s="4" t="s">
        <v>47</v>
      </c>
      <c r="X604" s="4" t="s">
        <v>5884</v>
      </c>
      <c r="Y604" s="4" t="s">
        <v>47</v>
      </c>
      <c r="Z604" s="4" t="s">
        <v>5885</v>
      </c>
      <c r="AA604" s="4" t="s">
        <v>47</v>
      </c>
      <c r="AB604" s="4" t="s">
        <v>47</v>
      </c>
      <c r="AC604" s="4" t="s">
        <v>47</v>
      </c>
      <c r="AD604" s="4" t="s">
        <v>47</v>
      </c>
      <c r="AE604" s="4" t="s">
        <v>47</v>
      </c>
      <c r="AF604" s="4" t="s">
        <v>47</v>
      </c>
      <c r="AG604" s="4" t="s">
        <v>47</v>
      </c>
      <c r="AH604" s="4" t="s">
        <v>47</v>
      </c>
      <c r="AI604" s="4" t="s">
        <v>47</v>
      </c>
      <c r="AJ604" s="4" t="s">
        <v>47</v>
      </c>
      <c r="AK604" s="4" t="s">
        <v>47</v>
      </c>
      <c r="AL604" s="4" t="s">
        <v>47</v>
      </c>
      <c r="AM604" s="4" t="s">
        <v>47</v>
      </c>
      <c r="AN604" s="4" t="s">
        <v>47</v>
      </c>
      <c r="AO604" s="4" t="s">
        <v>47</v>
      </c>
      <c r="AP604" s="4" t="s">
        <v>47</v>
      </c>
      <c r="AQ604" s="4" t="s">
        <v>5886</v>
      </c>
      <c r="AR604" s="4" t="s">
        <v>5887</v>
      </c>
    </row>
    <row r="605" spans="1:44" x14ac:dyDescent="0.2">
      <c r="A605" s="4" t="s">
        <v>293</v>
      </c>
      <c r="B605" s="4" t="s">
        <v>97</v>
      </c>
      <c r="C605">
        <v>1</v>
      </c>
      <c r="F605">
        <v>1</v>
      </c>
      <c r="I605" s="4" t="s">
        <v>5568</v>
      </c>
      <c r="J605" s="4" t="s">
        <v>5569</v>
      </c>
      <c r="K605" s="4" t="s">
        <v>5530</v>
      </c>
      <c r="L605" s="4" t="s">
        <v>5531</v>
      </c>
      <c r="M605">
        <v>96000</v>
      </c>
      <c r="N605" s="4" t="s">
        <v>5417</v>
      </c>
      <c r="O605" s="4" t="s">
        <v>5888</v>
      </c>
      <c r="P605" s="4" t="s">
        <v>811</v>
      </c>
      <c r="Q605" s="9">
        <v>31563</v>
      </c>
      <c r="R605" s="4" t="s">
        <v>1046</v>
      </c>
      <c r="S605" s="4" t="s">
        <v>5319</v>
      </c>
      <c r="T605" s="4" t="s">
        <v>47</v>
      </c>
      <c r="U605" s="4" t="s">
        <v>106</v>
      </c>
      <c r="V605">
        <v>1986</v>
      </c>
      <c r="W605" s="4" t="s">
        <v>5889</v>
      </c>
      <c r="X605" s="4" t="s">
        <v>5890</v>
      </c>
      <c r="Y605" s="4" t="s">
        <v>5891</v>
      </c>
      <c r="Z605" s="4" t="s">
        <v>5892</v>
      </c>
      <c r="AA605" s="4" t="s">
        <v>47</v>
      </c>
      <c r="AB605" s="4" t="s">
        <v>47</v>
      </c>
      <c r="AC605" s="4" t="s">
        <v>47</v>
      </c>
      <c r="AD605" s="4" t="s">
        <v>47</v>
      </c>
      <c r="AE605" s="4" t="s">
        <v>47</v>
      </c>
      <c r="AF605" s="4" t="s">
        <v>47</v>
      </c>
      <c r="AG605" s="4" t="s">
        <v>47</v>
      </c>
      <c r="AH605" s="4" t="s">
        <v>47</v>
      </c>
      <c r="AI605" s="4" t="s">
        <v>47</v>
      </c>
      <c r="AJ605" s="4" t="s">
        <v>47</v>
      </c>
      <c r="AK605" s="4" t="s">
        <v>47</v>
      </c>
      <c r="AL605" s="4" t="s">
        <v>47</v>
      </c>
      <c r="AM605" s="4" t="s">
        <v>47</v>
      </c>
      <c r="AN605" s="4" t="s">
        <v>47</v>
      </c>
      <c r="AO605" s="4" t="s">
        <v>5893</v>
      </c>
      <c r="AP605" s="4" t="s">
        <v>5894</v>
      </c>
      <c r="AQ605" s="4" t="s">
        <v>5895</v>
      </c>
      <c r="AR605" s="4" t="s">
        <v>5896</v>
      </c>
    </row>
    <row r="606" spans="1:44" x14ac:dyDescent="0.2">
      <c r="A606" s="4" t="s">
        <v>97</v>
      </c>
      <c r="B606" s="4" t="s">
        <v>104</v>
      </c>
      <c r="C606">
        <v>3</v>
      </c>
      <c r="F606">
        <v>1</v>
      </c>
      <c r="I606" s="4" t="s">
        <v>5530</v>
      </c>
      <c r="J606" s="4" t="s">
        <v>5897</v>
      </c>
      <c r="K606" s="4" t="s">
        <v>5898</v>
      </c>
      <c r="L606" s="4" t="s">
        <v>5416</v>
      </c>
      <c r="M606">
        <v>90000</v>
      </c>
      <c r="N606" s="4" t="s">
        <v>5899</v>
      </c>
      <c r="O606" s="4" t="s">
        <v>5900</v>
      </c>
      <c r="P606" s="4" t="s">
        <v>593</v>
      </c>
      <c r="Q606" s="9">
        <v>30143</v>
      </c>
      <c r="R606" s="4" t="s">
        <v>770</v>
      </c>
      <c r="S606" s="4" t="s">
        <v>5901</v>
      </c>
      <c r="T606" s="4" t="s">
        <v>47</v>
      </c>
      <c r="U606" s="4" t="s">
        <v>20</v>
      </c>
      <c r="V606">
        <v>1982</v>
      </c>
      <c r="W606" s="4" t="s">
        <v>5902</v>
      </c>
      <c r="X606" s="4" t="s">
        <v>5903</v>
      </c>
      <c r="Y606" s="4" t="s">
        <v>5904</v>
      </c>
      <c r="Z606" s="4" t="s">
        <v>5905</v>
      </c>
      <c r="AA606" s="4" t="s">
        <v>47</v>
      </c>
      <c r="AB606" s="4" t="s">
        <v>47</v>
      </c>
      <c r="AC606" s="4" t="s">
        <v>47</v>
      </c>
      <c r="AD606" s="4" t="s">
        <v>47</v>
      </c>
      <c r="AE606" s="4" t="s">
        <v>47</v>
      </c>
      <c r="AF606" s="4" t="s">
        <v>47</v>
      </c>
      <c r="AG606" s="4" t="s">
        <v>47</v>
      </c>
      <c r="AH606" s="4" t="s">
        <v>47</v>
      </c>
      <c r="AI606" s="4" t="s">
        <v>47</v>
      </c>
      <c r="AJ606" s="4" t="s">
        <v>47</v>
      </c>
      <c r="AK606" s="4" t="s">
        <v>47</v>
      </c>
      <c r="AL606" s="4" t="s">
        <v>47</v>
      </c>
      <c r="AM606" s="4" t="s">
        <v>47</v>
      </c>
      <c r="AN606" s="4" t="s">
        <v>47</v>
      </c>
      <c r="AO606" s="4" t="s">
        <v>5906</v>
      </c>
      <c r="AP606" s="4" t="s">
        <v>5907</v>
      </c>
      <c r="AQ606" s="4" t="s">
        <v>5908</v>
      </c>
      <c r="AR606" s="4" t="s">
        <v>5909</v>
      </c>
    </row>
    <row r="607" spans="1:44" x14ac:dyDescent="0.2">
      <c r="A607" s="4" t="s">
        <v>195</v>
      </c>
      <c r="B607" s="4" t="s">
        <v>87</v>
      </c>
      <c r="C607">
        <v>3</v>
      </c>
      <c r="F607">
        <v>2</v>
      </c>
      <c r="I607" s="4" t="s">
        <v>5548</v>
      </c>
      <c r="J607" s="4" t="s">
        <v>5910</v>
      </c>
      <c r="K607" s="4" t="s">
        <v>5911</v>
      </c>
      <c r="L607" s="4" t="s">
        <v>5912</v>
      </c>
      <c r="M607">
        <v>28000</v>
      </c>
      <c r="N607" s="4" t="s">
        <v>5913</v>
      </c>
      <c r="O607" s="4" t="s">
        <v>5914</v>
      </c>
      <c r="P607" s="4" t="s">
        <v>616</v>
      </c>
      <c r="Q607" s="9">
        <v>30142</v>
      </c>
      <c r="R607" s="4" t="s">
        <v>1130</v>
      </c>
      <c r="S607" s="4" t="s">
        <v>5915</v>
      </c>
      <c r="T607" s="4" t="s">
        <v>47</v>
      </c>
      <c r="U607" s="4" t="s">
        <v>20</v>
      </c>
      <c r="V607">
        <v>1982</v>
      </c>
      <c r="W607" s="4" t="s">
        <v>5916</v>
      </c>
      <c r="X607" s="4" t="s">
        <v>5917</v>
      </c>
      <c r="Y607" s="4" t="s">
        <v>5918</v>
      </c>
      <c r="Z607" s="4" t="s">
        <v>5919</v>
      </c>
      <c r="AA607" s="4" t="s">
        <v>47</v>
      </c>
      <c r="AB607" s="4" t="s">
        <v>47</v>
      </c>
      <c r="AC607" s="4" t="s">
        <v>47</v>
      </c>
      <c r="AD607" s="4" t="s">
        <v>47</v>
      </c>
      <c r="AE607" s="4" t="s">
        <v>47</v>
      </c>
      <c r="AF607" s="4" t="s">
        <v>47</v>
      </c>
      <c r="AG607" s="4" t="s">
        <v>47</v>
      </c>
      <c r="AH607" s="4" t="s">
        <v>47</v>
      </c>
      <c r="AI607" s="4" t="s">
        <v>47</v>
      </c>
      <c r="AJ607" s="4" t="s">
        <v>47</v>
      </c>
      <c r="AK607" s="4" t="s">
        <v>47</v>
      </c>
      <c r="AL607" s="4" t="s">
        <v>47</v>
      </c>
      <c r="AM607" s="4" t="s">
        <v>47</v>
      </c>
      <c r="AN607" s="4" t="s">
        <v>47</v>
      </c>
      <c r="AO607" s="4" t="s">
        <v>5920</v>
      </c>
      <c r="AP607" s="4" t="s">
        <v>5921</v>
      </c>
      <c r="AQ607" s="4" t="s">
        <v>5922</v>
      </c>
      <c r="AR607" s="4" t="s">
        <v>5923</v>
      </c>
    </row>
    <row r="608" spans="1:44" x14ac:dyDescent="0.2">
      <c r="A608" s="4" t="s">
        <v>195</v>
      </c>
      <c r="B608" s="4" t="s">
        <v>97</v>
      </c>
      <c r="C608">
        <v>0</v>
      </c>
      <c r="F608">
        <v>2</v>
      </c>
      <c r="I608" s="4" t="s">
        <v>5548</v>
      </c>
      <c r="J608" s="4" t="s">
        <v>5910</v>
      </c>
      <c r="K608" s="4" t="s">
        <v>5530</v>
      </c>
      <c r="L608" s="4" t="s">
        <v>5897</v>
      </c>
      <c r="M608">
        <v>50000</v>
      </c>
      <c r="N608" s="4" t="s">
        <v>5924</v>
      </c>
      <c r="O608" s="4" t="s">
        <v>5925</v>
      </c>
      <c r="P608" s="4" t="s">
        <v>629</v>
      </c>
      <c r="Q608" s="9">
        <v>30140</v>
      </c>
      <c r="R608" s="4" t="s">
        <v>824</v>
      </c>
      <c r="S608" s="4" t="s">
        <v>5394</v>
      </c>
      <c r="T608" s="4" t="s">
        <v>47</v>
      </c>
      <c r="U608" s="4" t="s">
        <v>20</v>
      </c>
      <c r="V608">
        <v>1982</v>
      </c>
      <c r="W608" s="4" t="s">
        <v>47</v>
      </c>
      <c r="X608" s="4" t="s">
        <v>5926</v>
      </c>
      <c r="Y608" s="4" t="s">
        <v>47</v>
      </c>
      <c r="Z608" s="4" t="s">
        <v>5927</v>
      </c>
      <c r="AA608" s="4" t="s">
        <v>47</v>
      </c>
      <c r="AB608" s="4" t="s">
        <v>47</v>
      </c>
      <c r="AC608" s="4" t="s">
        <v>47</v>
      </c>
      <c r="AD608" s="4" t="s">
        <v>47</v>
      </c>
      <c r="AE608" s="4" t="s">
        <v>47</v>
      </c>
      <c r="AF608" s="4" t="s">
        <v>47</v>
      </c>
      <c r="AG608" s="4" t="s">
        <v>47</v>
      </c>
      <c r="AH608" s="4" t="s">
        <v>47</v>
      </c>
      <c r="AI608" s="4" t="s">
        <v>47</v>
      </c>
      <c r="AJ608" s="4" t="s">
        <v>47</v>
      </c>
      <c r="AK608" s="4" t="s">
        <v>47</v>
      </c>
      <c r="AL608" s="4" t="s">
        <v>47</v>
      </c>
      <c r="AM608" s="4" t="s">
        <v>47</v>
      </c>
      <c r="AN608" s="4" t="s">
        <v>47</v>
      </c>
      <c r="AO608" s="4" t="s">
        <v>5928</v>
      </c>
      <c r="AP608" s="4" t="s">
        <v>5929</v>
      </c>
      <c r="AQ608" s="4" t="s">
        <v>5930</v>
      </c>
      <c r="AR608" s="4" t="s">
        <v>5931</v>
      </c>
    </row>
    <row r="609" spans="1:44" x14ac:dyDescent="0.2">
      <c r="A609" s="4" t="s">
        <v>104</v>
      </c>
      <c r="B609" s="4" t="s">
        <v>87</v>
      </c>
      <c r="C609">
        <v>3</v>
      </c>
      <c r="E609">
        <v>5</v>
      </c>
      <c r="F609">
        <v>3</v>
      </c>
      <c r="H609">
        <v>4</v>
      </c>
      <c r="I609" s="4" t="s">
        <v>5898</v>
      </c>
      <c r="J609" s="4" t="s">
        <v>5932</v>
      </c>
      <c r="K609" s="4" t="s">
        <v>5911</v>
      </c>
      <c r="L609" s="4" t="s">
        <v>5439</v>
      </c>
      <c r="M609">
        <v>70000</v>
      </c>
      <c r="N609" s="4" t="s">
        <v>5933</v>
      </c>
      <c r="O609" s="4" t="s">
        <v>5934</v>
      </c>
      <c r="P609" s="4" t="s">
        <v>629</v>
      </c>
      <c r="Q609" s="9">
        <v>30140</v>
      </c>
      <c r="R609" s="4" t="s">
        <v>5935</v>
      </c>
      <c r="S609" s="4" t="s">
        <v>5936</v>
      </c>
      <c r="T609" s="4" t="s">
        <v>4941</v>
      </c>
      <c r="U609" s="4" t="s">
        <v>20</v>
      </c>
      <c r="V609">
        <v>1982</v>
      </c>
      <c r="W609" s="4" t="s">
        <v>5937</v>
      </c>
      <c r="X609" s="4" t="s">
        <v>5938</v>
      </c>
      <c r="Y609" s="4" t="s">
        <v>5939</v>
      </c>
      <c r="Z609" s="4" t="s">
        <v>5940</v>
      </c>
      <c r="AA609" s="4" t="s">
        <v>47</v>
      </c>
      <c r="AB609" s="4" t="s">
        <v>47</v>
      </c>
      <c r="AC609" s="4" t="s">
        <v>47</v>
      </c>
      <c r="AD609" s="4" t="s">
        <v>5941</v>
      </c>
      <c r="AE609" s="4" t="s">
        <v>47</v>
      </c>
      <c r="AF609" s="4" t="s">
        <v>47</v>
      </c>
      <c r="AG609" s="4" t="s">
        <v>5942</v>
      </c>
      <c r="AH609" s="4" t="s">
        <v>5943</v>
      </c>
      <c r="AI609" s="4" t="s">
        <v>5944</v>
      </c>
      <c r="AJ609" s="4" t="s">
        <v>5945</v>
      </c>
      <c r="AK609" s="4" t="s">
        <v>47</v>
      </c>
      <c r="AL609" s="4" t="s">
        <v>47</v>
      </c>
      <c r="AM609" s="4" t="s">
        <v>47</v>
      </c>
      <c r="AN609" s="4" t="s">
        <v>47</v>
      </c>
      <c r="AO609" s="4" t="s">
        <v>5946</v>
      </c>
      <c r="AP609" s="4" t="s">
        <v>5947</v>
      </c>
      <c r="AQ609" s="4" t="s">
        <v>5948</v>
      </c>
      <c r="AR609" s="4" t="s">
        <v>5949</v>
      </c>
    </row>
    <row r="610" spans="1:44" x14ac:dyDescent="0.2">
      <c r="A610" s="4" t="s">
        <v>97</v>
      </c>
      <c r="B610" s="4" t="s">
        <v>12</v>
      </c>
      <c r="C610">
        <v>3</v>
      </c>
      <c r="F610">
        <v>2</v>
      </c>
      <c r="I610" s="4" t="s">
        <v>5530</v>
      </c>
      <c r="J610" s="4" t="s">
        <v>5897</v>
      </c>
      <c r="K610" s="4" t="s">
        <v>5481</v>
      </c>
      <c r="L610" s="4" t="s">
        <v>5950</v>
      </c>
      <c r="M610">
        <v>44000</v>
      </c>
      <c r="N610" s="4" t="s">
        <v>5951</v>
      </c>
      <c r="O610" s="4" t="s">
        <v>5952</v>
      </c>
      <c r="P610" s="4" t="s">
        <v>5953</v>
      </c>
      <c r="Q610" s="9">
        <v>30137</v>
      </c>
      <c r="R610" s="4" t="s">
        <v>1130</v>
      </c>
      <c r="S610" s="4" t="s">
        <v>5954</v>
      </c>
      <c r="T610" s="4" t="s">
        <v>47</v>
      </c>
      <c r="U610" s="4" t="s">
        <v>20</v>
      </c>
      <c r="V610">
        <v>1982</v>
      </c>
      <c r="W610" s="4" t="s">
        <v>5955</v>
      </c>
      <c r="X610" s="4" t="s">
        <v>5956</v>
      </c>
      <c r="Y610" s="4" t="s">
        <v>5957</v>
      </c>
      <c r="Z610" s="4" t="s">
        <v>5958</v>
      </c>
      <c r="AA610" s="4" t="s">
        <v>47</v>
      </c>
      <c r="AB610" s="4" t="s">
        <v>47</v>
      </c>
      <c r="AC610" s="4" t="s">
        <v>47</v>
      </c>
      <c r="AD610" s="4" t="s">
        <v>47</v>
      </c>
      <c r="AE610" s="4" t="s">
        <v>47</v>
      </c>
      <c r="AF610" s="4" t="s">
        <v>47</v>
      </c>
      <c r="AG610" s="4" t="s">
        <v>47</v>
      </c>
      <c r="AH610" s="4" t="s">
        <v>47</v>
      </c>
      <c r="AI610" s="4" t="s">
        <v>47</v>
      </c>
      <c r="AJ610" s="4" t="s">
        <v>47</v>
      </c>
      <c r="AK610" s="4" t="s">
        <v>47</v>
      </c>
      <c r="AL610" s="4" t="s">
        <v>47</v>
      </c>
      <c r="AM610" s="4" t="s">
        <v>47</v>
      </c>
      <c r="AN610" s="4" t="s">
        <v>47</v>
      </c>
      <c r="AO610" s="4" t="s">
        <v>5959</v>
      </c>
      <c r="AP610" s="4" t="s">
        <v>47</v>
      </c>
      <c r="AQ610" s="4" t="s">
        <v>5960</v>
      </c>
      <c r="AR610" s="4" t="s">
        <v>5961</v>
      </c>
    </row>
    <row r="611" spans="1:44" x14ac:dyDescent="0.2">
      <c r="A611" s="4" t="s">
        <v>20</v>
      </c>
      <c r="B611" s="4" t="s">
        <v>52</v>
      </c>
      <c r="C611">
        <v>0</v>
      </c>
      <c r="F611">
        <v>0</v>
      </c>
      <c r="I611" s="4" t="s">
        <v>5962</v>
      </c>
      <c r="J611" s="4" t="s">
        <v>5963</v>
      </c>
      <c r="K611" s="4" t="s">
        <v>5964</v>
      </c>
      <c r="L611" s="4" t="s">
        <v>5965</v>
      </c>
      <c r="M611">
        <v>75000</v>
      </c>
      <c r="N611" s="4" t="s">
        <v>5899</v>
      </c>
      <c r="O611" s="4" t="s">
        <v>5966</v>
      </c>
      <c r="P611" s="4" t="s">
        <v>5953</v>
      </c>
      <c r="Q611" s="9">
        <v>30137</v>
      </c>
      <c r="R611" s="4" t="s">
        <v>869</v>
      </c>
      <c r="S611" s="4" t="s">
        <v>5598</v>
      </c>
      <c r="T611" s="4" t="s">
        <v>47</v>
      </c>
      <c r="U611" s="4" t="s">
        <v>20</v>
      </c>
      <c r="V611">
        <v>1982</v>
      </c>
      <c r="W611" s="4" t="s">
        <v>47</v>
      </c>
      <c r="X611" s="4" t="s">
        <v>47</v>
      </c>
      <c r="Y611" s="4" t="s">
        <v>47</v>
      </c>
      <c r="Z611" s="4" t="s">
        <v>47</v>
      </c>
      <c r="AA611" s="4" t="s">
        <v>47</v>
      </c>
      <c r="AB611" s="4" t="s">
        <v>47</v>
      </c>
      <c r="AC611" s="4" t="s">
        <v>47</v>
      </c>
      <c r="AD611" s="4" t="s">
        <v>47</v>
      </c>
      <c r="AE611" s="4" t="s">
        <v>47</v>
      </c>
      <c r="AF611" s="4" t="s">
        <v>47</v>
      </c>
      <c r="AG611" s="4" t="s">
        <v>47</v>
      </c>
      <c r="AH611" s="4" t="s">
        <v>47</v>
      </c>
      <c r="AI611" s="4" t="s">
        <v>47</v>
      </c>
      <c r="AJ611" s="4" t="s">
        <v>47</v>
      </c>
      <c r="AK611" s="4" t="s">
        <v>47</v>
      </c>
      <c r="AL611" s="4" t="s">
        <v>47</v>
      </c>
      <c r="AM611" s="4" t="s">
        <v>47</v>
      </c>
      <c r="AN611" s="4" t="s">
        <v>47</v>
      </c>
      <c r="AO611" s="4" t="s">
        <v>47</v>
      </c>
      <c r="AP611" s="4" t="s">
        <v>5967</v>
      </c>
      <c r="AQ611" s="4" t="s">
        <v>5968</v>
      </c>
      <c r="AR611" s="4" t="s">
        <v>5969</v>
      </c>
    </row>
    <row r="612" spans="1:44" x14ac:dyDescent="0.2">
      <c r="A612" s="4" t="s">
        <v>87</v>
      </c>
      <c r="B612" s="4" t="s">
        <v>258</v>
      </c>
      <c r="C612">
        <v>4</v>
      </c>
      <c r="F612">
        <v>1</v>
      </c>
      <c r="I612" s="4" t="s">
        <v>5911</v>
      </c>
      <c r="J612" s="4" t="s">
        <v>5439</v>
      </c>
      <c r="K612" s="4" t="s">
        <v>5617</v>
      </c>
      <c r="L612" s="4" t="s">
        <v>5970</v>
      </c>
      <c r="M612">
        <v>37000</v>
      </c>
      <c r="N612" s="4" t="s">
        <v>5971</v>
      </c>
      <c r="O612" s="4" t="s">
        <v>5972</v>
      </c>
      <c r="P612" s="4" t="s">
        <v>5953</v>
      </c>
      <c r="Q612" s="9">
        <v>30136</v>
      </c>
      <c r="R612" s="4" t="s">
        <v>757</v>
      </c>
      <c r="S612" s="4" t="s">
        <v>5973</v>
      </c>
      <c r="T612" s="4" t="s">
        <v>47</v>
      </c>
      <c r="U612" s="4" t="s">
        <v>20</v>
      </c>
      <c r="V612">
        <v>1982</v>
      </c>
      <c r="W612" s="4" t="s">
        <v>5974</v>
      </c>
      <c r="X612" s="4" t="s">
        <v>5975</v>
      </c>
      <c r="Y612" s="4" t="s">
        <v>5976</v>
      </c>
      <c r="Z612" s="4" t="s">
        <v>5977</v>
      </c>
      <c r="AA612" s="4" t="s">
        <v>47</v>
      </c>
      <c r="AB612" s="4" t="s">
        <v>47</v>
      </c>
      <c r="AC612" s="4" t="s">
        <v>47</v>
      </c>
      <c r="AD612" s="4" t="s">
        <v>47</v>
      </c>
      <c r="AE612" s="4" t="s">
        <v>47</v>
      </c>
      <c r="AF612" s="4" t="s">
        <v>47</v>
      </c>
      <c r="AG612" s="4" t="s">
        <v>47</v>
      </c>
      <c r="AH612" s="4" t="s">
        <v>47</v>
      </c>
      <c r="AI612" s="4" t="s">
        <v>47</v>
      </c>
      <c r="AJ612" s="4" t="s">
        <v>47</v>
      </c>
      <c r="AK612" s="4" t="s">
        <v>47</v>
      </c>
      <c r="AL612" s="4" t="s">
        <v>47</v>
      </c>
      <c r="AM612" s="4" t="s">
        <v>47</v>
      </c>
      <c r="AN612" s="4" t="s">
        <v>47</v>
      </c>
      <c r="AO612" s="4" t="s">
        <v>5978</v>
      </c>
      <c r="AP612" s="4" t="s">
        <v>5979</v>
      </c>
      <c r="AQ612" s="4" t="s">
        <v>5980</v>
      </c>
      <c r="AR612" s="4" t="s">
        <v>5981</v>
      </c>
    </row>
    <row r="613" spans="1:44" x14ac:dyDescent="0.2">
      <c r="A613" s="4" t="s">
        <v>195</v>
      </c>
      <c r="B613" s="4" t="s">
        <v>5211</v>
      </c>
      <c r="C613">
        <v>0</v>
      </c>
      <c r="F613">
        <v>0</v>
      </c>
      <c r="I613" s="4" t="s">
        <v>5548</v>
      </c>
      <c r="J613" s="4" t="s">
        <v>5910</v>
      </c>
      <c r="K613" s="4" t="s">
        <v>5982</v>
      </c>
      <c r="L613" s="4" t="s">
        <v>5983</v>
      </c>
      <c r="M613">
        <v>65000</v>
      </c>
      <c r="N613" s="4" t="s">
        <v>5924</v>
      </c>
      <c r="O613" s="4" t="s">
        <v>5984</v>
      </c>
      <c r="P613" s="4" t="s">
        <v>5953</v>
      </c>
      <c r="Q613" s="9">
        <v>30136</v>
      </c>
      <c r="R613" s="4" t="s">
        <v>869</v>
      </c>
      <c r="S613" s="4" t="s">
        <v>5985</v>
      </c>
      <c r="T613" s="4" t="s">
        <v>47</v>
      </c>
      <c r="U613" s="4" t="s">
        <v>20</v>
      </c>
      <c r="V613">
        <v>1982</v>
      </c>
      <c r="W613" s="4" t="s">
        <v>47</v>
      </c>
      <c r="X613" s="4" t="s">
        <v>47</v>
      </c>
      <c r="Y613" s="4" t="s">
        <v>47</v>
      </c>
      <c r="Z613" s="4" t="s">
        <v>47</v>
      </c>
      <c r="AA613" s="4" t="s">
        <v>47</v>
      </c>
      <c r="AB613" s="4" t="s">
        <v>47</v>
      </c>
      <c r="AC613" s="4" t="s">
        <v>47</v>
      </c>
      <c r="AD613" s="4" t="s">
        <v>47</v>
      </c>
      <c r="AE613" s="4" t="s">
        <v>47</v>
      </c>
      <c r="AF613" s="4" t="s">
        <v>47</v>
      </c>
      <c r="AG613" s="4" t="s">
        <v>47</v>
      </c>
      <c r="AH613" s="4" t="s">
        <v>47</v>
      </c>
      <c r="AI613" s="4" t="s">
        <v>47</v>
      </c>
      <c r="AJ613" s="4" t="s">
        <v>47</v>
      </c>
      <c r="AK613" s="4" t="s">
        <v>47</v>
      </c>
      <c r="AL613" s="4" t="s">
        <v>47</v>
      </c>
      <c r="AM613" s="4" t="s">
        <v>47</v>
      </c>
      <c r="AN613" s="4" t="s">
        <v>47</v>
      </c>
      <c r="AO613" s="4" t="s">
        <v>5986</v>
      </c>
      <c r="AP613" s="4" t="s">
        <v>5987</v>
      </c>
      <c r="AQ613" s="4" t="s">
        <v>5988</v>
      </c>
      <c r="AR613" s="4" t="s">
        <v>5989</v>
      </c>
    </row>
    <row r="614" spans="1:44" x14ac:dyDescent="0.2">
      <c r="A614" s="4" t="s">
        <v>26</v>
      </c>
      <c r="B614" s="4" t="s">
        <v>12</v>
      </c>
      <c r="C614">
        <v>1</v>
      </c>
      <c r="F614">
        <v>3</v>
      </c>
      <c r="I614" s="4" t="s">
        <v>5990</v>
      </c>
      <c r="J614" s="4" t="s">
        <v>3912</v>
      </c>
      <c r="K614" s="4" t="s">
        <v>5481</v>
      </c>
      <c r="L614" s="4" t="s">
        <v>5950</v>
      </c>
      <c r="M614">
        <v>44000</v>
      </c>
      <c r="N614" s="4" t="s">
        <v>5951</v>
      </c>
      <c r="O614" s="4" t="s">
        <v>5991</v>
      </c>
      <c r="P614" s="4" t="s">
        <v>5953</v>
      </c>
      <c r="Q614" s="9">
        <v>30134</v>
      </c>
      <c r="R614" s="4" t="s">
        <v>1098</v>
      </c>
      <c r="S614" s="4" t="s">
        <v>5992</v>
      </c>
      <c r="T614" s="4" t="s">
        <v>47</v>
      </c>
      <c r="U614" s="4" t="s">
        <v>20</v>
      </c>
      <c r="V614">
        <v>1982</v>
      </c>
      <c r="W614" s="4" t="s">
        <v>5993</v>
      </c>
      <c r="X614" s="4" t="s">
        <v>5994</v>
      </c>
      <c r="Y614" s="4" t="s">
        <v>5995</v>
      </c>
      <c r="Z614" s="4" t="s">
        <v>5996</v>
      </c>
      <c r="AA614" s="4" t="s">
        <v>47</v>
      </c>
      <c r="AB614" s="4" t="s">
        <v>47</v>
      </c>
      <c r="AC614" s="4" t="s">
        <v>47</v>
      </c>
      <c r="AD614" s="4" t="s">
        <v>47</v>
      </c>
      <c r="AE614" s="4" t="s">
        <v>47</v>
      </c>
      <c r="AF614" s="4" t="s">
        <v>47</v>
      </c>
      <c r="AG614" s="4" t="s">
        <v>47</v>
      </c>
      <c r="AH614" s="4" t="s">
        <v>47</v>
      </c>
      <c r="AI614" s="4" t="s">
        <v>47</v>
      </c>
      <c r="AJ614" s="4" t="s">
        <v>47</v>
      </c>
      <c r="AK614" s="4" t="s">
        <v>5997</v>
      </c>
      <c r="AL614" s="4" t="s">
        <v>47</v>
      </c>
      <c r="AM614" s="4" t="s">
        <v>47</v>
      </c>
      <c r="AN614" s="4" t="s">
        <v>47</v>
      </c>
      <c r="AO614" s="4" t="s">
        <v>5998</v>
      </c>
      <c r="AP614" s="4" t="s">
        <v>5999</v>
      </c>
      <c r="AQ614" s="4" t="s">
        <v>6000</v>
      </c>
      <c r="AR614" s="4" t="s">
        <v>6001</v>
      </c>
    </row>
    <row r="615" spans="1:44" x14ac:dyDescent="0.2">
      <c r="A615" s="4" t="s">
        <v>104</v>
      </c>
      <c r="B615" s="4" t="s">
        <v>20</v>
      </c>
      <c r="C615">
        <v>2</v>
      </c>
      <c r="F615">
        <v>1</v>
      </c>
      <c r="I615" s="4" t="s">
        <v>5898</v>
      </c>
      <c r="J615" s="4" t="s">
        <v>5416</v>
      </c>
      <c r="K615" s="4" t="s">
        <v>5962</v>
      </c>
      <c r="L615" s="4" t="s">
        <v>5963</v>
      </c>
      <c r="M615">
        <v>90089</v>
      </c>
      <c r="N615" s="4" t="s">
        <v>5899</v>
      </c>
      <c r="O615" s="4" t="s">
        <v>6002</v>
      </c>
      <c r="P615" s="4" t="s">
        <v>5953</v>
      </c>
      <c r="Q615" s="9">
        <v>30134</v>
      </c>
      <c r="R615" s="4" t="s">
        <v>617</v>
      </c>
      <c r="S615" s="4" t="s">
        <v>6003</v>
      </c>
      <c r="T615" s="4" t="s">
        <v>47</v>
      </c>
      <c r="U615" s="4" t="s">
        <v>20</v>
      </c>
      <c r="V615">
        <v>1982</v>
      </c>
      <c r="W615" s="4" t="s">
        <v>6004</v>
      </c>
      <c r="X615" s="4" t="s">
        <v>6005</v>
      </c>
      <c r="Y615" s="4" t="s">
        <v>6006</v>
      </c>
      <c r="Z615" s="4" t="s">
        <v>6007</v>
      </c>
      <c r="AA615" s="4" t="s">
        <v>47</v>
      </c>
      <c r="AB615" s="4" t="s">
        <v>47</v>
      </c>
      <c r="AC615" s="4" t="s">
        <v>47</v>
      </c>
      <c r="AD615" s="4" t="s">
        <v>47</v>
      </c>
      <c r="AE615" s="4" t="s">
        <v>47</v>
      </c>
      <c r="AF615" s="4" t="s">
        <v>47</v>
      </c>
      <c r="AG615" s="4" t="s">
        <v>47</v>
      </c>
      <c r="AH615" s="4" t="s">
        <v>47</v>
      </c>
      <c r="AI615" s="4" t="s">
        <v>47</v>
      </c>
      <c r="AJ615" s="4" t="s">
        <v>47</v>
      </c>
      <c r="AK615" s="4" t="s">
        <v>47</v>
      </c>
      <c r="AL615" s="4" t="s">
        <v>47</v>
      </c>
      <c r="AM615" s="4" t="s">
        <v>47</v>
      </c>
      <c r="AN615" s="4" t="s">
        <v>47</v>
      </c>
      <c r="AO615" s="4" t="s">
        <v>6008</v>
      </c>
      <c r="AP615" s="4" t="s">
        <v>6009</v>
      </c>
      <c r="AQ615" s="4" t="s">
        <v>6010</v>
      </c>
      <c r="AR615" s="4" t="s">
        <v>6011</v>
      </c>
    </row>
    <row r="616" spans="1:44" x14ac:dyDescent="0.2">
      <c r="A616" s="4" t="s">
        <v>173</v>
      </c>
      <c r="B616" s="4" t="s">
        <v>258</v>
      </c>
      <c r="C616">
        <v>2</v>
      </c>
      <c r="F616">
        <v>2</v>
      </c>
      <c r="I616" s="4" t="s">
        <v>6012</v>
      </c>
      <c r="J616" s="4" t="s">
        <v>6013</v>
      </c>
      <c r="K616" s="4" t="s">
        <v>5617</v>
      </c>
      <c r="L616" s="4" t="s">
        <v>5970</v>
      </c>
      <c r="M616">
        <v>20000</v>
      </c>
      <c r="N616" s="4" t="s">
        <v>5971</v>
      </c>
      <c r="O616" s="4" t="s">
        <v>6014</v>
      </c>
      <c r="P616" s="4" t="s">
        <v>5953</v>
      </c>
      <c r="Q616" s="9">
        <v>30133</v>
      </c>
      <c r="R616" s="4" t="s">
        <v>1487</v>
      </c>
      <c r="S616" s="4" t="s">
        <v>6015</v>
      </c>
      <c r="T616" s="4" t="s">
        <v>47</v>
      </c>
      <c r="U616" s="4" t="s">
        <v>20</v>
      </c>
      <c r="V616">
        <v>1982</v>
      </c>
      <c r="W616" s="4" t="s">
        <v>6016</v>
      </c>
      <c r="X616" s="4" t="s">
        <v>6017</v>
      </c>
      <c r="Y616" s="4" t="s">
        <v>6018</v>
      </c>
      <c r="Z616" s="4" t="s">
        <v>6019</v>
      </c>
      <c r="AA616" s="4" t="s">
        <v>47</v>
      </c>
      <c r="AB616" s="4" t="s">
        <v>47</v>
      </c>
      <c r="AC616" s="4" t="s">
        <v>47</v>
      </c>
      <c r="AD616" s="4" t="s">
        <v>47</v>
      </c>
      <c r="AE616" s="4" t="s">
        <v>47</v>
      </c>
      <c r="AF616" s="4" t="s">
        <v>47</v>
      </c>
      <c r="AG616" s="4" t="s">
        <v>47</v>
      </c>
      <c r="AH616" s="4" t="s">
        <v>47</v>
      </c>
      <c r="AI616" s="4" t="s">
        <v>47</v>
      </c>
      <c r="AJ616" s="4" t="s">
        <v>47</v>
      </c>
      <c r="AK616" s="4" t="s">
        <v>47</v>
      </c>
      <c r="AL616" s="4" t="s">
        <v>47</v>
      </c>
      <c r="AM616" s="4" t="s">
        <v>47</v>
      </c>
      <c r="AN616" s="4" t="s">
        <v>47</v>
      </c>
      <c r="AO616" s="4" t="s">
        <v>6020</v>
      </c>
      <c r="AP616" s="4" t="s">
        <v>47</v>
      </c>
      <c r="AQ616" s="4" t="s">
        <v>6021</v>
      </c>
      <c r="AR616" s="4" t="s">
        <v>6022</v>
      </c>
    </row>
    <row r="617" spans="1:44" x14ac:dyDescent="0.2">
      <c r="A617" s="4" t="s">
        <v>148</v>
      </c>
      <c r="B617" s="4" t="s">
        <v>5211</v>
      </c>
      <c r="C617">
        <v>0</v>
      </c>
      <c r="F617">
        <v>1</v>
      </c>
      <c r="I617" s="4" t="s">
        <v>5027</v>
      </c>
      <c r="J617" s="4" t="s">
        <v>6023</v>
      </c>
      <c r="K617" s="4" t="s">
        <v>5982</v>
      </c>
      <c r="L617" s="4" t="s">
        <v>5983</v>
      </c>
      <c r="M617">
        <v>45000</v>
      </c>
      <c r="N617" s="4" t="s">
        <v>5924</v>
      </c>
      <c r="O617" s="4" t="s">
        <v>6024</v>
      </c>
      <c r="P617" s="4" t="s">
        <v>5953</v>
      </c>
      <c r="Q617" s="9">
        <v>30133</v>
      </c>
      <c r="R617" s="4" t="s">
        <v>963</v>
      </c>
      <c r="S617" s="4" t="s">
        <v>4955</v>
      </c>
      <c r="T617" s="4" t="s">
        <v>47</v>
      </c>
      <c r="U617" s="4" t="s">
        <v>20</v>
      </c>
      <c r="V617">
        <v>1982</v>
      </c>
      <c r="W617" s="4" t="s">
        <v>47</v>
      </c>
      <c r="X617" s="4" t="s">
        <v>6025</v>
      </c>
      <c r="Y617" s="4" t="s">
        <v>47</v>
      </c>
      <c r="Z617" s="4" t="s">
        <v>6026</v>
      </c>
      <c r="AA617" s="4" t="s">
        <v>47</v>
      </c>
      <c r="AB617" s="4" t="s">
        <v>47</v>
      </c>
      <c r="AC617" s="4" t="s">
        <v>47</v>
      </c>
      <c r="AD617" s="4" t="s">
        <v>47</v>
      </c>
      <c r="AE617" s="4" t="s">
        <v>47</v>
      </c>
      <c r="AF617" s="4" t="s">
        <v>47</v>
      </c>
      <c r="AG617" s="4" t="s">
        <v>47</v>
      </c>
      <c r="AH617" s="4" t="s">
        <v>47</v>
      </c>
      <c r="AI617" s="4" t="s">
        <v>47</v>
      </c>
      <c r="AJ617" s="4" t="s">
        <v>47</v>
      </c>
      <c r="AK617" s="4" t="s">
        <v>47</v>
      </c>
      <c r="AL617" s="4" t="s">
        <v>47</v>
      </c>
      <c r="AM617" s="4" t="s">
        <v>47</v>
      </c>
      <c r="AN617" s="4" t="s">
        <v>47</v>
      </c>
      <c r="AO617" s="4" t="s">
        <v>47</v>
      </c>
      <c r="AP617" s="4" t="s">
        <v>6027</v>
      </c>
      <c r="AQ617" s="4" t="s">
        <v>6028</v>
      </c>
      <c r="AR617" s="4" t="s">
        <v>6029</v>
      </c>
    </row>
    <row r="618" spans="1:44" x14ac:dyDescent="0.2">
      <c r="A618" s="4" t="s">
        <v>97</v>
      </c>
      <c r="B618" s="4" t="s">
        <v>26</v>
      </c>
      <c r="C618">
        <v>2</v>
      </c>
      <c r="F618">
        <v>1</v>
      </c>
      <c r="I618" s="4" t="s">
        <v>5530</v>
      </c>
      <c r="J618" s="4" t="s">
        <v>5897</v>
      </c>
      <c r="K618" s="4" t="s">
        <v>5990</v>
      </c>
      <c r="L618" s="4" t="s">
        <v>3912</v>
      </c>
      <c r="M618">
        <v>43000</v>
      </c>
      <c r="N618" s="4" t="s">
        <v>5951</v>
      </c>
      <c r="O618" s="4" t="s">
        <v>6030</v>
      </c>
      <c r="P618" s="4" t="s">
        <v>5953</v>
      </c>
      <c r="Q618" s="9">
        <v>30131</v>
      </c>
      <c r="R618" s="4" t="s">
        <v>617</v>
      </c>
      <c r="S618" s="4" t="s">
        <v>6031</v>
      </c>
      <c r="T618" s="4" t="s">
        <v>47</v>
      </c>
      <c r="U618" s="4" t="s">
        <v>20</v>
      </c>
      <c r="V618">
        <v>1982</v>
      </c>
      <c r="W618" s="4" t="s">
        <v>6032</v>
      </c>
      <c r="X618" s="4" t="s">
        <v>6033</v>
      </c>
      <c r="Y618" s="4" t="s">
        <v>6034</v>
      </c>
      <c r="Z618" s="4" t="s">
        <v>6035</v>
      </c>
      <c r="AA618" s="4" t="s">
        <v>47</v>
      </c>
      <c r="AB618" s="4" t="s">
        <v>47</v>
      </c>
      <c r="AC618" s="4" t="s">
        <v>47</v>
      </c>
      <c r="AD618" s="4" t="s">
        <v>47</v>
      </c>
      <c r="AE618" s="4" t="s">
        <v>47</v>
      </c>
      <c r="AF618" s="4" t="s">
        <v>47</v>
      </c>
      <c r="AG618" s="4" t="s">
        <v>47</v>
      </c>
      <c r="AH618" s="4" t="s">
        <v>47</v>
      </c>
      <c r="AI618" s="4" t="s">
        <v>47</v>
      </c>
      <c r="AJ618" s="4" t="s">
        <v>47</v>
      </c>
      <c r="AK618" s="4" t="s">
        <v>47</v>
      </c>
      <c r="AL618" s="4" t="s">
        <v>6036</v>
      </c>
      <c r="AM618" s="4" t="s">
        <v>47</v>
      </c>
      <c r="AN618" s="4" t="s">
        <v>47</v>
      </c>
      <c r="AO618" s="4" t="s">
        <v>6037</v>
      </c>
      <c r="AP618" s="4" t="s">
        <v>6038</v>
      </c>
      <c r="AQ618" s="4" t="s">
        <v>6039</v>
      </c>
      <c r="AR618" s="4" t="s">
        <v>6040</v>
      </c>
    </row>
    <row r="619" spans="1:44" x14ac:dyDescent="0.2">
      <c r="A619" s="4" t="s">
        <v>104</v>
      </c>
      <c r="B619" s="4" t="s">
        <v>52</v>
      </c>
      <c r="C619">
        <v>0</v>
      </c>
      <c r="F619">
        <v>0</v>
      </c>
      <c r="I619" s="4" t="s">
        <v>5898</v>
      </c>
      <c r="J619" s="4" t="s">
        <v>5416</v>
      </c>
      <c r="K619" s="4" t="s">
        <v>5964</v>
      </c>
      <c r="L619" s="4" t="s">
        <v>5965</v>
      </c>
      <c r="M619">
        <v>75000</v>
      </c>
      <c r="N619" s="4" t="s">
        <v>5899</v>
      </c>
      <c r="O619" s="4" t="s">
        <v>6041</v>
      </c>
      <c r="P619" s="4" t="s">
        <v>5953</v>
      </c>
      <c r="Q619" s="9">
        <v>30131</v>
      </c>
      <c r="R619" s="4" t="s">
        <v>869</v>
      </c>
      <c r="S619" s="4" t="s">
        <v>5901</v>
      </c>
      <c r="T619" s="4" t="s">
        <v>47</v>
      </c>
      <c r="U619" s="4" t="s">
        <v>20</v>
      </c>
      <c r="V619">
        <v>1982</v>
      </c>
      <c r="W619" s="4" t="s">
        <v>47</v>
      </c>
      <c r="X619" s="4" t="s">
        <v>47</v>
      </c>
      <c r="Y619" s="4" t="s">
        <v>47</v>
      </c>
      <c r="Z619" s="4" t="s">
        <v>47</v>
      </c>
      <c r="AA619" s="4" t="s">
        <v>47</v>
      </c>
      <c r="AB619" s="4" t="s">
        <v>47</v>
      </c>
      <c r="AC619" s="4" t="s">
        <v>47</v>
      </c>
      <c r="AD619" s="4" t="s">
        <v>47</v>
      </c>
      <c r="AE619" s="4" t="s">
        <v>47</v>
      </c>
      <c r="AF619" s="4" t="s">
        <v>47</v>
      </c>
      <c r="AG619" s="4" t="s">
        <v>47</v>
      </c>
      <c r="AH619" s="4" t="s">
        <v>47</v>
      </c>
      <c r="AI619" s="4" t="s">
        <v>47</v>
      </c>
      <c r="AJ619" s="4" t="s">
        <v>47</v>
      </c>
      <c r="AK619" s="4" t="s">
        <v>47</v>
      </c>
      <c r="AL619" s="4" t="s">
        <v>47</v>
      </c>
      <c r="AM619" s="4" t="s">
        <v>47</v>
      </c>
      <c r="AN619" s="4" t="s">
        <v>47</v>
      </c>
      <c r="AO619" s="4" t="s">
        <v>6042</v>
      </c>
      <c r="AP619" s="4" t="s">
        <v>47</v>
      </c>
      <c r="AQ619" s="4" t="s">
        <v>6043</v>
      </c>
      <c r="AR619" s="4" t="s">
        <v>6044</v>
      </c>
    </row>
    <row r="620" spans="1:44" x14ac:dyDescent="0.2">
      <c r="A620" s="4" t="s">
        <v>173</v>
      </c>
      <c r="B620" s="4" t="s">
        <v>87</v>
      </c>
      <c r="C620">
        <v>0</v>
      </c>
      <c r="F620">
        <v>1</v>
      </c>
      <c r="I620" s="4" t="s">
        <v>6012</v>
      </c>
      <c r="J620" s="4" t="s">
        <v>6013</v>
      </c>
      <c r="K620" s="4" t="s">
        <v>5911</v>
      </c>
      <c r="L620" s="4" t="s">
        <v>5912</v>
      </c>
      <c r="M620">
        <v>37000</v>
      </c>
      <c r="N620" s="4" t="s">
        <v>5971</v>
      </c>
      <c r="O620" s="4" t="s">
        <v>6045</v>
      </c>
      <c r="P620" s="4" t="s">
        <v>5953</v>
      </c>
      <c r="Q620" s="9">
        <v>30130</v>
      </c>
      <c r="R620" s="4" t="s">
        <v>963</v>
      </c>
      <c r="S620" s="4" t="s">
        <v>6046</v>
      </c>
      <c r="T620" s="4" t="s">
        <v>47</v>
      </c>
      <c r="U620" s="4" t="s">
        <v>20</v>
      </c>
      <c r="V620">
        <v>1982</v>
      </c>
      <c r="W620" s="4" t="s">
        <v>47</v>
      </c>
      <c r="X620" s="4" t="s">
        <v>6047</v>
      </c>
      <c r="Y620" s="4" t="s">
        <v>47</v>
      </c>
      <c r="Z620" s="4" t="s">
        <v>6048</v>
      </c>
      <c r="AA620" s="4" t="s">
        <v>47</v>
      </c>
      <c r="AB620" s="4" t="s">
        <v>47</v>
      </c>
      <c r="AC620" s="4" t="s">
        <v>47</v>
      </c>
      <c r="AD620" s="4" t="s">
        <v>47</v>
      </c>
      <c r="AE620" s="4" t="s">
        <v>47</v>
      </c>
      <c r="AF620" s="4" t="s">
        <v>47</v>
      </c>
      <c r="AG620" s="4" t="s">
        <v>47</v>
      </c>
      <c r="AH620" s="4" t="s">
        <v>47</v>
      </c>
      <c r="AI620" s="4" t="s">
        <v>47</v>
      </c>
      <c r="AJ620" s="4" t="s">
        <v>47</v>
      </c>
      <c r="AK620" s="4" t="s">
        <v>47</v>
      </c>
      <c r="AL620" s="4" t="s">
        <v>47</v>
      </c>
      <c r="AM620" s="4" t="s">
        <v>47</v>
      </c>
      <c r="AN620" s="4" t="s">
        <v>47</v>
      </c>
      <c r="AO620" s="4" t="s">
        <v>6049</v>
      </c>
      <c r="AP620" s="4" t="s">
        <v>47</v>
      </c>
      <c r="AQ620" s="4" t="s">
        <v>6050</v>
      </c>
      <c r="AR620" s="4" t="s">
        <v>6051</v>
      </c>
    </row>
    <row r="621" spans="1:44" x14ac:dyDescent="0.2">
      <c r="A621" s="4" t="s">
        <v>195</v>
      </c>
      <c r="B621" s="4" t="s">
        <v>148</v>
      </c>
      <c r="C621">
        <v>3</v>
      </c>
      <c r="F621">
        <v>0</v>
      </c>
      <c r="I621" s="4" t="s">
        <v>5548</v>
      </c>
      <c r="J621" s="4" t="s">
        <v>5910</v>
      </c>
      <c r="K621" s="4" t="s">
        <v>5027</v>
      </c>
      <c r="L621" s="4" t="s">
        <v>6023</v>
      </c>
      <c r="M621">
        <v>65000</v>
      </c>
      <c r="N621" s="4" t="s">
        <v>5924</v>
      </c>
      <c r="O621" s="4" t="s">
        <v>6052</v>
      </c>
      <c r="P621" s="4" t="s">
        <v>5953</v>
      </c>
      <c r="Q621" s="9">
        <v>30130</v>
      </c>
      <c r="R621" s="4" t="s">
        <v>638</v>
      </c>
      <c r="S621" s="4" t="s">
        <v>6053</v>
      </c>
      <c r="T621" s="4" t="s">
        <v>47</v>
      </c>
      <c r="U621" s="4" t="s">
        <v>20</v>
      </c>
      <c r="V621">
        <v>1982</v>
      </c>
      <c r="W621" s="4" t="s">
        <v>6054</v>
      </c>
      <c r="X621" s="4" t="s">
        <v>47</v>
      </c>
      <c r="Y621" s="4" t="s">
        <v>6055</v>
      </c>
      <c r="Z621" s="4" t="s">
        <v>47</v>
      </c>
      <c r="AA621" s="4" t="s">
        <v>47</v>
      </c>
      <c r="AB621" s="4" t="s">
        <v>47</v>
      </c>
      <c r="AC621" s="4" t="s">
        <v>47</v>
      </c>
      <c r="AD621" s="4" t="s">
        <v>47</v>
      </c>
      <c r="AE621" s="4" t="s">
        <v>47</v>
      </c>
      <c r="AF621" s="4" t="s">
        <v>47</v>
      </c>
      <c r="AG621" s="4" t="s">
        <v>47</v>
      </c>
      <c r="AH621" s="4" t="s">
        <v>47</v>
      </c>
      <c r="AI621" s="4" t="s">
        <v>47</v>
      </c>
      <c r="AJ621" s="4" t="s">
        <v>47</v>
      </c>
      <c r="AK621" s="4" t="s">
        <v>47</v>
      </c>
      <c r="AL621" s="4" t="s">
        <v>47</v>
      </c>
      <c r="AM621" s="4" t="s">
        <v>47</v>
      </c>
      <c r="AN621" s="4" t="s">
        <v>47</v>
      </c>
      <c r="AO621" s="4" t="s">
        <v>6056</v>
      </c>
      <c r="AP621" s="4" t="s">
        <v>47</v>
      </c>
      <c r="AQ621" s="4" t="s">
        <v>6057</v>
      </c>
      <c r="AR621" s="4" t="s">
        <v>6058</v>
      </c>
    </row>
    <row r="622" spans="1:44" x14ac:dyDescent="0.2">
      <c r="A622" s="4" t="s">
        <v>52</v>
      </c>
      <c r="B622" s="4" t="s">
        <v>383</v>
      </c>
      <c r="C622">
        <v>1</v>
      </c>
      <c r="F622">
        <v>0</v>
      </c>
      <c r="I622" s="4" t="s">
        <v>5964</v>
      </c>
      <c r="J622" s="4" t="s">
        <v>5965</v>
      </c>
      <c r="K622" s="4" t="s">
        <v>2646</v>
      </c>
      <c r="L622" s="4" t="s">
        <v>6059</v>
      </c>
      <c r="M622">
        <v>39700</v>
      </c>
      <c r="N622" s="4" t="s">
        <v>6060</v>
      </c>
      <c r="O622" s="4" t="s">
        <v>6061</v>
      </c>
      <c r="P622" s="4" t="s">
        <v>6062</v>
      </c>
      <c r="Q622" s="9">
        <v>30127</v>
      </c>
      <c r="R622" s="4" t="s">
        <v>652</v>
      </c>
      <c r="S622" s="4" t="s">
        <v>6063</v>
      </c>
      <c r="T622" s="4" t="s">
        <v>47</v>
      </c>
      <c r="U622" s="4" t="s">
        <v>20</v>
      </c>
      <c r="V622">
        <v>1982</v>
      </c>
      <c r="W622" s="4" t="s">
        <v>6064</v>
      </c>
      <c r="X622" s="4" t="s">
        <v>47</v>
      </c>
      <c r="Y622" s="4" t="s">
        <v>6065</v>
      </c>
      <c r="Z622" s="4" t="s">
        <v>47</v>
      </c>
      <c r="AA622" s="4" t="s">
        <v>47</v>
      </c>
      <c r="AB622" s="4" t="s">
        <v>47</v>
      </c>
      <c r="AC622" s="4" t="s">
        <v>47</v>
      </c>
      <c r="AD622" s="4" t="s">
        <v>47</v>
      </c>
      <c r="AE622" s="4" t="s">
        <v>47</v>
      </c>
      <c r="AF622" s="4" t="s">
        <v>47</v>
      </c>
      <c r="AG622" s="4" t="s">
        <v>47</v>
      </c>
      <c r="AH622" s="4" t="s">
        <v>47</v>
      </c>
      <c r="AI622" s="4" t="s">
        <v>47</v>
      </c>
      <c r="AJ622" s="4" t="s">
        <v>47</v>
      </c>
      <c r="AK622" s="4" t="s">
        <v>47</v>
      </c>
      <c r="AL622" s="4" t="s">
        <v>47</v>
      </c>
      <c r="AM622" s="4" t="s">
        <v>47</v>
      </c>
      <c r="AN622" s="4" t="s">
        <v>47</v>
      </c>
      <c r="AO622" s="4" t="s">
        <v>6066</v>
      </c>
      <c r="AP622" s="4" t="s">
        <v>6067</v>
      </c>
      <c r="AQ622" s="4" t="s">
        <v>47</v>
      </c>
      <c r="AR622" s="4" t="s">
        <v>6068</v>
      </c>
    </row>
    <row r="623" spans="1:44" x14ac:dyDescent="0.2">
      <c r="A623" s="4" t="s">
        <v>104</v>
      </c>
      <c r="B623" s="4" t="s">
        <v>173</v>
      </c>
      <c r="C623">
        <v>1</v>
      </c>
      <c r="F623">
        <v>0</v>
      </c>
      <c r="I623" s="4" t="s">
        <v>5898</v>
      </c>
      <c r="J623" s="4" t="s">
        <v>5416</v>
      </c>
      <c r="K623" s="4" t="s">
        <v>6012</v>
      </c>
      <c r="L623" s="4" t="s">
        <v>6013</v>
      </c>
      <c r="M623">
        <v>41000</v>
      </c>
      <c r="N623" s="4" t="s">
        <v>6069</v>
      </c>
      <c r="O623" s="4" t="s">
        <v>6070</v>
      </c>
      <c r="P623" s="4" t="s">
        <v>6062</v>
      </c>
      <c r="Q623" s="9">
        <v>30127</v>
      </c>
      <c r="R623" s="4" t="s">
        <v>652</v>
      </c>
      <c r="S623" s="4" t="s">
        <v>5985</v>
      </c>
      <c r="T623" s="4" t="s">
        <v>47</v>
      </c>
      <c r="U623" s="4" t="s">
        <v>20</v>
      </c>
      <c r="V623">
        <v>1982</v>
      </c>
      <c r="W623" s="4" t="s">
        <v>6071</v>
      </c>
      <c r="X623" s="4" t="s">
        <v>47</v>
      </c>
      <c r="Y623" s="4" t="s">
        <v>6072</v>
      </c>
      <c r="Z623" s="4" t="s">
        <v>47</v>
      </c>
      <c r="AA623" s="4" t="s">
        <v>47</v>
      </c>
      <c r="AB623" s="4" t="s">
        <v>47</v>
      </c>
      <c r="AC623" s="4" t="s">
        <v>47</v>
      </c>
      <c r="AD623" s="4" t="s">
        <v>47</v>
      </c>
      <c r="AE623" s="4" t="s">
        <v>47</v>
      </c>
      <c r="AF623" s="4" t="s">
        <v>47</v>
      </c>
      <c r="AG623" s="4" t="s">
        <v>47</v>
      </c>
      <c r="AH623" s="4" t="s">
        <v>47</v>
      </c>
      <c r="AI623" s="4" t="s">
        <v>47</v>
      </c>
      <c r="AJ623" s="4" t="s">
        <v>47</v>
      </c>
      <c r="AK623" s="4" t="s">
        <v>47</v>
      </c>
      <c r="AL623" s="4" t="s">
        <v>47</v>
      </c>
      <c r="AM623" s="4" t="s">
        <v>47</v>
      </c>
      <c r="AN623" s="4" t="s">
        <v>47</v>
      </c>
      <c r="AO623" s="4" t="s">
        <v>47</v>
      </c>
      <c r="AP623" s="4" t="s">
        <v>6073</v>
      </c>
      <c r="AQ623" s="4" t="s">
        <v>6074</v>
      </c>
      <c r="AR623" s="4" t="s">
        <v>47</v>
      </c>
    </row>
    <row r="624" spans="1:44" x14ac:dyDescent="0.2">
      <c r="A624" s="4" t="s">
        <v>258</v>
      </c>
      <c r="B624" s="4" t="s">
        <v>20</v>
      </c>
      <c r="C624">
        <v>1</v>
      </c>
      <c r="F624">
        <v>0</v>
      </c>
      <c r="I624" s="4" t="s">
        <v>5617</v>
      </c>
      <c r="J624" s="4" t="s">
        <v>5970</v>
      </c>
      <c r="K624" s="4" t="s">
        <v>5962</v>
      </c>
      <c r="L624" s="4" t="s">
        <v>5963</v>
      </c>
      <c r="M624">
        <v>49562</v>
      </c>
      <c r="N624" s="4" t="s">
        <v>6075</v>
      </c>
      <c r="O624" s="4" t="s">
        <v>6076</v>
      </c>
      <c r="P624" s="4" t="s">
        <v>6062</v>
      </c>
      <c r="Q624" s="9">
        <v>30127</v>
      </c>
      <c r="R624" s="4" t="s">
        <v>652</v>
      </c>
      <c r="S624" s="4" t="s">
        <v>6077</v>
      </c>
      <c r="T624" s="4" t="s">
        <v>47</v>
      </c>
      <c r="U624" s="4" t="s">
        <v>20</v>
      </c>
      <c r="V624">
        <v>1982</v>
      </c>
      <c r="W624" s="4" t="s">
        <v>6078</v>
      </c>
      <c r="X624" s="4" t="s">
        <v>47</v>
      </c>
      <c r="Y624" s="4" t="s">
        <v>6079</v>
      </c>
      <c r="Z624" s="4" t="s">
        <v>47</v>
      </c>
      <c r="AA624" s="4" t="s">
        <v>47</v>
      </c>
      <c r="AB624" s="4" t="s">
        <v>47</v>
      </c>
      <c r="AC624" s="4" t="s">
        <v>47</v>
      </c>
      <c r="AD624" s="4" t="s">
        <v>47</v>
      </c>
      <c r="AE624" s="4" t="s">
        <v>47</v>
      </c>
      <c r="AF624" s="4" t="s">
        <v>47</v>
      </c>
      <c r="AG624" s="4" t="s">
        <v>47</v>
      </c>
      <c r="AH624" s="4" t="s">
        <v>47</v>
      </c>
      <c r="AI624" s="4" t="s">
        <v>47</v>
      </c>
      <c r="AJ624" s="4" t="s">
        <v>47</v>
      </c>
      <c r="AK624" s="4" t="s">
        <v>6080</v>
      </c>
      <c r="AL624" s="4" t="s">
        <v>47</v>
      </c>
      <c r="AM624" s="4" t="s">
        <v>47</v>
      </c>
      <c r="AN624" s="4" t="s">
        <v>47</v>
      </c>
      <c r="AO624" s="4" t="s">
        <v>6081</v>
      </c>
      <c r="AP624" s="4" t="s">
        <v>6082</v>
      </c>
      <c r="AQ624" s="4" t="s">
        <v>6083</v>
      </c>
      <c r="AR624" s="4" t="s">
        <v>6084</v>
      </c>
    </row>
    <row r="625" spans="1:44" x14ac:dyDescent="0.2">
      <c r="A625" s="4" t="s">
        <v>87</v>
      </c>
      <c r="B625" s="4" t="s">
        <v>114</v>
      </c>
      <c r="C625">
        <v>1</v>
      </c>
      <c r="F625">
        <v>1</v>
      </c>
      <c r="I625" s="4" t="s">
        <v>5911</v>
      </c>
      <c r="J625" s="4" t="s">
        <v>5439</v>
      </c>
      <c r="K625" s="4" t="s">
        <v>4968</v>
      </c>
      <c r="L625" s="4" t="s">
        <v>6085</v>
      </c>
      <c r="M625">
        <v>28000</v>
      </c>
      <c r="N625" s="4" t="s">
        <v>6086</v>
      </c>
      <c r="O625" s="4" t="s">
        <v>6087</v>
      </c>
      <c r="P625" s="4" t="s">
        <v>6062</v>
      </c>
      <c r="Q625" s="9">
        <v>30126</v>
      </c>
      <c r="R625" s="4" t="s">
        <v>1046</v>
      </c>
      <c r="S625" s="4" t="s">
        <v>6003</v>
      </c>
      <c r="T625" s="4" t="s">
        <v>47</v>
      </c>
      <c r="U625" s="4" t="s">
        <v>20</v>
      </c>
      <c r="V625">
        <v>1982</v>
      </c>
      <c r="W625" s="4" t="s">
        <v>6088</v>
      </c>
      <c r="X625" s="4" t="s">
        <v>47</v>
      </c>
      <c r="Y625" s="4" t="s">
        <v>6089</v>
      </c>
      <c r="Z625" s="4" t="s">
        <v>47</v>
      </c>
      <c r="AA625" s="4" t="s">
        <v>47</v>
      </c>
      <c r="AB625" s="4" t="s">
        <v>47</v>
      </c>
      <c r="AC625" s="4" t="s">
        <v>47</v>
      </c>
      <c r="AD625" s="4" t="s">
        <v>6090</v>
      </c>
      <c r="AE625" s="4" t="s">
        <v>47</v>
      </c>
      <c r="AF625" s="4" t="s">
        <v>47</v>
      </c>
      <c r="AG625" s="4" t="s">
        <v>47</v>
      </c>
      <c r="AH625" s="4" t="s">
        <v>47</v>
      </c>
      <c r="AI625" s="4" t="s">
        <v>47</v>
      </c>
      <c r="AJ625" s="4" t="s">
        <v>47</v>
      </c>
      <c r="AK625" s="4" t="s">
        <v>47</v>
      </c>
      <c r="AL625" s="4" t="s">
        <v>6091</v>
      </c>
      <c r="AM625" s="4" t="s">
        <v>47</v>
      </c>
      <c r="AN625" s="4" t="s">
        <v>47</v>
      </c>
      <c r="AO625" s="4" t="s">
        <v>6092</v>
      </c>
      <c r="AP625" s="4" t="s">
        <v>6093</v>
      </c>
      <c r="AQ625" s="4" t="s">
        <v>6094</v>
      </c>
      <c r="AR625" s="4" t="s">
        <v>6095</v>
      </c>
    </row>
    <row r="626" spans="1:44" x14ac:dyDescent="0.2">
      <c r="A626" s="4" t="s">
        <v>181</v>
      </c>
      <c r="B626" s="4" t="s">
        <v>113</v>
      </c>
      <c r="C626">
        <v>3</v>
      </c>
      <c r="F626">
        <v>2</v>
      </c>
      <c r="I626" s="4" t="s">
        <v>6096</v>
      </c>
      <c r="J626" s="4" t="s">
        <v>6097</v>
      </c>
      <c r="K626" s="4" t="s">
        <v>6098</v>
      </c>
      <c r="L626" s="4" t="s">
        <v>6099</v>
      </c>
      <c r="M626">
        <v>16000</v>
      </c>
      <c r="N626" s="4" t="s">
        <v>6100</v>
      </c>
      <c r="O626" s="4" t="s">
        <v>6101</v>
      </c>
      <c r="P626" s="4" t="s">
        <v>6062</v>
      </c>
      <c r="Q626" s="9">
        <v>30126</v>
      </c>
      <c r="R626" s="4" t="s">
        <v>1130</v>
      </c>
      <c r="S626" s="4" t="s">
        <v>5756</v>
      </c>
      <c r="T626" s="4" t="s">
        <v>47</v>
      </c>
      <c r="U626" s="4" t="s">
        <v>20</v>
      </c>
      <c r="V626">
        <v>1982</v>
      </c>
      <c r="W626" s="4" t="s">
        <v>6102</v>
      </c>
      <c r="X626" s="4" t="s">
        <v>6103</v>
      </c>
      <c r="Y626" s="4" t="s">
        <v>6104</v>
      </c>
      <c r="Z626" s="4" t="s">
        <v>6105</v>
      </c>
      <c r="AA626" s="4" t="s">
        <v>47</v>
      </c>
      <c r="AB626" s="4" t="s">
        <v>47</v>
      </c>
      <c r="AC626" s="4" t="s">
        <v>47</v>
      </c>
      <c r="AD626" s="4" t="s">
        <v>6106</v>
      </c>
      <c r="AE626" s="4" t="s">
        <v>47</v>
      </c>
      <c r="AF626" s="4" t="s">
        <v>47</v>
      </c>
      <c r="AG626" s="4" t="s">
        <v>47</v>
      </c>
      <c r="AH626" s="4" t="s">
        <v>47</v>
      </c>
      <c r="AI626" s="4" t="s">
        <v>47</v>
      </c>
      <c r="AJ626" s="4" t="s">
        <v>47</v>
      </c>
      <c r="AK626" s="4" t="s">
        <v>47</v>
      </c>
      <c r="AL626" s="4" t="s">
        <v>47</v>
      </c>
      <c r="AM626" s="4" t="s">
        <v>47</v>
      </c>
      <c r="AN626" s="4" t="s">
        <v>47</v>
      </c>
      <c r="AO626" s="4" t="s">
        <v>47</v>
      </c>
      <c r="AP626" s="4" t="s">
        <v>6107</v>
      </c>
      <c r="AQ626" s="4" t="s">
        <v>6108</v>
      </c>
      <c r="AR626" s="4" t="s">
        <v>6109</v>
      </c>
    </row>
    <row r="627" spans="1:44" x14ac:dyDescent="0.2">
      <c r="A627" s="4" t="s">
        <v>248</v>
      </c>
      <c r="B627" s="4" t="s">
        <v>4991</v>
      </c>
      <c r="C627">
        <v>0</v>
      </c>
      <c r="F627">
        <v>1</v>
      </c>
      <c r="I627" s="4" t="s">
        <v>6110</v>
      </c>
      <c r="J627" s="4" t="s">
        <v>6111</v>
      </c>
      <c r="K627" s="4" t="s">
        <v>6112</v>
      </c>
      <c r="L627" s="4" t="s">
        <v>6113</v>
      </c>
      <c r="M627">
        <v>25000</v>
      </c>
      <c r="N627" s="4" t="s">
        <v>6114</v>
      </c>
      <c r="O627" s="4" t="s">
        <v>6115</v>
      </c>
      <c r="P627" s="4" t="s">
        <v>6062</v>
      </c>
      <c r="Q627" s="9">
        <v>30126</v>
      </c>
      <c r="R627" s="4" t="s">
        <v>963</v>
      </c>
      <c r="S627" s="4" t="s">
        <v>6116</v>
      </c>
      <c r="T627" s="4" t="s">
        <v>47</v>
      </c>
      <c r="U627" s="4" t="s">
        <v>20</v>
      </c>
      <c r="V627">
        <v>1982</v>
      </c>
      <c r="W627" s="4" t="s">
        <v>47</v>
      </c>
      <c r="X627" s="4" t="s">
        <v>47</v>
      </c>
      <c r="Y627" s="4" t="s">
        <v>47</v>
      </c>
      <c r="Z627" s="4" t="s">
        <v>47</v>
      </c>
      <c r="AA627" s="4" t="s">
        <v>47</v>
      </c>
      <c r="AB627" s="4" t="s">
        <v>47</v>
      </c>
      <c r="AC627" s="4" t="s">
        <v>47</v>
      </c>
      <c r="AD627" s="4" t="s">
        <v>6117</v>
      </c>
      <c r="AE627" s="4" t="s">
        <v>47</v>
      </c>
      <c r="AF627" s="4" t="s">
        <v>47</v>
      </c>
      <c r="AG627" s="4" t="s">
        <v>47</v>
      </c>
      <c r="AH627" s="4" t="s">
        <v>47</v>
      </c>
      <c r="AI627" s="4" t="s">
        <v>47</v>
      </c>
      <c r="AJ627" s="4" t="s">
        <v>47</v>
      </c>
      <c r="AK627" s="4" t="s">
        <v>6118</v>
      </c>
      <c r="AL627" s="4" t="s">
        <v>47</v>
      </c>
      <c r="AM627" s="4" t="s">
        <v>47</v>
      </c>
      <c r="AN627" s="4" t="s">
        <v>47</v>
      </c>
      <c r="AO627" s="4" t="s">
        <v>6119</v>
      </c>
      <c r="AP627" s="4" t="s">
        <v>6120</v>
      </c>
      <c r="AQ627" s="4" t="s">
        <v>6121</v>
      </c>
      <c r="AR627" s="4" t="s">
        <v>6122</v>
      </c>
    </row>
    <row r="628" spans="1:44" x14ac:dyDescent="0.2">
      <c r="A628" s="4" t="s">
        <v>97</v>
      </c>
      <c r="B628" s="4" t="s">
        <v>209</v>
      </c>
      <c r="C628">
        <v>1</v>
      </c>
      <c r="F628">
        <v>1</v>
      </c>
      <c r="I628" s="4" t="s">
        <v>5530</v>
      </c>
      <c r="J628" s="4" t="s">
        <v>5897</v>
      </c>
      <c r="K628" s="4" t="s">
        <v>6123</v>
      </c>
      <c r="L628" s="4" t="s">
        <v>6124</v>
      </c>
      <c r="M628">
        <v>20000</v>
      </c>
      <c r="N628" s="4" t="s">
        <v>6125</v>
      </c>
      <c r="O628" s="4" t="s">
        <v>6126</v>
      </c>
      <c r="P628" s="4" t="s">
        <v>6062</v>
      </c>
      <c r="Q628" s="9">
        <v>30125</v>
      </c>
      <c r="R628" s="4" t="s">
        <v>1046</v>
      </c>
      <c r="S628" s="4" t="s">
        <v>5627</v>
      </c>
      <c r="T628" s="4" t="s">
        <v>47</v>
      </c>
      <c r="U628" s="4" t="s">
        <v>20</v>
      </c>
      <c r="V628">
        <v>1982</v>
      </c>
      <c r="W628" s="4" t="s">
        <v>6127</v>
      </c>
      <c r="X628" s="4" t="s">
        <v>6128</v>
      </c>
      <c r="Y628" s="4" t="s">
        <v>6129</v>
      </c>
      <c r="Z628" s="4" t="s">
        <v>6130</v>
      </c>
      <c r="AA628" s="4" t="s">
        <v>47</v>
      </c>
      <c r="AB628" s="4" t="s">
        <v>47</v>
      </c>
      <c r="AC628" s="4" t="s">
        <v>47</v>
      </c>
      <c r="AD628" s="4" t="s">
        <v>47</v>
      </c>
      <c r="AE628" s="4" t="s">
        <v>47</v>
      </c>
      <c r="AF628" s="4" t="s">
        <v>47</v>
      </c>
      <c r="AG628" s="4" t="s">
        <v>47</v>
      </c>
      <c r="AH628" s="4" t="s">
        <v>47</v>
      </c>
      <c r="AI628" s="4" t="s">
        <v>47</v>
      </c>
      <c r="AJ628" s="4" t="s">
        <v>47</v>
      </c>
      <c r="AK628" s="4" t="s">
        <v>47</v>
      </c>
      <c r="AL628" s="4" t="s">
        <v>47</v>
      </c>
      <c r="AM628" s="4" t="s">
        <v>47</v>
      </c>
      <c r="AN628" s="4" t="s">
        <v>47</v>
      </c>
      <c r="AO628" s="4" t="s">
        <v>6131</v>
      </c>
      <c r="AP628" s="4" t="s">
        <v>6132</v>
      </c>
      <c r="AQ628" s="4" t="s">
        <v>47</v>
      </c>
      <c r="AR628" s="4" t="s">
        <v>47</v>
      </c>
    </row>
    <row r="629" spans="1:44" x14ac:dyDescent="0.2">
      <c r="A629" s="4" t="s">
        <v>26</v>
      </c>
      <c r="B629" s="4" t="s">
        <v>319</v>
      </c>
      <c r="C629">
        <v>2</v>
      </c>
      <c r="F629">
        <v>0</v>
      </c>
      <c r="I629" s="4" t="s">
        <v>5990</v>
      </c>
      <c r="J629" s="4" t="s">
        <v>3912</v>
      </c>
      <c r="K629" s="4" t="s">
        <v>6133</v>
      </c>
      <c r="L629" s="4" t="s">
        <v>6134</v>
      </c>
      <c r="M629">
        <v>32500</v>
      </c>
      <c r="N629" s="4" t="s">
        <v>5913</v>
      </c>
      <c r="O629" s="4" t="s">
        <v>6135</v>
      </c>
      <c r="P629" s="4" t="s">
        <v>6062</v>
      </c>
      <c r="Q629" s="9">
        <v>30125</v>
      </c>
      <c r="R629" s="4" t="s">
        <v>630</v>
      </c>
      <c r="S629" s="4" t="s">
        <v>6136</v>
      </c>
      <c r="T629" s="4" t="s">
        <v>47</v>
      </c>
      <c r="U629" s="4" t="s">
        <v>20</v>
      </c>
      <c r="V629">
        <v>1982</v>
      </c>
      <c r="W629" s="4" t="s">
        <v>6137</v>
      </c>
      <c r="X629" s="4" t="s">
        <v>47</v>
      </c>
      <c r="Y629" s="4" t="s">
        <v>6138</v>
      </c>
      <c r="Z629" s="4" t="s">
        <v>47</v>
      </c>
      <c r="AA629" s="4" t="s">
        <v>47</v>
      </c>
      <c r="AB629" s="4" t="s">
        <v>47</v>
      </c>
      <c r="AC629" s="4" t="s">
        <v>6139</v>
      </c>
      <c r="AD629" s="4" t="s">
        <v>47</v>
      </c>
      <c r="AE629" s="4" t="s">
        <v>47</v>
      </c>
      <c r="AF629" s="4" t="s">
        <v>47</v>
      </c>
      <c r="AG629" s="4" t="s">
        <v>47</v>
      </c>
      <c r="AH629" s="4" t="s">
        <v>47</v>
      </c>
      <c r="AI629" s="4" t="s">
        <v>47</v>
      </c>
      <c r="AJ629" s="4" t="s">
        <v>47</v>
      </c>
      <c r="AK629" s="4" t="s">
        <v>47</v>
      </c>
      <c r="AL629" s="4" t="s">
        <v>47</v>
      </c>
      <c r="AM629" s="4" t="s">
        <v>47</v>
      </c>
      <c r="AN629" s="4" t="s">
        <v>47</v>
      </c>
      <c r="AO629" s="4" t="s">
        <v>6140</v>
      </c>
      <c r="AP629" s="4" t="s">
        <v>6141</v>
      </c>
      <c r="AQ629" s="4" t="s">
        <v>6142</v>
      </c>
      <c r="AR629" s="4" t="s">
        <v>6143</v>
      </c>
    </row>
    <row r="630" spans="1:44" x14ac:dyDescent="0.2">
      <c r="A630" s="4" t="s">
        <v>12</v>
      </c>
      <c r="B630" s="4" t="s">
        <v>288</v>
      </c>
      <c r="C630">
        <v>4</v>
      </c>
      <c r="F630">
        <v>0</v>
      </c>
      <c r="I630" s="4" t="s">
        <v>5481</v>
      </c>
      <c r="J630" s="4" t="s">
        <v>5950</v>
      </c>
      <c r="K630" s="4" t="s">
        <v>6144</v>
      </c>
      <c r="L630" s="4" t="s">
        <v>6145</v>
      </c>
      <c r="M630">
        <v>43000</v>
      </c>
      <c r="N630" s="4" t="s">
        <v>6146</v>
      </c>
      <c r="O630" s="4" t="s">
        <v>6147</v>
      </c>
      <c r="P630" s="4" t="s">
        <v>6062</v>
      </c>
      <c r="Q630" s="9">
        <v>30125</v>
      </c>
      <c r="R630" s="4" t="s">
        <v>2300</v>
      </c>
      <c r="S630" s="4" t="s">
        <v>6148</v>
      </c>
      <c r="T630" s="4" t="s">
        <v>47</v>
      </c>
      <c r="U630" s="4" t="s">
        <v>20</v>
      </c>
      <c r="V630">
        <v>1982</v>
      </c>
      <c r="W630" s="4" t="s">
        <v>6149</v>
      </c>
      <c r="X630" s="4" t="s">
        <v>47</v>
      </c>
      <c r="Y630" s="4" t="s">
        <v>6150</v>
      </c>
      <c r="Z630" s="4" t="s">
        <v>47</v>
      </c>
      <c r="AA630" s="4" t="s">
        <v>47</v>
      </c>
      <c r="AB630" s="4" t="s">
        <v>47</v>
      </c>
      <c r="AC630" s="4" t="s">
        <v>47</v>
      </c>
      <c r="AD630" s="4" t="s">
        <v>47</v>
      </c>
      <c r="AE630" s="4" t="s">
        <v>47</v>
      </c>
      <c r="AF630" s="4" t="s">
        <v>47</v>
      </c>
      <c r="AG630" s="4" t="s">
        <v>47</v>
      </c>
      <c r="AH630" s="4" t="s">
        <v>47</v>
      </c>
      <c r="AI630" s="4" t="s">
        <v>47</v>
      </c>
      <c r="AJ630" s="4" t="s">
        <v>47</v>
      </c>
      <c r="AK630" s="4" t="s">
        <v>47</v>
      </c>
      <c r="AL630" s="4" t="s">
        <v>47</v>
      </c>
      <c r="AM630" s="4" t="s">
        <v>47</v>
      </c>
      <c r="AN630" s="4" t="s">
        <v>47</v>
      </c>
      <c r="AO630" s="4" t="s">
        <v>47</v>
      </c>
      <c r="AP630" s="4" t="s">
        <v>47</v>
      </c>
      <c r="AQ630" s="4" t="s">
        <v>6151</v>
      </c>
      <c r="AR630" s="4" t="s">
        <v>6152</v>
      </c>
    </row>
    <row r="631" spans="1:44" x14ac:dyDescent="0.2">
      <c r="A631" s="4" t="s">
        <v>195</v>
      </c>
      <c r="B631" s="4" t="s">
        <v>223</v>
      </c>
      <c r="C631">
        <v>5</v>
      </c>
      <c r="F631">
        <v>1</v>
      </c>
      <c r="I631" s="4" t="s">
        <v>5548</v>
      </c>
      <c r="J631" s="4" t="s">
        <v>5910</v>
      </c>
      <c r="K631" s="4" t="s">
        <v>6153</v>
      </c>
      <c r="L631" s="4" t="s">
        <v>6154</v>
      </c>
      <c r="M631">
        <v>25000</v>
      </c>
      <c r="N631" s="4" t="s">
        <v>6155</v>
      </c>
      <c r="O631" s="4" t="s">
        <v>6156</v>
      </c>
      <c r="P631" s="4" t="s">
        <v>6062</v>
      </c>
      <c r="Q631" s="9">
        <v>30124</v>
      </c>
      <c r="R631" s="4" t="s">
        <v>5278</v>
      </c>
      <c r="S631" s="4" t="s">
        <v>5992</v>
      </c>
      <c r="T631" s="4" t="s">
        <v>47</v>
      </c>
      <c r="U631" s="4" t="s">
        <v>20</v>
      </c>
      <c r="V631">
        <v>1982</v>
      </c>
      <c r="W631" s="4" t="s">
        <v>6157</v>
      </c>
      <c r="X631" s="4" t="s">
        <v>6158</v>
      </c>
      <c r="Y631" s="4" t="s">
        <v>6159</v>
      </c>
      <c r="Z631" s="4" t="s">
        <v>6160</v>
      </c>
      <c r="AA631" s="4" t="s">
        <v>47</v>
      </c>
      <c r="AB631" s="4" t="s">
        <v>47</v>
      </c>
      <c r="AC631" s="4" t="s">
        <v>47</v>
      </c>
      <c r="AD631" s="4" t="s">
        <v>47</v>
      </c>
      <c r="AE631" s="4" t="s">
        <v>47</v>
      </c>
      <c r="AF631" s="4" t="s">
        <v>47</v>
      </c>
      <c r="AG631" s="4" t="s">
        <v>47</v>
      </c>
      <c r="AH631" s="4" t="s">
        <v>47</v>
      </c>
      <c r="AI631" s="4" t="s">
        <v>47</v>
      </c>
      <c r="AJ631" s="4" t="s">
        <v>47</v>
      </c>
      <c r="AK631" s="4" t="s">
        <v>47</v>
      </c>
      <c r="AL631" s="4" t="s">
        <v>47</v>
      </c>
      <c r="AM631" s="4" t="s">
        <v>47</v>
      </c>
      <c r="AN631" s="4" t="s">
        <v>47</v>
      </c>
      <c r="AO631" s="4" t="s">
        <v>47</v>
      </c>
      <c r="AP631" s="4" t="s">
        <v>6161</v>
      </c>
      <c r="AQ631" s="4" t="s">
        <v>6162</v>
      </c>
      <c r="AR631" s="4" t="s">
        <v>6163</v>
      </c>
    </row>
    <row r="632" spans="1:44" x14ac:dyDescent="0.2">
      <c r="A632" s="4" t="s">
        <v>148</v>
      </c>
      <c r="B632" s="4" t="s">
        <v>119</v>
      </c>
      <c r="C632">
        <v>1</v>
      </c>
      <c r="F632">
        <v>1</v>
      </c>
      <c r="I632" s="4" t="s">
        <v>5027</v>
      </c>
      <c r="J632" s="4" t="s">
        <v>5327</v>
      </c>
      <c r="K632" s="4" t="s">
        <v>6164</v>
      </c>
      <c r="L632" s="4" t="s">
        <v>6165</v>
      </c>
      <c r="M632">
        <v>37000</v>
      </c>
      <c r="N632" s="4" t="s">
        <v>6166</v>
      </c>
      <c r="O632" s="4" t="s">
        <v>6167</v>
      </c>
      <c r="P632" s="4" t="s">
        <v>6062</v>
      </c>
      <c r="Q632" s="9">
        <v>30124</v>
      </c>
      <c r="R632" s="4" t="s">
        <v>1046</v>
      </c>
      <c r="S632" s="4" t="s">
        <v>6168</v>
      </c>
      <c r="T632" s="4" t="s">
        <v>47</v>
      </c>
      <c r="U632" s="4" t="s">
        <v>20</v>
      </c>
      <c r="V632">
        <v>1982</v>
      </c>
      <c r="W632" s="4" t="s">
        <v>6169</v>
      </c>
      <c r="X632" s="4" t="s">
        <v>6170</v>
      </c>
      <c r="Y632" s="4" t="s">
        <v>6171</v>
      </c>
      <c r="Z632" s="4" t="s">
        <v>6172</v>
      </c>
      <c r="AA632" s="4" t="s">
        <v>47</v>
      </c>
      <c r="AB632" s="4" t="s">
        <v>47</v>
      </c>
      <c r="AC632" s="4" t="s">
        <v>47</v>
      </c>
      <c r="AD632" s="4" t="s">
        <v>47</v>
      </c>
      <c r="AE632" s="4" t="s">
        <v>47</v>
      </c>
      <c r="AF632" s="4" t="s">
        <v>47</v>
      </c>
      <c r="AG632" s="4" t="s">
        <v>47</v>
      </c>
      <c r="AH632" s="4" t="s">
        <v>47</v>
      </c>
      <c r="AI632" s="4" t="s">
        <v>47</v>
      </c>
      <c r="AJ632" s="4" t="s">
        <v>47</v>
      </c>
      <c r="AK632" s="4" t="s">
        <v>47</v>
      </c>
      <c r="AL632" s="4" t="s">
        <v>47</v>
      </c>
      <c r="AM632" s="4" t="s">
        <v>47</v>
      </c>
      <c r="AN632" s="4" t="s">
        <v>47</v>
      </c>
      <c r="AO632" s="4" t="s">
        <v>6173</v>
      </c>
      <c r="AP632" s="4" t="s">
        <v>47</v>
      </c>
      <c r="AQ632" s="4" t="s">
        <v>6174</v>
      </c>
      <c r="AR632" s="4" t="s">
        <v>6175</v>
      </c>
    </row>
    <row r="633" spans="1:44" x14ac:dyDescent="0.2">
      <c r="A633" s="4" t="s">
        <v>5211</v>
      </c>
      <c r="B633" s="4" t="s">
        <v>205</v>
      </c>
      <c r="C633">
        <v>2</v>
      </c>
      <c r="F633">
        <v>2</v>
      </c>
      <c r="I633" s="4" t="s">
        <v>5982</v>
      </c>
      <c r="J633" s="4" t="s">
        <v>5983</v>
      </c>
      <c r="K633" s="4" t="s">
        <v>6176</v>
      </c>
      <c r="L633" s="4" t="s">
        <v>5699</v>
      </c>
      <c r="M633">
        <v>45000</v>
      </c>
      <c r="N633" s="4" t="s">
        <v>6177</v>
      </c>
      <c r="O633" s="4" t="s">
        <v>6178</v>
      </c>
      <c r="P633" s="4" t="s">
        <v>6062</v>
      </c>
      <c r="Q633" s="9">
        <v>30124</v>
      </c>
      <c r="R633" s="4" t="s">
        <v>1487</v>
      </c>
      <c r="S633" s="4" t="s">
        <v>6031</v>
      </c>
      <c r="T633" s="4" t="s">
        <v>47</v>
      </c>
      <c r="U633" s="4" t="s">
        <v>20</v>
      </c>
      <c r="V633">
        <v>1982</v>
      </c>
      <c r="W633" s="4" t="s">
        <v>6179</v>
      </c>
      <c r="X633" s="4" t="s">
        <v>6180</v>
      </c>
      <c r="Y633" s="4" t="s">
        <v>6181</v>
      </c>
      <c r="Z633" s="4" t="s">
        <v>6182</v>
      </c>
      <c r="AA633" s="4" t="s">
        <v>47</v>
      </c>
      <c r="AB633" s="4" t="s">
        <v>47</v>
      </c>
      <c r="AC633" s="4" t="s">
        <v>47</v>
      </c>
      <c r="AD633" s="4" t="s">
        <v>47</v>
      </c>
      <c r="AE633" s="4" t="s">
        <v>47</v>
      </c>
      <c r="AF633" s="4" t="s">
        <v>47</v>
      </c>
      <c r="AG633" s="4" t="s">
        <v>47</v>
      </c>
      <c r="AH633" s="4" t="s">
        <v>47</v>
      </c>
      <c r="AI633" s="4" t="s">
        <v>47</v>
      </c>
      <c r="AJ633" s="4" t="s">
        <v>47</v>
      </c>
      <c r="AK633" s="4" t="s">
        <v>47</v>
      </c>
      <c r="AL633" s="4" t="s">
        <v>47</v>
      </c>
      <c r="AM633" s="4" t="s">
        <v>47</v>
      </c>
      <c r="AN633" s="4" t="s">
        <v>47</v>
      </c>
      <c r="AO633" s="4" t="s">
        <v>47</v>
      </c>
      <c r="AP633" s="4" t="s">
        <v>6183</v>
      </c>
      <c r="AQ633" s="4" t="s">
        <v>6184</v>
      </c>
      <c r="AR633" s="4" t="s">
        <v>6185</v>
      </c>
    </row>
    <row r="634" spans="1:44" x14ac:dyDescent="0.2">
      <c r="A634" s="4" t="s">
        <v>181</v>
      </c>
      <c r="B634" s="4" t="s">
        <v>173</v>
      </c>
      <c r="C634">
        <v>0</v>
      </c>
      <c r="F634">
        <v>2</v>
      </c>
      <c r="I634" s="4" t="s">
        <v>6096</v>
      </c>
      <c r="J634" s="4" t="s">
        <v>6097</v>
      </c>
      <c r="K634" s="4" t="s">
        <v>6012</v>
      </c>
      <c r="L634" s="4" t="s">
        <v>6013</v>
      </c>
      <c r="M634">
        <v>22000</v>
      </c>
      <c r="N634" s="4" t="s">
        <v>6100</v>
      </c>
      <c r="O634" s="4" t="s">
        <v>6186</v>
      </c>
      <c r="P634" s="4" t="s">
        <v>6062</v>
      </c>
      <c r="Q634" s="9">
        <v>30123</v>
      </c>
      <c r="R634" s="4" t="s">
        <v>824</v>
      </c>
      <c r="S634" s="4" t="s">
        <v>6187</v>
      </c>
      <c r="T634" s="4" t="s">
        <v>47</v>
      </c>
      <c r="U634" s="4" t="s">
        <v>20</v>
      </c>
      <c r="V634">
        <v>1982</v>
      </c>
      <c r="W634" s="4" t="s">
        <v>47</v>
      </c>
      <c r="X634" s="4" t="s">
        <v>6188</v>
      </c>
      <c r="Y634" s="4" t="s">
        <v>47</v>
      </c>
      <c r="Z634" s="4" t="s">
        <v>6189</v>
      </c>
      <c r="AA634" s="4" t="s">
        <v>47</v>
      </c>
      <c r="AB634" s="4" t="s">
        <v>47</v>
      </c>
      <c r="AC634" s="4" t="s">
        <v>47</v>
      </c>
      <c r="AD634" s="4" t="s">
        <v>47</v>
      </c>
      <c r="AE634" s="4" t="s">
        <v>47</v>
      </c>
      <c r="AF634" s="4" t="s">
        <v>47</v>
      </c>
      <c r="AG634" s="4" t="s">
        <v>47</v>
      </c>
      <c r="AH634" s="4" t="s">
        <v>47</v>
      </c>
      <c r="AI634" s="4" t="s">
        <v>47</v>
      </c>
      <c r="AJ634" s="4" t="s">
        <v>47</v>
      </c>
      <c r="AK634" s="4" t="s">
        <v>47</v>
      </c>
      <c r="AL634" s="4" t="s">
        <v>47</v>
      </c>
      <c r="AM634" s="4" t="s">
        <v>47</v>
      </c>
      <c r="AN634" s="4" t="s">
        <v>47</v>
      </c>
      <c r="AO634" s="4" t="s">
        <v>6190</v>
      </c>
      <c r="AP634" s="4" t="s">
        <v>47</v>
      </c>
      <c r="AQ634" s="4" t="s">
        <v>6191</v>
      </c>
      <c r="AR634" s="4" t="s">
        <v>6192</v>
      </c>
    </row>
    <row r="635" spans="1:44" x14ac:dyDescent="0.2">
      <c r="A635" s="4" t="s">
        <v>87</v>
      </c>
      <c r="B635" s="4" t="s">
        <v>383</v>
      </c>
      <c r="C635">
        <v>4</v>
      </c>
      <c r="F635">
        <v>1</v>
      </c>
      <c r="I635" s="4" t="s">
        <v>5911</v>
      </c>
      <c r="J635" s="4" t="s">
        <v>5439</v>
      </c>
      <c r="K635" s="4" t="s">
        <v>2646</v>
      </c>
      <c r="L635" s="4" t="s">
        <v>6059</v>
      </c>
      <c r="M635">
        <v>30043</v>
      </c>
      <c r="N635" s="4" t="s">
        <v>6086</v>
      </c>
      <c r="O635" s="4" t="s">
        <v>6193</v>
      </c>
      <c r="P635" s="4" t="s">
        <v>6062</v>
      </c>
      <c r="Q635" s="9">
        <v>30123</v>
      </c>
      <c r="R635" s="4" t="s">
        <v>757</v>
      </c>
      <c r="S635" s="4" t="s">
        <v>6194</v>
      </c>
      <c r="T635" s="4" t="s">
        <v>47</v>
      </c>
      <c r="U635" s="4" t="s">
        <v>20</v>
      </c>
      <c r="V635">
        <v>1982</v>
      </c>
      <c r="W635" s="4" t="s">
        <v>6195</v>
      </c>
      <c r="X635" s="4" t="s">
        <v>6196</v>
      </c>
      <c r="Y635" s="4" t="s">
        <v>6197</v>
      </c>
      <c r="Z635" s="4" t="s">
        <v>6198</v>
      </c>
      <c r="AA635" s="4" t="s">
        <v>47</v>
      </c>
      <c r="AB635" s="4" t="s">
        <v>47</v>
      </c>
      <c r="AC635" s="4" t="s">
        <v>47</v>
      </c>
      <c r="AD635" s="4" t="s">
        <v>47</v>
      </c>
      <c r="AE635" s="4" t="s">
        <v>47</v>
      </c>
      <c r="AF635" s="4" t="s">
        <v>47</v>
      </c>
      <c r="AG635" s="4" t="s">
        <v>47</v>
      </c>
      <c r="AH635" s="4" t="s">
        <v>47</v>
      </c>
      <c r="AI635" s="4" t="s">
        <v>47</v>
      </c>
      <c r="AJ635" s="4" t="s">
        <v>47</v>
      </c>
      <c r="AK635" s="4" t="s">
        <v>47</v>
      </c>
      <c r="AL635" s="4" t="s">
        <v>47</v>
      </c>
      <c r="AM635" s="4" t="s">
        <v>47</v>
      </c>
      <c r="AN635" s="4" t="s">
        <v>47</v>
      </c>
      <c r="AO635" s="4" t="s">
        <v>6199</v>
      </c>
      <c r="AP635" s="4" t="s">
        <v>6200</v>
      </c>
      <c r="AQ635" s="4" t="s">
        <v>6201</v>
      </c>
      <c r="AR635" s="4" t="s">
        <v>6202</v>
      </c>
    </row>
    <row r="636" spans="1:44" x14ac:dyDescent="0.2">
      <c r="A636" s="4" t="s">
        <v>248</v>
      </c>
      <c r="B636" s="4" t="s">
        <v>258</v>
      </c>
      <c r="C636">
        <v>1</v>
      </c>
      <c r="F636">
        <v>1</v>
      </c>
      <c r="I636" s="4" t="s">
        <v>6110</v>
      </c>
      <c r="J636" s="4" t="s">
        <v>6111</v>
      </c>
      <c r="K636" s="4" t="s">
        <v>5617</v>
      </c>
      <c r="L636" s="4" t="s">
        <v>5970</v>
      </c>
      <c r="M636">
        <v>15000</v>
      </c>
      <c r="N636" s="4" t="s">
        <v>6114</v>
      </c>
      <c r="O636" s="4" t="s">
        <v>6203</v>
      </c>
      <c r="P636" s="4" t="s">
        <v>6062</v>
      </c>
      <c r="Q636" s="9">
        <v>30123</v>
      </c>
      <c r="R636" s="4" t="s">
        <v>1046</v>
      </c>
      <c r="S636" s="4" t="s">
        <v>6204</v>
      </c>
      <c r="T636" s="4" t="s">
        <v>47</v>
      </c>
      <c r="U636" s="4" t="s">
        <v>20</v>
      </c>
      <c r="V636">
        <v>1982</v>
      </c>
      <c r="W636" s="4" t="s">
        <v>6205</v>
      </c>
      <c r="X636" s="4" t="s">
        <v>6206</v>
      </c>
      <c r="Y636" s="4" t="s">
        <v>6207</v>
      </c>
      <c r="Z636" s="4" t="s">
        <v>6208</v>
      </c>
      <c r="AA636" s="4" t="s">
        <v>47</v>
      </c>
      <c r="AB636" s="4" t="s">
        <v>47</v>
      </c>
      <c r="AC636" s="4" t="s">
        <v>47</v>
      </c>
      <c r="AD636" s="4" t="s">
        <v>47</v>
      </c>
      <c r="AE636" s="4" t="s">
        <v>47</v>
      </c>
      <c r="AF636" s="4" t="s">
        <v>47</v>
      </c>
      <c r="AG636" s="4" t="s">
        <v>47</v>
      </c>
      <c r="AH636" s="4" t="s">
        <v>47</v>
      </c>
      <c r="AI636" s="4" t="s">
        <v>47</v>
      </c>
      <c r="AJ636" s="4" t="s">
        <v>47</v>
      </c>
      <c r="AK636" s="4" t="s">
        <v>47</v>
      </c>
      <c r="AL636" s="4" t="s">
        <v>47</v>
      </c>
      <c r="AM636" s="4" t="s">
        <v>47</v>
      </c>
      <c r="AN636" s="4" t="s">
        <v>47</v>
      </c>
      <c r="AO636" s="4" t="s">
        <v>47</v>
      </c>
      <c r="AP636" s="4" t="s">
        <v>47</v>
      </c>
      <c r="AQ636" s="4" t="s">
        <v>6209</v>
      </c>
      <c r="AR636" s="4" t="s">
        <v>6210</v>
      </c>
    </row>
    <row r="637" spans="1:44" x14ac:dyDescent="0.2">
      <c r="A637" s="4" t="s">
        <v>104</v>
      </c>
      <c r="B637" s="4" t="s">
        <v>113</v>
      </c>
      <c r="C637">
        <v>4</v>
      </c>
      <c r="F637">
        <v>1</v>
      </c>
      <c r="I637" s="4" t="s">
        <v>5898</v>
      </c>
      <c r="J637" s="4" t="s">
        <v>5416</v>
      </c>
      <c r="K637" s="4" t="s">
        <v>6098</v>
      </c>
      <c r="L637" s="4" t="s">
        <v>6099</v>
      </c>
      <c r="M637">
        <v>42000</v>
      </c>
      <c r="N637" s="4" t="s">
        <v>6069</v>
      </c>
      <c r="O637" s="4" t="s">
        <v>6211</v>
      </c>
      <c r="P637" s="4" t="s">
        <v>6062</v>
      </c>
      <c r="Q637" s="9">
        <v>30122</v>
      </c>
      <c r="R637" s="4" t="s">
        <v>757</v>
      </c>
      <c r="S637" s="4" t="s">
        <v>6212</v>
      </c>
      <c r="T637" s="4" t="s">
        <v>47</v>
      </c>
      <c r="U637" s="4" t="s">
        <v>20</v>
      </c>
      <c r="V637">
        <v>1982</v>
      </c>
      <c r="W637" s="4" t="s">
        <v>6213</v>
      </c>
      <c r="X637" s="4" t="s">
        <v>6214</v>
      </c>
      <c r="Y637" s="4" t="s">
        <v>6215</v>
      </c>
      <c r="Z637" s="4" t="s">
        <v>6216</v>
      </c>
      <c r="AA637" s="4" t="s">
        <v>47</v>
      </c>
      <c r="AB637" s="4" t="s">
        <v>47</v>
      </c>
      <c r="AC637" s="4" t="s">
        <v>47</v>
      </c>
      <c r="AD637" s="4" t="s">
        <v>47</v>
      </c>
      <c r="AE637" s="4" t="s">
        <v>47</v>
      </c>
      <c r="AF637" s="4" t="s">
        <v>47</v>
      </c>
      <c r="AG637" s="4" t="s">
        <v>47</v>
      </c>
      <c r="AH637" s="4" t="s">
        <v>47</v>
      </c>
      <c r="AI637" s="4" t="s">
        <v>47</v>
      </c>
      <c r="AJ637" s="4" t="s">
        <v>47</v>
      </c>
      <c r="AK637" s="4" t="s">
        <v>47</v>
      </c>
      <c r="AL637" s="4" t="s">
        <v>47</v>
      </c>
      <c r="AM637" s="4" t="s">
        <v>47</v>
      </c>
      <c r="AN637" s="4" t="s">
        <v>47</v>
      </c>
      <c r="AO637" s="4" t="s">
        <v>47</v>
      </c>
      <c r="AP637" s="4" t="s">
        <v>6217</v>
      </c>
      <c r="AQ637" s="4" t="s">
        <v>6218</v>
      </c>
      <c r="AR637" s="4" t="s">
        <v>6219</v>
      </c>
    </row>
    <row r="638" spans="1:44" x14ac:dyDescent="0.2">
      <c r="A638" s="4" t="s">
        <v>52</v>
      </c>
      <c r="B638" s="4" t="s">
        <v>114</v>
      </c>
      <c r="C638">
        <v>2</v>
      </c>
      <c r="F638">
        <v>0</v>
      </c>
      <c r="I638" s="4" t="s">
        <v>5964</v>
      </c>
      <c r="J638" s="4" t="s">
        <v>5965</v>
      </c>
      <c r="K638" s="4" t="s">
        <v>4968</v>
      </c>
      <c r="L638" s="4" t="s">
        <v>6085</v>
      </c>
      <c r="M638">
        <v>41123</v>
      </c>
      <c r="N638" s="4" t="s">
        <v>6060</v>
      </c>
      <c r="O638" s="4" t="s">
        <v>6220</v>
      </c>
      <c r="P638" s="4" t="s">
        <v>6062</v>
      </c>
      <c r="Q638" s="9">
        <v>30122</v>
      </c>
      <c r="R638" s="4" t="s">
        <v>630</v>
      </c>
      <c r="S638" s="4" t="s">
        <v>5936</v>
      </c>
      <c r="T638" s="4" t="s">
        <v>47</v>
      </c>
      <c r="U638" s="4" t="s">
        <v>20</v>
      </c>
      <c r="V638">
        <v>1982</v>
      </c>
      <c r="W638" s="4" t="s">
        <v>6221</v>
      </c>
      <c r="X638" s="4" t="s">
        <v>47</v>
      </c>
      <c r="Y638" s="4" t="s">
        <v>6222</v>
      </c>
      <c r="Z638" s="4" t="s">
        <v>47</v>
      </c>
      <c r="AA638" s="4" t="s">
        <v>6223</v>
      </c>
      <c r="AB638" s="4" t="s">
        <v>47</v>
      </c>
      <c r="AC638" s="4" t="s">
        <v>47</v>
      </c>
      <c r="AD638" s="4" t="s">
        <v>47</v>
      </c>
      <c r="AE638" s="4" t="s">
        <v>47</v>
      </c>
      <c r="AF638" s="4" t="s">
        <v>47</v>
      </c>
      <c r="AG638" s="4" t="s">
        <v>47</v>
      </c>
      <c r="AH638" s="4" t="s">
        <v>47</v>
      </c>
      <c r="AI638" s="4" t="s">
        <v>47</v>
      </c>
      <c r="AJ638" s="4" t="s">
        <v>47</v>
      </c>
      <c r="AK638" s="4" t="s">
        <v>47</v>
      </c>
      <c r="AL638" s="4" t="s">
        <v>47</v>
      </c>
      <c r="AM638" s="4" t="s">
        <v>47</v>
      </c>
      <c r="AN638" s="4" t="s">
        <v>47</v>
      </c>
      <c r="AO638" s="4" t="s">
        <v>47</v>
      </c>
      <c r="AP638" s="4" t="s">
        <v>6224</v>
      </c>
      <c r="AQ638" s="4" t="s">
        <v>6225</v>
      </c>
      <c r="AR638" s="4" t="s">
        <v>6226</v>
      </c>
    </row>
    <row r="639" spans="1:44" x14ac:dyDescent="0.2">
      <c r="A639" s="4" t="s">
        <v>20</v>
      </c>
      <c r="B639" s="4" t="s">
        <v>4991</v>
      </c>
      <c r="C639">
        <v>2</v>
      </c>
      <c r="F639">
        <v>1</v>
      </c>
      <c r="I639" s="4" t="s">
        <v>5962</v>
      </c>
      <c r="J639" s="4" t="s">
        <v>5963</v>
      </c>
      <c r="K639" s="4" t="s">
        <v>6112</v>
      </c>
      <c r="L639" s="4" t="s">
        <v>6113</v>
      </c>
      <c r="M639">
        <v>48000</v>
      </c>
      <c r="N639" s="4" t="s">
        <v>6075</v>
      </c>
      <c r="O639" s="4" t="s">
        <v>6227</v>
      </c>
      <c r="P639" s="4" t="s">
        <v>6062</v>
      </c>
      <c r="Q639" s="9">
        <v>30122</v>
      </c>
      <c r="R639" s="4" t="s">
        <v>617</v>
      </c>
      <c r="S639" s="4" t="s">
        <v>6228</v>
      </c>
      <c r="T639" s="4" t="s">
        <v>47</v>
      </c>
      <c r="U639" s="4" t="s">
        <v>20</v>
      </c>
      <c r="V639">
        <v>1982</v>
      </c>
      <c r="W639" s="4" t="s">
        <v>6229</v>
      </c>
      <c r="X639" s="4" t="s">
        <v>6230</v>
      </c>
      <c r="Y639" s="4" t="s">
        <v>6231</v>
      </c>
      <c r="Z639" s="4" t="s">
        <v>6232</v>
      </c>
      <c r="AA639" s="4" t="s">
        <v>47</v>
      </c>
      <c r="AB639" s="4" t="s">
        <v>47</v>
      </c>
      <c r="AC639" s="4" t="s">
        <v>6233</v>
      </c>
      <c r="AD639" s="4" t="s">
        <v>47</v>
      </c>
      <c r="AE639" s="4" t="s">
        <v>47</v>
      </c>
      <c r="AF639" s="4" t="s">
        <v>47</v>
      </c>
      <c r="AG639" s="4" t="s">
        <v>47</v>
      </c>
      <c r="AH639" s="4" t="s">
        <v>47</v>
      </c>
      <c r="AI639" s="4" t="s">
        <v>47</v>
      </c>
      <c r="AJ639" s="4" t="s">
        <v>47</v>
      </c>
      <c r="AK639" s="4" t="s">
        <v>47</v>
      </c>
      <c r="AL639" s="4" t="s">
        <v>47</v>
      </c>
      <c r="AM639" s="4" t="s">
        <v>47</v>
      </c>
      <c r="AN639" s="4" t="s">
        <v>47</v>
      </c>
      <c r="AO639" s="4" t="s">
        <v>6234</v>
      </c>
      <c r="AP639" s="4" t="s">
        <v>6235</v>
      </c>
      <c r="AQ639" s="4" t="s">
        <v>6236</v>
      </c>
      <c r="AR639" s="4" t="s">
        <v>6237</v>
      </c>
    </row>
    <row r="640" spans="1:44" x14ac:dyDescent="0.2">
      <c r="A640" s="4" t="s">
        <v>195</v>
      </c>
      <c r="B640" s="4" t="s">
        <v>209</v>
      </c>
      <c r="C640">
        <v>0</v>
      </c>
      <c r="F640">
        <v>0</v>
      </c>
      <c r="I640" s="4" t="s">
        <v>5548</v>
      </c>
      <c r="J640" s="4" t="s">
        <v>5910</v>
      </c>
      <c r="K640" s="4" t="s">
        <v>6123</v>
      </c>
      <c r="L640" s="4" t="s">
        <v>6124</v>
      </c>
      <c r="M640">
        <v>19000</v>
      </c>
      <c r="N640" s="4" t="s">
        <v>6155</v>
      </c>
      <c r="O640" s="4" t="s">
        <v>6238</v>
      </c>
      <c r="P640" s="4" t="s">
        <v>6062</v>
      </c>
      <c r="Q640" s="9">
        <v>30121</v>
      </c>
      <c r="R640" s="4" t="s">
        <v>869</v>
      </c>
      <c r="S640" s="4" t="s">
        <v>5598</v>
      </c>
      <c r="T640" s="4" t="s">
        <v>47</v>
      </c>
      <c r="U640" s="4" t="s">
        <v>20</v>
      </c>
      <c r="V640">
        <v>1982</v>
      </c>
      <c r="W640" s="4" t="s">
        <v>47</v>
      </c>
      <c r="X640" s="4" t="s">
        <v>47</v>
      </c>
      <c r="Y640" s="4" t="s">
        <v>47</v>
      </c>
      <c r="Z640" s="4" t="s">
        <v>47</v>
      </c>
      <c r="AA640" s="4" t="s">
        <v>47</v>
      </c>
      <c r="AB640" s="4" t="s">
        <v>47</v>
      </c>
      <c r="AC640" s="4" t="s">
        <v>47</v>
      </c>
      <c r="AD640" s="4" t="s">
        <v>47</v>
      </c>
      <c r="AE640" s="4" t="s">
        <v>47</v>
      </c>
      <c r="AF640" s="4" t="s">
        <v>47</v>
      </c>
      <c r="AG640" s="4" t="s">
        <v>47</v>
      </c>
      <c r="AH640" s="4" t="s">
        <v>47</v>
      </c>
      <c r="AI640" s="4" t="s">
        <v>47</v>
      </c>
      <c r="AJ640" s="4" t="s">
        <v>47</v>
      </c>
      <c r="AK640" s="4" t="s">
        <v>47</v>
      </c>
      <c r="AL640" s="4" t="s">
        <v>47</v>
      </c>
      <c r="AM640" s="4" t="s">
        <v>47</v>
      </c>
      <c r="AN640" s="4" t="s">
        <v>47</v>
      </c>
      <c r="AO640" s="4" t="s">
        <v>6239</v>
      </c>
      <c r="AP640" s="4" t="s">
        <v>6240</v>
      </c>
      <c r="AQ640" s="4" t="s">
        <v>6241</v>
      </c>
      <c r="AR640" s="4" t="s">
        <v>6242</v>
      </c>
    </row>
    <row r="641" spans="1:44" x14ac:dyDescent="0.2">
      <c r="A641" s="4" t="s">
        <v>5211</v>
      </c>
      <c r="B641" s="4" t="s">
        <v>288</v>
      </c>
      <c r="C641">
        <v>3</v>
      </c>
      <c r="F641">
        <v>0</v>
      </c>
      <c r="I641" s="4" t="s">
        <v>5982</v>
      </c>
      <c r="J641" s="4" t="s">
        <v>5983</v>
      </c>
      <c r="K641" s="4" t="s">
        <v>6144</v>
      </c>
      <c r="L641" s="4" t="s">
        <v>6145</v>
      </c>
      <c r="M641">
        <v>19000</v>
      </c>
      <c r="N641" s="4" t="s">
        <v>6177</v>
      </c>
      <c r="O641" s="4" t="s">
        <v>6243</v>
      </c>
      <c r="P641" s="4" t="s">
        <v>6062</v>
      </c>
      <c r="Q641" s="9">
        <v>30121</v>
      </c>
      <c r="R641" s="4" t="s">
        <v>638</v>
      </c>
      <c r="S641" s="4" t="s">
        <v>6244</v>
      </c>
      <c r="T641" s="4" t="s">
        <v>47</v>
      </c>
      <c r="U641" s="4" t="s">
        <v>20</v>
      </c>
      <c r="V641">
        <v>1982</v>
      </c>
      <c r="W641" s="4" t="s">
        <v>6245</v>
      </c>
      <c r="X641" s="4" t="s">
        <v>47</v>
      </c>
      <c r="Y641" s="4" t="s">
        <v>6246</v>
      </c>
      <c r="Z641" s="4" t="s">
        <v>47</v>
      </c>
      <c r="AA641" s="4" t="s">
        <v>47</v>
      </c>
      <c r="AB641" s="4" t="s">
        <v>47</v>
      </c>
      <c r="AC641" s="4" t="s">
        <v>47</v>
      </c>
      <c r="AD641" s="4" t="s">
        <v>47</v>
      </c>
      <c r="AE641" s="4" t="s">
        <v>47</v>
      </c>
      <c r="AF641" s="4" t="s">
        <v>47</v>
      </c>
      <c r="AG641" s="4" t="s">
        <v>47</v>
      </c>
      <c r="AH641" s="4" t="s">
        <v>47</v>
      </c>
      <c r="AI641" s="4" t="s">
        <v>47</v>
      </c>
      <c r="AJ641" s="4" t="s">
        <v>47</v>
      </c>
      <c r="AK641" s="4" t="s">
        <v>47</v>
      </c>
      <c r="AL641" s="4" t="s">
        <v>47</v>
      </c>
      <c r="AM641" s="4" t="s">
        <v>47</v>
      </c>
      <c r="AN641" s="4" t="s">
        <v>47</v>
      </c>
      <c r="AO641" s="4" t="s">
        <v>47</v>
      </c>
      <c r="AP641" s="4" t="s">
        <v>47</v>
      </c>
      <c r="AQ641" s="4" t="s">
        <v>6247</v>
      </c>
      <c r="AR641" s="4" t="s">
        <v>47</v>
      </c>
    </row>
    <row r="642" spans="1:44" x14ac:dyDescent="0.2">
      <c r="A642" s="4" t="s">
        <v>148</v>
      </c>
      <c r="B642" s="4" t="s">
        <v>319</v>
      </c>
      <c r="C642">
        <v>1</v>
      </c>
      <c r="F642">
        <v>0</v>
      </c>
      <c r="I642" s="4" t="s">
        <v>5027</v>
      </c>
      <c r="J642" s="4" t="s">
        <v>5327</v>
      </c>
      <c r="K642" s="4" t="s">
        <v>6133</v>
      </c>
      <c r="L642" s="4" t="s">
        <v>6134</v>
      </c>
      <c r="M642">
        <v>15000</v>
      </c>
      <c r="N642" s="4" t="s">
        <v>6166</v>
      </c>
      <c r="O642" s="4" t="s">
        <v>6248</v>
      </c>
      <c r="P642" s="4" t="s">
        <v>6062</v>
      </c>
      <c r="Q642" s="9">
        <v>30121</v>
      </c>
      <c r="R642" s="4" t="s">
        <v>652</v>
      </c>
      <c r="S642" s="4" t="s">
        <v>6249</v>
      </c>
      <c r="T642" s="4" t="s">
        <v>47</v>
      </c>
      <c r="U642" s="4" t="s">
        <v>20</v>
      </c>
      <c r="V642">
        <v>1982</v>
      </c>
      <c r="W642" s="4" t="s">
        <v>6250</v>
      </c>
      <c r="X642" s="4" t="s">
        <v>47</v>
      </c>
      <c r="Y642" s="4" t="s">
        <v>6251</v>
      </c>
      <c r="Z642" s="4" t="s">
        <v>47</v>
      </c>
      <c r="AA642" s="4" t="s">
        <v>47</v>
      </c>
      <c r="AB642" s="4" t="s">
        <v>47</v>
      </c>
      <c r="AC642" s="4" t="s">
        <v>47</v>
      </c>
      <c r="AD642" s="4" t="s">
        <v>47</v>
      </c>
      <c r="AE642" s="4" t="s">
        <v>47</v>
      </c>
      <c r="AF642" s="4" t="s">
        <v>47</v>
      </c>
      <c r="AG642" s="4" t="s">
        <v>47</v>
      </c>
      <c r="AH642" s="4" t="s">
        <v>47</v>
      </c>
      <c r="AI642" s="4" t="s">
        <v>47</v>
      </c>
      <c r="AJ642" s="4" t="s">
        <v>47</v>
      </c>
      <c r="AK642" s="4" t="s">
        <v>47</v>
      </c>
      <c r="AL642" s="4" t="s">
        <v>47</v>
      </c>
      <c r="AM642" s="4" t="s">
        <v>47</v>
      </c>
      <c r="AN642" s="4" t="s">
        <v>47</v>
      </c>
      <c r="AO642" s="4" t="s">
        <v>47</v>
      </c>
      <c r="AP642" s="4" t="s">
        <v>6252</v>
      </c>
      <c r="AQ642" s="4" t="s">
        <v>6253</v>
      </c>
      <c r="AR642" s="4" t="s">
        <v>6254</v>
      </c>
    </row>
    <row r="643" spans="1:44" x14ac:dyDescent="0.2">
      <c r="A643" s="4" t="s">
        <v>97</v>
      </c>
      <c r="B643" s="4" t="s">
        <v>223</v>
      </c>
      <c r="C643">
        <v>1</v>
      </c>
      <c r="F643">
        <v>1</v>
      </c>
      <c r="I643" s="4" t="s">
        <v>5530</v>
      </c>
      <c r="J643" s="4" t="s">
        <v>5897</v>
      </c>
      <c r="K643" s="4" t="s">
        <v>6153</v>
      </c>
      <c r="L643" s="4" t="s">
        <v>6154</v>
      </c>
      <c r="M643">
        <v>25000</v>
      </c>
      <c r="N643" s="4" t="s">
        <v>6125</v>
      </c>
      <c r="O643" s="4" t="s">
        <v>6255</v>
      </c>
      <c r="P643" s="4" t="s">
        <v>6062</v>
      </c>
      <c r="Q643" s="9">
        <v>30120</v>
      </c>
      <c r="R643" s="4" t="s">
        <v>1046</v>
      </c>
      <c r="S643" s="4" t="s">
        <v>6256</v>
      </c>
      <c r="T643" s="4" t="s">
        <v>47</v>
      </c>
      <c r="U643" s="4" t="s">
        <v>20</v>
      </c>
      <c r="V643">
        <v>1982</v>
      </c>
      <c r="W643" s="4" t="s">
        <v>6257</v>
      </c>
      <c r="X643" s="4" t="s">
        <v>6258</v>
      </c>
      <c r="Y643" s="4" t="s">
        <v>6259</v>
      </c>
      <c r="Z643" s="4" t="s">
        <v>6260</v>
      </c>
      <c r="AA643" s="4" t="s">
        <v>47</v>
      </c>
      <c r="AB643" s="4" t="s">
        <v>47</v>
      </c>
      <c r="AC643" s="4" t="s">
        <v>47</v>
      </c>
      <c r="AD643" s="4" t="s">
        <v>47</v>
      </c>
      <c r="AE643" s="4" t="s">
        <v>47</v>
      </c>
      <c r="AF643" s="4" t="s">
        <v>47</v>
      </c>
      <c r="AG643" s="4" t="s">
        <v>47</v>
      </c>
      <c r="AH643" s="4" t="s">
        <v>47</v>
      </c>
      <c r="AI643" s="4" t="s">
        <v>47</v>
      </c>
      <c r="AJ643" s="4" t="s">
        <v>47</v>
      </c>
      <c r="AK643" s="4" t="s">
        <v>47</v>
      </c>
      <c r="AL643" s="4" t="s">
        <v>47</v>
      </c>
      <c r="AM643" s="4" t="s">
        <v>47</v>
      </c>
      <c r="AN643" s="4" t="s">
        <v>47</v>
      </c>
      <c r="AO643" s="4" t="s">
        <v>6261</v>
      </c>
      <c r="AP643" s="4" t="s">
        <v>6262</v>
      </c>
      <c r="AQ643" s="4" t="s">
        <v>6263</v>
      </c>
      <c r="AR643" s="4" t="s">
        <v>6264</v>
      </c>
    </row>
    <row r="644" spans="1:44" x14ac:dyDescent="0.2">
      <c r="A644" s="4" t="s">
        <v>12</v>
      </c>
      <c r="B644" s="4" t="s">
        <v>205</v>
      </c>
      <c r="C644">
        <v>4</v>
      </c>
      <c r="F644">
        <v>1</v>
      </c>
      <c r="I644" s="4" t="s">
        <v>5481</v>
      </c>
      <c r="J644" s="4" t="s">
        <v>5950</v>
      </c>
      <c r="K644" s="4" t="s">
        <v>6176</v>
      </c>
      <c r="L644" s="4" t="s">
        <v>5699</v>
      </c>
      <c r="M644">
        <v>47379</v>
      </c>
      <c r="N644" s="4" t="s">
        <v>6146</v>
      </c>
      <c r="O644" s="4" t="s">
        <v>6265</v>
      </c>
      <c r="P644" s="4" t="s">
        <v>6062</v>
      </c>
      <c r="Q644" s="9">
        <v>30120</v>
      </c>
      <c r="R644" s="4" t="s">
        <v>757</v>
      </c>
      <c r="S644" s="4" t="s">
        <v>6053</v>
      </c>
      <c r="T644" s="4" t="s">
        <v>47</v>
      </c>
      <c r="U644" s="4" t="s">
        <v>20</v>
      </c>
      <c r="V644">
        <v>1982</v>
      </c>
      <c r="W644" s="4" t="s">
        <v>6266</v>
      </c>
      <c r="X644" s="4" t="s">
        <v>6267</v>
      </c>
      <c r="Y644" s="4" t="s">
        <v>6268</v>
      </c>
      <c r="Z644" s="4" t="s">
        <v>6269</v>
      </c>
      <c r="AA644" s="4" t="s">
        <v>47</v>
      </c>
      <c r="AB644" s="4" t="s">
        <v>47</v>
      </c>
      <c r="AC644" s="4" t="s">
        <v>47</v>
      </c>
      <c r="AD644" s="4" t="s">
        <v>47</v>
      </c>
      <c r="AE644" s="4" t="s">
        <v>47</v>
      </c>
      <c r="AF644" s="4" t="s">
        <v>47</v>
      </c>
      <c r="AG644" s="4" t="s">
        <v>47</v>
      </c>
      <c r="AH644" s="4" t="s">
        <v>47</v>
      </c>
      <c r="AI644" s="4" t="s">
        <v>47</v>
      </c>
      <c r="AJ644" s="4" t="s">
        <v>47</v>
      </c>
      <c r="AK644" s="4" t="s">
        <v>47</v>
      </c>
      <c r="AL644" s="4" t="s">
        <v>47</v>
      </c>
      <c r="AM644" s="4" t="s">
        <v>47</v>
      </c>
      <c r="AN644" s="4" t="s">
        <v>47</v>
      </c>
      <c r="AO644" s="4" t="s">
        <v>47</v>
      </c>
      <c r="AP644" s="4" t="s">
        <v>47</v>
      </c>
      <c r="AQ644" s="4" t="s">
        <v>6270</v>
      </c>
      <c r="AR644" s="4" t="s">
        <v>6271</v>
      </c>
    </row>
    <row r="645" spans="1:44" x14ac:dyDescent="0.2">
      <c r="A645" s="4" t="s">
        <v>26</v>
      </c>
      <c r="B645" s="4" t="s">
        <v>119</v>
      </c>
      <c r="C645">
        <v>4</v>
      </c>
      <c r="F645">
        <v>1</v>
      </c>
      <c r="I645" s="4" t="s">
        <v>5990</v>
      </c>
      <c r="J645" s="4" t="s">
        <v>3912</v>
      </c>
      <c r="K645" s="4" t="s">
        <v>6164</v>
      </c>
      <c r="L645" s="4" t="s">
        <v>6165</v>
      </c>
      <c r="M645">
        <v>32093</v>
      </c>
      <c r="N645" s="4" t="s">
        <v>5913</v>
      </c>
      <c r="O645" s="4" t="s">
        <v>6272</v>
      </c>
      <c r="P645" s="4" t="s">
        <v>6062</v>
      </c>
      <c r="Q645" s="9">
        <v>30120</v>
      </c>
      <c r="R645" s="4" t="s">
        <v>757</v>
      </c>
      <c r="S645" s="4" t="s">
        <v>6273</v>
      </c>
      <c r="T645" s="4" t="s">
        <v>47</v>
      </c>
      <c r="U645" s="4" t="s">
        <v>20</v>
      </c>
      <c r="V645">
        <v>1982</v>
      </c>
      <c r="W645" s="4" t="s">
        <v>6274</v>
      </c>
      <c r="X645" s="4" t="s">
        <v>6275</v>
      </c>
      <c r="Y645" s="4" t="s">
        <v>6276</v>
      </c>
      <c r="Z645" s="4" t="s">
        <v>6277</v>
      </c>
      <c r="AA645" s="4" t="s">
        <v>47</v>
      </c>
      <c r="AB645" s="4" t="s">
        <v>47</v>
      </c>
      <c r="AC645" s="4" t="s">
        <v>47</v>
      </c>
      <c r="AD645" s="4" t="s">
        <v>47</v>
      </c>
      <c r="AE645" s="4" t="s">
        <v>47</v>
      </c>
      <c r="AF645" s="4" t="s">
        <v>47</v>
      </c>
      <c r="AG645" s="4" t="s">
        <v>47</v>
      </c>
      <c r="AH645" s="4" t="s">
        <v>47</v>
      </c>
      <c r="AI645" s="4" t="s">
        <v>47</v>
      </c>
      <c r="AJ645" s="4" t="s">
        <v>47</v>
      </c>
      <c r="AK645" s="4" t="s">
        <v>47</v>
      </c>
      <c r="AL645" s="4" t="s">
        <v>47</v>
      </c>
      <c r="AM645" s="4" t="s">
        <v>47</v>
      </c>
      <c r="AN645" s="4" t="s">
        <v>47</v>
      </c>
      <c r="AO645" s="4" t="s">
        <v>47</v>
      </c>
      <c r="AP645" s="4" t="s">
        <v>47</v>
      </c>
      <c r="AQ645" s="4" t="s">
        <v>6278</v>
      </c>
      <c r="AR645" s="4" t="s">
        <v>6279</v>
      </c>
    </row>
    <row r="646" spans="1:44" x14ac:dyDescent="0.2">
      <c r="A646" s="4" t="s">
        <v>113</v>
      </c>
      <c r="B646" s="4" t="s">
        <v>173</v>
      </c>
      <c r="C646">
        <v>0</v>
      </c>
      <c r="F646">
        <v>1</v>
      </c>
      <c r="I646" s="4" t="s">
        <v>6098</v>
      </c>
      <c r="J646" s="4" t="s">
        <v>6099</v>
      </c>
      <c r="K646" s="4" t="s">
        <v>6012</v>
      </c>
      <c r="L646" s="4" t="s">
        <v>6013</v>
      </c>
      <c r="M646">
        <v>22500</v>
      </c>
      <c r="N646" s="4" t="s">
        <v>6100</v>
      </c>
      <c r="O646" s="4" t="s">
        <v>6280</v>
      </c>
      <c r="P646" s="4" t="s">
        <v>6062</v>
      </c>
      <c r="Q646" s="9">
        <v>30119</v>
      </c>
      <c r="R646" s="4" t="s">
        <v>963</v>
      </c>
      <c r="S646" s="4" t="s">
        <v>5394</v>
      </c>
      <c r="T646" s="4" t="s">
        <v>47</v>
      </c>
      <c r="U646" s="4" t="s">
        <v>20</v>
      </c>
      <c r="V646">
        <v>1982</v>
      </c>
      <c r="W646" s="4" t="s">
        <v>47</v>
      </c>
      <c r="X646" s="4" t="s">
        <v>6281</v>
      </c>
      <c r="Y646" s="4" t="s">
        <v>47</v>
      </c>
      <c r="Z646" s="4" t="s">
        <v>6282</v>
      </c>
      <c r="AA646" s="4" t="s">
        <v>47</v>
      </c>
      <c r="AB646" s="4" t="s">
        <v>47</v>
      </c>
      <c r="AC646" s="4" t="s">
        <v>47</v>
      </c>
      <c r="AD646" s="4" t="s">
        <v>47</v>
      </c>
      <c r="AE646" s="4" t="s">
        <v>47</v>
      </c>
      <c r="AF646" s="4" t="s">
        <v>47</v>
      </c>
      <c r="AG646" s="4" t="s">
        <v>47</v>
      </c>
      <c r="AH646" s="4" t="s">
        <v>47</v>
      </c>
      <c r="AI646" s="4" t="s">
        <v>47</v>
      </c>
      <c r="AJ646" s="4" t="s">
        <v>47</v>
      </c>
      <c r="AK646" s="4" t="s">
        <v>47</v>
      </c>
      <c r="AL646" s="4" t="s">
        <v>47</v>
      </c>
      <c r="AM646" s="4" t="s">
        <v>47</v>
      </c>
      <c r="AN646" s="4" t="s">
        <v>47</v>
      </c>
      <c r="AO646" s="4" t="s">
        <v>6283</v>
      </c>
      <c r="AP646" s="4" t="s">
        <v>6284</v>
      </c>
      <c r="AQ646" s="4" t="s">
        <v>6285</v>
      </c>
      <c r="AR646" s="4" t="s">
        <v>6286</v>
      </c>
    </row>
    <row r="647" spans="1:44" x14ac:dyDescent="0.2">
      <c r="A647" s="4" t="s">
        <v>114</v>
      </c>
      <c r="B647" s="4" t="s">
        <v>383</v>
      </c>
      <c r="C647">
        <v>1</v>
      </c>
      <c r="F647">
        <v>1</v>
      </c>
      <c r="I647" s="4" t="s">
        <v>4968</v>
      </c>
      <c r="J647" s="4" t="s">
        <v>6085</v>
      </c>
      <c r="K647" s="4" t="s">
        <v>2646</v>
      </c>
      <c r="L647" s="4" t="s">
        <v>6059</v>
      </c>
      <c r="M647">
        <v>25000</v>
      </c>
      <c r="N647" s="4" t="s">
        <v>6086</v>
      </c>
      <c r="O647" s="4" t="s">
        <v>6287</v>
      </c>
      <c r="P647" s="4" t="s">
        <v>6062</v>
      </c>
      <c r="Q647" s="9">
        <v>30119</v>
      </c>
      <c r="R647" s="4" t="s">
        <v>1046</v>
      </c>
      <c r="S647" s="4" t="s">
        <v>6288</v>
      </c>
      <c r="T647" s="4" t="s">
        <v>47</v>
      </c>
      <c r="U647" s="4" t="s">
        <v>20</v>
      </c>
      <c r="V647">
        <v>1982</v>
      </c>
      <c r="W647" s="4" t="s">
        <v>47</v>
      </c>
      <c r="X647" s="4" t="s">
        <v>6289</v>
      </c>
      <c r="Y647" s="4" t="s">
        <v>47</v>
      </c>
      <c r="Z647" s="4" t="s">
        <v>6290</v>
      </c>
      <c r="AA647" s="4" t="s">
        <v>47</v>
      </c>
      <c r="AB647" s="4" t="s">
        <v>47</v>
      </c>
      <c r="AC647" s="4" t="s">
        <v>6291</v>
      </c>
      <c r="AD647" s="4" t="s">
        <v>47</v>
      </c>
      <c r="AE647" s="4" t="s">
        <v>47</v>
      </c>
      <c r="AF647" s="4" t="s">
        <v>47</v>
      </c>
      <c r="AG647" s="4" t="s">
        <v>47</v>
      </c>
      <c r="AH647" s="4" t="s">
        <v>47</v>
      </c>
      <c r="AI647" s="4" t="s">
        <v>47</v>
      </c>
      <c r="AJ647" s="4" t="s">
        <v>47</v>
      </c>
      <c r="AK647" s="4" t="s">
        <v>47</v>
      </c>
      <c r="AL647" s="4" t="s">
        <v>47</v>
      </c>
      <c r="AM647" s="4" t="s">
        <v>47</v>
      </c>
      <c r="AN647" s="4" t="s">
        <v>47</v>
      </c>
      <c r="AO647" s="4" t="s">
        <v>47</v>
      </c>
      <c r="AP647" s="4" t="s">
        <v>47</v>
      </c>
      <c r="AQ647" s="4" t="s">
        <v>6292</v>
      </c>
      <c r="AR647" s="4" t="s">
        <v>6293</v>
      </c>
    </row>
    <row r="648" spans="1:44" x14ac:dyDescent="0.2">
      <c r="A648" s="4" t="s">
        <v>4991</v>
      </c>
      <c r="B648" s="4" t="s">
        <v>258</v>
      </c>
      <c r="C648">
        <v>0</v>
      </c>
      <c r="F648">
        <v>0</v>
      </c>
      <c r="I648" s="4" t="s">
        <v>6112</v>
      </c>
      <c r="J648" s="4" t="s">
        <v>6113</v>
      </c>
      <c r="K648" s="4" t="s">
        <v>5617</v>
      </c>
      <c r="L648" s="4" t="s">
        <v>5970</v>
      </c>
      <c r="M648">
        <v>25000</v>
      </c>
      <c r="N648" s="4" t="s">
        <v>6114</v>
      </c>
      <c r="O648" s="4" t="s">
        <v>6294</v>
      </c>
      <c r="P648" s="4" t="s">
        <v>6062</v>
      </c>
      <c r="Q648" s="9">
        <v>30119</v>
      </c>
      <c r="R648" s="4" t="s">
        <v>869</v>
      </c>
      <c r="S648" s="4" t="s">
        <v>5319</v>
      </c>
      <c r="T648" s="4" t="s">
        <v>47</v>
      </c>
      <c r="U648" s="4" t="s">
        <v>20</v>
      </c>
      <c r="V648">
        <v>1982</v>
      </c>
      <c r="W648" s="4" t="s">
        <v>47</v>
      </c>
      <c r="X648" s="4" t="s">
        <v>47</v>
      </c>
      <c r="Y648" s="4" t="s">
        <v>47</v>
      </c>
      <c r="Z648" s="4" t="s">
        <v>47</v>
      </c>
      <c r="AA648" s="4" t="s">
        <v>47</v>
      </c>
      <c r="AB648" s="4" t="s">
        <v>47</v>
      </c>
      <c r="AC648" s="4" t="s">
        <v>47</v>
      </c>
      <c r="AD648" s="4" t="s">
        <v>47</v>
      </c>
      <c r="AE648" s="4" t="s">
        <v>47</v>
      </c>
      <c r="AF648" s="4" t="s">
        <v>47</v>
      </c>
      <c r="AG648" s="4" t="s">
        <v>47</v>
      </c>
      <c r="AH648" s="4" t="s">
        <v>47</v>
      </c>
      <c r="AI648" s="4" t="s">
        <v>47</v>
      </c>
      <c r="AJ648" s="4" t="s">
        <v>47</v>
      </c>
      <c r="AK648" s="4" t="s">
        <v>47</v>
      </c>
      <c r="AL648" s="4" t="s">
        <v>47</v>
      </c>
      <c r="AM648" s="4" t="s">
        <v>47</v>
      </c>
      <c r="AN648" s="4" t="s">
        <v>47</v>
      </c>
      <c r="AO648" s="4" t="s">
        <v>47</v>
      </c>
      <c r="AP648" s="4" t="s">
        <v>6295</v>
      </c>
      <c r="AQ648" s="4" t="s">
        <v>47</v>
      </c>
      <c r="AR648" s="4" t="s">
        <v>47</v>
      </c>
    </row>
    <row r="649" spans="1:44" x14ac:dyDescent="0.2">
      <c r="A649" s="4" t="s">
        <v>52</v>
      </c>
      <c r="B649" s="4" t="s">
        <v>87</v>
      </c>
      <c r="C649">
        <v>3</v>
      </c>
      <c r="F649">
        <v>1</v>
      </c>
      <c r="I649" s="4" t="s">
        <v>5964</v>
      </c>
      <c r="J649" s="4" t="s">
        <v>5965</v>
      </c>
      <c r="K649" s="4" t="s">
        <v>5911</v>
      </c>
      <c r="L649" s="4" t="s">
        <v>5439</v>
      </c>
      <c r="M649">
        <v>44172</v>
      </c>
      <c r="N649" s="4" t="s">
        <v>6060</v>
      </c>
      <c r="O649" s="4" t="s">
        <v>6296</v>
      </c>
      <c r="P649" s="4" t="s">
        <v>6062</v>
      </c>
      <c r="Q649" s="9">
        <v>30118</v>
      </c>
      <c r="R649" s="4" t="s">
        <v>770</v>
      </c>
      <c r="S649" s="4" t="s">
        <v>5915</v>
      </c>
      <c r="T649" s="4" t="s">
        <v>47</v>
      </c>
      <c r="U649" s="4" t="s">
        <v>20</v>
      </c>
      <c r="V649">
        <v>1982</v>
      </c>
      <c r="W649" s="4" t="s">
        <v>6297</v>
      </c>
      <c r="X649" s="4" t="s">
        <v>6298</v>
      </c>
      <c r="Y649" s="4" t="s">
        <v>6299</v>
      </c>
      <c r="Z649" s="4" t="s">
        <v>6300</v>
      </c>
      <c r="AA649" s="4" t="s">
        <v>47</v>
      </c>
      <c r="AB649" s="4" t="s">
        <v>47</v>
      </c>
      <c r="AC649" s="4" t="s">
        <v>47</v>
      </c>
      <c r="AD649" s="4" t="s">
        <v>47</v>
      </c>
      <c r="AE649" s="4" t="s">
        <v>47</v>
      </c>
      <c r="AF649" s="4" t="s">
        <v>47</v>
      </c>
      <c r="AG649" s="4" t="s">
        <v>47</v>
      </c>
      <c r="AH649" s="4" t="s">
        <v>47</v>
      </c>
      <c r="AI649" s="4" t="s">
        <v>47</v>
      </c>
      <c r="AJ649" s="4" t="s">
        <v>47</v>
      </c>
      <c r="AK649" s="4" t="s">
        <v>47</v>
      </c>
      <c r="AL649" s="4" t="s">
        <v>47</v>
      </c>
      <c r="AM649" s="4" t="s">
        <v>47</v>
      </c>
      <c r="AN649" s="4" t="s">
        <v>47</v>
      </c>
      <c r="AO649" s="4" t="s">
        <v>6301</v>
      </c>
      <c r="AP649" s="4" t="s">
        <v>47</v>
      </c>
      <c r="AQ649" s="4" t="s">
        <v>6302</v>
      </c>
      <c r="AR649" s="4" t="s">
        <v>6303</v>
      </c>
    </row>
    <row r="650" spans="1:44" x14ac:dyDescent="0.2">
      <c r="A650" s="4" t="s">
        <v>104</v>
      </c>
      <c r="B650" s="4" t="s">
        <v>181</v>
      </c>
      <c r="C650">
        <v>1</v>
      </c>
      <c r="F650">
        <v>2</v>
      </c>
      <c r="I650" s="4" t="s">
        <v>5898</v>
      </c>
      <c r="J650" s="4" t="s">
        <v>5416</v>
      </c>
      <c r="K650" s="4" t="s">
        <v>6096</v>
      </c>
      <c r="L650" s="4" t="s">
        <v>6097</v>
      </c>
      <c r="M650">
        <v>42000</v>
      </c>
      <c r="N650" s="4" t="s">
        <v>6069</v>
      </c>
      <c r="O650" s="4" t="s">
        <v>6304</v>
      </c>
      <c r="P650" s="4" t="s">
        <v>6062</v>
      </c>
      <c r="Q650" s="9">
        <v>30118</v>
      </c>
      <c r="R650" s="4" t="s">
        <v>664</v>
      </c>
      <c r="S650" s="4" t="s">
        <v>6305</v>
      </c>
      <c r="T650" s="4" t="s">
        <v>47</v>
      </c>
      <c r="U650" s="4" t="s">
        <v>20</v>
      </c>
      <c r="V650">
        <v>1982</v>
      </c>
      <c r="W650" s="4" t="s">
        <v>6306</v>
      </c>
      <c r="X650" s="4" t="s">
        <v>6307</v>
      </c>
      <c r="Y650" s="4" t="s">
        <v>6308</v>
      </c>
      <c r="Z650" s="4" t="s">
        <v>6309</v>
      </c>
      <c r="AA650" s="4" t="s">
        <v>47</v>
      </c>
      <c r="AB650" s="4" t="s">
        <v>47</v>
      </c>
      <c r="AC650" s="4" t="s">
        <v>47</v>
      </c>
      <c r="AD650" s="4" t="s">
        <v>47</v>
      </c>
      <c r="AE650" s="4" t="s">
        <v>47</v>
      </c>
      <c r="AF650" s="4" t="s">
        <v>47</v>
      </c>
      <c r="AG650" s="4" t="s">
        <v>47</v>
      </c>
      <c r="AH650" s="4" t="s">
        <v>47</v>
      </c>
      <c r="AI650" s="4" t="s">
        <v>47</v>
      </c>
      <c r="AJ650" s="4" t="s">
        <v>47</v>
      </c>
      <c r="AK650" s="4" t="s">
        <v>47</v>
      </c>
      <c r="AL650" s="4" t="s">
        <v>47</v>
      </c>
      <c r="AM650" s="4" t="s">
        <v>47</v>
      </c>
      <c r="AN650" s="4" t="s">
        <v>47</v>
      </c>
      <c r="AO650" s="4" t="s">
        <v>6310</v>
      </c>
      <c r="AP650" s="4" t="s">
        <v>6311</v>
      </c>
      <c r="AQ650" s="4" t="s">
        <v>6312</v>
      </c>
      <c r="AR650" s="4" t="s">
        <v>6313</v>
      </c>
    </row>
    <row r="651" spans="1:44" x14ac:dyDescent="0.2">
      <c r="A651" s="4" t="s">
        <v>20</v>
      </c>
      <c r="B651" s="4" t="s">
        <v>248</v>
      </c>
      <c r="C651">
        <v>1</v>
      </c>
      <c r="F651">
        <v>1</v>
      </c>
      <c r="I651" s="4" t="s">
        <v>5962</v>
      </c>
      <c r="J651" s="4" t="s">
        <v>5963</v>
      </c>
      <c r="K651" s="4" t="s">
        <v>6110</v>
      </c>
      <c r="L651" s="4" t="s">
        <v>6111</v>
      </c>
      <c r="M651">
        <v>49562</v>
      </c>
      <c r="N651" s="4" t="s">
        <v>6075</v>
      </c>
      <c r="O651" s="4" t="s">
        <v>6314</v>
      </c>
      <c r="P651" s="4" t="s">
        <v>6062</v>
      </c>
      <c r="Q651" s="9">
        <v>30118</v>
      </c>
      <c r="R651" s="4" t="s">
        <v>1046</v>
      </c>
      <c r="S651" s="4" t="s">
        <v>6315</v>
      </c>
      <c r="T651" s="4" t="s">
        <v>47</v>
      </c>
      <c r="U651" s="4" t="s">
        <v>20</v>
      </c>
      <c r="V651">
        <v>1982</v>
      </c>
      <c r="W651" s="4" t="s">
        <v>47</v>
      </c>
      <c r="X651" s="4" t="s">
        <v>6316</v>
      </c>
      <c r="Y651" s="4" t="s">
        <v>47</v>
      </c>
      <c r="Z651" s="4" t="s">
        <v>6317</v>
      </c>
      <c r="AA651" s="4" t="s">
        <v>47</v>
      </c>
      <c r="AB651" s="4" t="s">
        <v>47</v>
      </c>
      <c r="AC651" s="4" t="s">
        <v>6318</v>
      </c>
      <c r="AD651" s="4" t="s">
        <v>47</v>
      </c>
      <c r="AE651" s="4" t="s">
        <v>47</v>
      </c>
      <c r="AF651" s="4" t="s">
        <v>47</v>
      </c>
      <c r="AG651" s="4" t="s">
        <v>47</v>
      </c>
      <c r="AH651" s="4" t="s">
        <v>47</v>
      </c>
      <c r="AI651" s="4" t="s">
        <v>47</v>
      </c>
      <c r="AJ651" s="4" t="s">
        <v>47</v>
      </c>
      <c r="AK651" s="4" t="s">
        <v>47</v>
      </c>
      <c r="AL651" s="4" t="s">
        <v>47</v>
      </c>
      <c r="AM651" s="4" t="s">
        <v>47</v>
      </c>
      <c r="AN651" s="4" t="s">
        <v>47</v>
      </c>
      <c r="AO651" s="4" t="s">
        <v>47</v>
      </c>
      <c r="AP651" s="4" t="s">
        <v>47</v>
      </c>
      <c r="AQ651" s="4" t="s">
        <v>6319</v>
      </c>
      <c r="AR651" s="4" t="s">
        <v>6320</v>
      </c>
    </row>
    <row r="652" spans="1:44" x14ac:dyDescent="0.2">
      <c r="A652" s="4" t="s">
        <v>223</v>
      </c>
      <c r="B652" s="4" t="s">
        <v>209</v>
      </c>
      <c r="C652">
        <v>0</v>
      </c>
      <c r="F652">
        <v>0</v>
      </c>
      <c r="I652" s="4" t="s">
        <v>6153</v>
      </c>
      <c r="J652" s="4" t="s">
        <v>6154</v>
      </c>
      <c r="K652" s="4" t="s">
        <v>6123</v>
      </c>
      <c r="L652" s="4" t="s">
        <v>6124</v>
      </c>
      <c r="M652">
        <v>11000</v>
      </c>
      <c r="N652" s="4" t="s">
        <v>6155</v>
      </c>
      <c r="O652" s="4" t="s">
        <v>6321</v>
      </c>
      <c r="P652" s="4" t="s">
        <v>6062</v>
      </c>
      <c r="Q652" s="9">
        <v>30117</v>
      </c>
      <c r="R652" s="4" t="s">
        <v>869</v>
      </c>
      <c r="S652" s="4" t="s">
        <v>6322</v>
      </c>
      <c r="T652" s="4" t="s">
        <v>47</v>
      </c>
      <c r="U652" s="4" t="s">
        <v>20</v>
      </c>
      <c r="V652">
        <v>1982</v>
      </c>
      <c r="W652" s="4" t="s">
        <v>47</v>
      </c>
      <c r="X652" s="4" t="s">
        <v>47</v>
      </c>
      <c r="Y652" s="4" t="s">
        <v>47</v>
      </c>
      <c r="Z652" s="4" t="s">
        <v>47</v>
      </c>
      <c r="AA652" s="4" t="s">
        <v>47</v>
      </c>
      <c r="AB652" s="4" t="s">
        <v>47</v>
      </c>
      <c r="AC652" s="4" t="s">
        <v>47</v>
      </c>
      <c r="AD652" s="4" t="s">
        <v>47</v>
      </c>
      <c r="AE652" s="4" t="s">
        <v>47</v>
      </c>
      <c r="AF652" s="4" t="s">
        <v>47</v>
      </c>
      <c r="AG652" s="4" t="s">
        <v>47</v>
      </c>
      <c r="AH652" s="4" t="s">
        <v>47</v>
      </c>
      <c r="AI652" s="4" t="s">
        <v>47</v>
      </c>
      <c r="AJ652" s="4" t="s">
        <v>47</v>
      </c>
      <c r="AK652" s="4" t="s">
        <v>47</v>
      </c>
      <c r="AL652" s="4" t="s">
        <v>47</v>
      </c>
      <c r="AM652" s="4" t="s">
        <v>47</v>
      </c>
      <c r="AN652" s="4" t="s">
        <v>47</v>
      </c>
      <c r="AO652" s="4" t="s">
        <v>47</v>
      </c>
      <c r="AP652" s="4" t="s">
        <v>6323</v>
      </c>
      <c r="AQ652" s="4" t="s">
        <v>6324</v>
      </c>
      <c r="AR652" s="4" t="s">
        <v>6325</v>
      </c>
    </row>
    <row r="653" spans="1:44" x14ac:dyDescent="0.2">
      <c r="A653" s="4" t="s">
        <v>119</v>
      </c>
      <c r="B653" s="4" t="s">
        <v>319</v>
      </c>
      <c r="C653">
        <v>10</v>
      </c>
      <c r="F653">
        <v>1</v>
      </c>
      <c r="I653" s="4" t="s">
        <v>6164</v>
      </c>
      <c r="J653" s="4" t="s">
        <v>6165</v>
      </c>
      <c r="K653" s="4" t="s">
        <v>6133</v>
      </c>
      <c r="L653" s="4" t="s">
        <v>6134</v>
      </c>
      <c r="M653">
        <v>23000</v>
      </c>
      <c r="N653" s="4" t="s">
        <v>6166</v>
      </c>
      <c r="O653" s="4" t="s">
        <v>6326</v>
      </c>
      <c r="P653" s="4" t="s">
        <v>6062</v>
      </c>
      <c r="Q653" s="9">
        <v>30117</v>
      </c>
      <c r="R653" s="4" t="s">
        <v>6327</v>
      </c>
      <c r="S653" s="4" t="s">
        <v>6328</v>
      </c>
      <c r="T653" s="4" t="s">
        <v>47</v>
      </c>
      <c r="U653" s="4" t="s">
        <v>20</v>
      </c>
      <c r="V653">
        <v>1982</v>
      </c>
      <c r="W653" s="4" t="s">
        <v>6329</v>
      </c>
      <c r="X653" s="4" t="s">
        <v>6330</v>
      </c>
      <c r="Y653" s="4" t="s">
        <v>6331</v>
      </c>
      <c r="Z653" s="4" t="s">
        <v>6332</v>
      </c>
      <c r="AA653" s="4" t="s">
        <v>47</v>
      </c>
      <c r="AB653" s="4" t="s">
        <v>47</v>
      </c>
      <c r="AC653" s="4" t="s">
        <v>47</v>
      </c>
      <c r="AD653" s="4" t="s">
        <v>47</v>
      </c>
      <c r="AE653" s="4" t="s">
        <v>47</v>
      </c>
      <c r="AF653" s="4" t="s">
        <v>47</v>
      </c>
      <c r="AG653" s="4" t="s">
        <v>47</v>
      </c>
      <c r="AH653" s="4" t="s">
        <v>47</v>
      </c>
      <c r="AI653" s="4" t="s">
        <v>47</v>
      </c>
      <c r="AJ653" s="4" t="s">
        <v>47</v>
      </c>
      <c r="AK653" s="4" t="s">
        <v>47</v>
      </c>
      <c r="AL653" s="4" t="s">
        <v>47</v>
      </c>
      <c r="AM653" s="4" t="s">
        <v>47</v>
      </c>
      <c r="AN653" s="4" t="s">
        <v>47</v>
      </c>
      <c r="AO653" s="4" t="s">
        <v>6333</v>
      </c>
      <c r="AP653" s="4" t="s">
        <v>47</v>
      </c>
      <c r="AQ653" s="4" t="s">
        <v>6334</v>
      </c>
      <c r="AR653" s="4" t="s">
        <v>6335</v>
      </c>
    </row>
    <row r="654" spans="1:44" x14ac:dyDescent="0.2">
      <c r="A654" s="4" t="s">
        <v>205</v>
      </c>
      <c r="B654" s="4" t="s">
        <v>288</v>
      </c>
      <c r="C654">
        <v>5</v>
      </c>
      <c r="F654">
        <v>2</v>
      </c>
      <c r="I654" s="4" t="s">
        <v>6176</v>
      </c>
      <c r="J654" s="4" t="s">
        <v>6336</v>
      </c>
      <c r="K654" s="4" t="s">
        <v>6144</v>
      </c>
      <c r="L654" s="4" t="s">
        <v>6145</v>
      </c>
      <c r="M654">
        <v>36000</v>
      </c>
      <c r="N654" s="4" t="s">
        <v>6177</v>
      </c>
      <c r="O654" s="4" t="s">
        <v>6337</v>
      </c>
      <c r="P654" s="4" t="s">
        <v>6062</v>
      </c>
      <c r="Q654" s="9">
        <v>30117</v>
      </c>
      <c r="R654" s="4" t="s">
        <v>1614</v>
      </c>
      <c r="S654" s="4" t="s">
        <v>5672</v>
      </c>
      <c r="T654" s="4" t="s">
        <v>47</v>
      </c>
      <c r="U654" s="4" t="s">
        <v>20</v>
      </c>
      <c r="V654">
        <v>1982</v>
      </c>
      <c r="W654" s="4" t="s">
        <v>6338</v>
      </c>
      <c r="X654" s="4" t="s">
        <v>6339</v>
      </c>
      <c r="Y654" s="4" t="s">
        <v>6340</v>
      </c>
      <c r="Z654" s="4" t="s">
        <v>6341</v>
      </c>
      <c r="AA654" s="4" t="s">
        <v>47</v>
      </c>
      <c r="AB654" s="4" t="s">
        <v>47</v>
      </c>
      <c r="AC654" s="4" t="s">
        <v>47</v>
      </c>
      <c r="AD654" s="4" t="s">
        <v>47</v>
      </c>
      <c r="AE654" s="4" t="s">
        <v>47</v>
      </c>
      <c r="AF654" s="4" t="s">
        <v>47</v>
      </c>
      <c r="AG654" s="4" t="s">
        <v>47</v>
      </c>
      <c r="AH654" s="4" t="s">
        <v>47</v>
      </c>
      <c r="AI654" s="4" t="s">
        <v>47</v>
      </c>
      <c r="AJ654" s="4" t="s">
        <v>47</v>
      </c>
      <c r="AK654" s="4" t="s">
        <v>47</v>
      </c>
      <c r="AL654" s="4" t="s">
        <v>47</v>
      </c>
      <c r="AM654" s="4" t="s">
        <v>47</v>
      </c>
      <c r="AN654" s="4" t="s">
        <v>47</v>
      </c>
      <c r="AO654" s="4" t="s">
        <v>47</v>
      </c>
      <c r="AP654" s="4" t="s">
        <v>47</v>
      </c>
      <c r="AQ654" s="4" t="s">
        <v>6342</v>
      </c>
      <c r="AR654" s="4" t="s">
        <v>6343</v>
      </c>
    </row>
    <row r="655" spans="1:44" x14ac:dyDescent="0.2">
      <c r="A655" s="4" t="s">
        <v>97</v>
      </c>
      <c r="B655" s="4" t="s">
        <v>195</v>
      </c>
      <c r="C655">
        <v>0</v>
      </c>
      <c r="F655">
        <v>0</v>
      </c>
      <c r="I655" s="4" t="s">
        <v>5530</v>
      </c>
      <c r="J655" s="4" t="s">
        <v>5897</v>
      </c>
      <c r="K655" s="4" t="s">
        <v>5548</v>
      </c>
      <c r="L655" s="4" t="s">
        <v>5910</v>
      </c>
      <c r="M655">
        <v>33000</v>
      </c>
      <c r="N655" s="4" t="s">
        <v>6125</v>
      </c>
      <c r="O655" s="4" t="s">
        <v>6344</v>
      </c>
      <c r="P655" s="4" t="s">
        <v>6062</v>
      </c>
      <c r="Q655" s="9">
        <v>30116</v>
      </c>
      <c r="R655" s="4" t="s">
        <v>869</v>
      </c>
      <c r="S655" s="4" t="s">
        <v>4955</v>
      </c>
      <c r="T655" s="4" t="s">
        <v>47</v>
      </c>
      <c r="U655" s="4" t="s">
        <v>20</v>
      </c>
      <c r="V655">
        <v>1982</v>
      </c>
      <c r="W655" s="4" t="s">
        <v>47</v>
      </c>
      <c r="X655" s="4" t="s">
        <v>47</v>
      </c>
      <c r="Y655" s="4" t="s">
        <v>47</v>
      </c>
      <c r="Z655" s="4" t="s">
        <v>47</v>
      </c>
      <c r="AA655" s="4" t="s">
        <v>47</v>
      </c>
      <c r="AB655" s="4" t="s">
        <v>47</v>
      </c>
      <c r="AC655" s="4" t="s">
        <v>47</v>
      </c>
      <c r="AD655" s="4" t="s">
        <v>47</v>
      </c>
      <c r="AE655" s="4" t="s">
        <v>47</v>
      </c>
      <c r="AF655" s="4" t="s">
        <v>47</v>
      </c>
      <c r="AG655" s="4" t="s">
        <v>47</v>
      </c>
      <c r="AH655" s="4" t="s">
        <v>47</v>
      </c>
      <c r="AI655" s="4" t="s">
        <v>47</v>
      </c>
      <c r="AJ655" s="4" t="s">
        <v>47</v>
      </c>
      <c r="AK655" s="4" t="s">
        <v>47</v>
      </c>
      <c r="AL655" s="4" t="s">
        <v>47</v>
      </c>
      <c r="AM655" s="4" t="s">
        <v>47</v>
      </c>
      <c r="AN655" s="4" t="s">
        <v>47</v>
      </c>
      <c r="AO655" s="4" t="s">
        <v>6345</v>
      </c>
      <c r="AP655" s="4" t="s">
        <v>6346</v>
      </c>
      <c r="AQ655" s="4" t="s">
        <v>47</v>
      </c>
      <c r="AR655" s="4" t="s">
        <v>6347</v>
      </c>
    </row>
    <row r="656" spans="1:44" x14ac:dyDescent="0.2">
      <c r="A656" s="4" t="s">
        <v>12</v>
      </c>
      <c r="B656" s="4" t="s">
        <v>5211</v>
      </c>
      <c r="C656">
        <v>2</v>
      </c>
      <c r="F656">
        <v>1</v>
      </c>
      <c r="I656" s="4" t="s">
        <v>5481</v>
      </c>
      <c r="J656" s="4" t="s">
        <v>5950</v>
      </c>
      <c r="K656" s="4" t="s">
        <v>5982</v>
      </c>
      <c r="L656" s="4" t="s">
        <v>5983</v>
      </c>
      <c r="M656">
        <v>68000</v>
      </c>
      <c r="N656" s="4" t="s">
        <v>5933</v>
      </c>
      <c r="O656" s="4" t="s">
        <v>6348</v>
      </c>
      <c r="P656" s="4" t="s">
        <v>6062</v>
      </c>
      <c r="Q656" s="9">
        <v>30116</v>
      </c>
      <c r="R656" s="4" t="s">
        <v>617</v>
      </c>
      <c r="S656" s="4" t="s">
        <v>6349</v>
      </c>
      <c r="T656" s="4" t="s">
        <v>47</v>
      </c>
      <c r="U656" s="4" t="s">
        <v>20</v>
      </c>
      <c r="V656">
        <v>1982</v>
      </c>
      <c r="W656" s="4" t="s">
        <v>6350</v>
      </c>
      <c r="X656" s="4" t="s">
        <v>6351</v>
      </c>
      <c r="Y656" s="4" t="s">
        <v>6352</v>
      </c>
      <c r="Z656" s="4" t="s">
        <v>6353</v>
      </c>
      <c r="AA656" s="4" t="s">
        <v>47</v>
      </c>
      <c r="AB656" s="4" t="s">
        <v>47</v>
      </c>
      <c r="AC656" s="4" t="s">
        <v>47</v>
      </c>
      <c r="AD656" s="4" t="s">
        <v>47</v>
      </c>
      <c r="AE656" s="4" t="s">
        <v>47</v>
      </c>
      <c r="AF656" s="4" t="s">
        <v>47</v>
      </c>
      <c r="AG656" s="4" t="s">
        <v>47</v>
      </c>
      <c r="AH656" s="4" t="s">
        <v>47</v>
      </c>
      <c r="AI656" s="4" t="s">
        <v>47</v>
      </c>
      <c r="AJ656" s="4" t="s">
        <v>47</v>
      </c>
      <c r="AK656" s="4" t="s">
        <v>47</v>
      </c>
      <c r="AL656" s="4" t="s">
        <v>47</v>
      </c>
      <c r="AM656" s="4" t="s">
        <v>47</v>
      </c>
      <c r="AN656" s="4" t="s">
        <v>47</v>
      </c>
      <c r="AO656" s="4" t="s">
        <v>47</v>
      </c>
      <c r="AP656" s="4" t="s">
        <v>47</v>
      </c>
      <c r="AQ656" s="4" t="s">
        <v>6354</v>
      </c>
      <c r="AR656" s="4" t="s">
        <v>6355</v>
      </c>
    </row>
    <row r="657" spans="1:44" x14ac:dyDescent="0.2">
      <c r="A657" s="4" t="s">
        <v>26</v>
      </c>
      <c r="B657" s="4" t="s">
        <v>148</v>
      </c>
      <c r="C657">
        <v>0</v>
      </c>
      <c r="F657">
        <v>1</v>
      </c>
      <c r="I657" s="4" t="s">
        <v>5990</v>
      </c>
      <c r="J657" s="4" t="s">
        <v>3912</v>
      </c>
      <c r="K657" s="4" t="s">
        <v>5027</v>
      </c>
      <c r="L657" s="4" t="s">
        <v>5327</v>
      </c>
      <c r="M657">
        <v>95000</v>
      </c>
      <c r="N657" s="4" t="s">
        <v>5924</v>
      </c>
      <c r="O657" s="4" t="s">
        <v>6356</v>
      </c>
      <c r="P657" s="4" t="s">
        <v>6062</v>
      </c>
      <c r="Q657" s="9">
        <v>30115</v>
      </c>
      <c r="R657" s="4" t="s">
        <v>963</v>
      </c>
      <c r="S657" s="4" t="s">
        <v>5812</v>
      </c>
      <c r="T657" s="4" t="s">
        <v>47</v>
      </c>
      <c r="U657" s="4" t="s">
        <v>20</v>
      </c>
      <c r="V657">
        <v>1982</v>
      </c>
      <c r="W657" s="4" t="s">
        <v>47</v>
      </c>
      <c r="X657" s="4" t="s">
        <v>6357</v>
      </c>
      <c r="Y657" s="4" t="s">
        <v>47</v>
      </c>
      <c r="Z657" s="4" t="s">
        <v>6358</v>
      </c>
      <c r="AA657" s="4" t="s">
        <v>47</v>
      </c>
      <c r="AB657" s="4" t="s">
        <v>47</v>
      </c>
      <c r="AC657" s="4" t="s">
        <v>47</v>
      </c>
      <c r="AD657" s="4" t="s">
        <v>47</v>
      </c>
      <c r="AE657" s="4" t="s">
        <v>47</v>
      </c>
      <c r="AF657" s="4" t="s">
        <v>47</v>
      </c>
      <c r="AG657" s="4" t="s">
        <v>47</v>
      </c>
      <c r="AH657" s="4" t="s">
        <v>47</v>
      </c>
      <c r="AI657" s="4" t="s">
        <v>47</v>
      </c>
      <c r="AJ657" s="4" t="s">
        <v>47</v>
      </c>
      <c r="AK657" s="4" t="s">
        <v>47</v>
      </c>
      <c r="AL657" s="4" t="s">
        <v>47</v>
      </c>
      <c r="AM657" s="4" t="s">
        <v>47</v>
      </c>
      <c r="AN657" s="4" t="s">
        <v>47</v>
      </c>
      <c r="AO657" s="4" t="s">
        <v>6359</v>
      </c>
      <c r="AP657" s="4" t="s">
        <v>6360</v>
      </c>
      <c r="AQ657" s="4" t="s">
        <v>6361</v>
      </c>
      <c r="AR657" s="4" t="s">
        <v>47</v>
      </c>
    </row>
    <row r="658" spans="1:44" x14ac:dyDescent="0.2">
      <c r="A658" s="4" t="s">
        <v>26</v>
      </c>
      <c r="B658" s="4" t="s">
        <v>95</v>
      </c>
      <c r="C658">
        <v>3</v>
      </c>
      <c r="F658">
        <v>1</v>
      </c>
      <c r="I658" s="4" t="s">
        <v>5990</v>
      </c>
      <c r="J658" s="4" t="s">
        <v>3912</v>
      </c>
      <c r="K658" s="4" t="s">
        <v>6362</v>
      </c>
      <c r="L658" s="4" t="s">
        <v>6363</v>
      </c>
      <c r="M658">
        <v>71483</v>
      </c>
      <c r="N658" s="4" t="s">
        <v>6364</v>
      </c>
      <c r="O658" s="4" t="s">
        <v>6365</v>
      </c>
      <c r="P658" s="4" t="s">
        <v>593</v>
      </c>
      <c r="Q658" s="9">
        <v>28666</v>
      </c>
      <c r="R658" s="4" t="s">
        <v>770</v>
      </c>
      <c r="S658" s="4" t="s">
        <v>6366</v>
      </c>
      <c r="T658" s="4" t="s">
        <v>1258</v>
      </c>
      <c r="U658" s="4" t="s">
        <v>26</v>
      </c>
      <c r="V658">
        <v>1978</v>
      </c>
      <c r="W658" s="4" t="s">
        <v>6367</v>
      </c>
      <c r="X658" s="4" t="s">
        <v>6368</v>
      </c>
      <c r="Y658" s="4" t="s">
        <v>6369</v>
      </c>
      <c r="Z658" s="4" t="s">
        <v>6370</v>
      </c>
      <c r="AA658" s="4" t="s">
        <v>47</v>
      </c>
      <c r="AB658" s="4" t="s">
        <v>47</v>
      </c>
      <c r="AC658" s="4" t="s">
        <v>47</v>
      </c>
      <c r="AD658" s="4" t="s">
        <v>47</v>
      </c>
      <c r="AE658" s="4" t="s">
        <v>47</v>
      </c>
      <c r="AF658" s="4" t="s">
        <v>47</v>
      </c>
      <c r="AG658" s="4" t="s">
        <v>47</v>
      </c>
      <c r="AH658" s="4" t="s">
        <v>47</v>
      </c>
      <c r="AI658" s="4" t="s">
        <v>47</v>
      </c>
      <c r="AJ658" s="4" t="s">
        <v>47</v>
      </c>
      <c r="AK658" s="4" t="s">
        <v>47</v>
      </c>
      <c r="AL658" s="4" t="s">
        <v>47</v>
      </c>
      <c r="AM658" s="4" t="s">
        <v>47</v>
      </c>
      <c r="AN658" s="4" t="s">
        <v>47</v>
      </c>
      <c r="AO658" s="4" t="s">
        <v>6371</v>
      </c>
      <c r="AP658" s="4" t="s">
        <v>6372</v>
      </c>
      <c r="AQ658" s="4" t="s">
        <v>6373</v>
      </c>
      <c r="AR658" s="4" t="s">
        <v>6374</v>
      </c>
    </row>
    <row r="659" spans="1:44" x14ac:dyDescent="0.2">
      <c r="A659" s="4" t="s">
        <v>12</v>
      </c>
      <c r="B659" s="4" t="s">
        <v>97</v>
      </c>
      <c r="C659">
        <v>2</v>
      </c>
      <c r="F659">
        <v>1</v>
      </c>
      <c r="I659" s="4" t="s">
        <v>6375</v>
      </c>
      <c r="J659" s="4" t="s">
        <v>6376</v>
      </c>
      <c r="K659" s="4" t="s">
        <v>5530</v>
      </c>
      <c r="L659" s="4" t="s">
        <v>5897</v>
      </c>
      <c r="M659">
        <v>69659</v>
      </c>
      <c r="N659" s="4" t="s">
        <v>6364</v>
      </c>
      <c r="O659" s="4" t="s">
        <v>6377</v>
      </c>
      <c r="P659" s="4" t="s">
        <v>616</v>
      </c>
      <c r="Q659" s="9">
        <v>28665</v>
      </c>
      <c r="R659" s="4" t="s">
        <v>617</v>
      </c>
      <c r="S659" s="4" t="s">
        <v>5954</v>
      </c>
      <c r="T659" s="4" t="s">
        <v>47</v>
      </c>
      <c r="U659" s="4" t="s">
        <v>26</v>
      </c>
      <c r="V659">
        <v>1978</v>
      </c>
      <c r="W659" s="4" t="s">
        <v>6378</v>
      </c>
      <c r="X659" s="4" t="s">
        <v>6379</v>
      </c>
      <c r="Y659" s="4" t="s">
        <v>6380</v>
      </c>
      <c r="Z659" s="4" t="s">
        <v>6381</v>
      </c>
      <c r="AA659" s="4" t="s">
        <v>47</v>
      </c>
      <c r="AB659" s="4" t="s">
        <v>47</v>
      </c>
      <c r="AC659" s="4" t="s">
        <v>47</v>
      </c>
      <c r="AD659" s="4" t="s">
        <v>47</v>
      </c>
      <c r="AE659" s="4" t="s">
        <v>47</v>
      </c>
      <c r="AF659" s="4" t="s">
        <v>47</v>
      </c>
      <c r="AG659" s="4" t="s">
        <v>47</v>
      </c>
      <c r="AH659" s="4" t="s">
        <v>47</v>
      </c>
      <c r="AI659" s="4" t="s">
        <v>47</v>
      </c>
      <c r="AJ659" s="4" t="s">
        <v>47</v>
      </c>
      <c r="AK659" s="4" t="s">
        <v>47</v>
      </c>
      <c r="AL659" s="4" t="s">
        <v>47</v>
      </c>
      <c r="AM659" s="4" t="s">
        <v>47</v>
      </c>
      <c r="AN659" s="4" t="s">
        <v>47</v>
      </c>
      <c r="AO659" s="4" t="s">
        <v>6382</v>
      </c>
      <c r="AP659" s="4" t="s">
        <v>6383</v>
      </c>
      <c r="AQ659" s="4" t="s">
        <v>6384</v>
      </c>
      <c r="AR659" s="4" t="s">
        <v>6385</v>
      </c>
    </row>
    <row r="660" spans="1:44" x14ac:dyDescent="0.2">
      <c r="A660" s="4" t="s">
        <v>95</v>
      </c>
      <c r="B660" s="4" t="s">
        <v>97</v>
      </c>
      <c r="C660">
        <v>2</v>
      </c>
      <c r="F660">
        <v>1</v>
      </c>
      <c r="I660" s="4" t="s">
        <v>6362</v>
      </c>
      <c r="J660" s="4" t="s">
        <v>6363</v>
      </c>
      <c r="K660" s="4" t="s">
        <v>5530</v>
      </c>
      <c r="L660" s="4" t="s">
        <v>5897</v>
      </c>
      <c r="M660">
        <v>67433</v>
      </c>
      <c r="N660" s="4" t="s">
        <v>6364</v>
      </c>
      <c r="O660" s="4" t="s">
        <v>6386</v>
      </c>
      <c r="P660" s="4" t="s">
        <v>6387</v>
      </c>
      <c r="Q660" s="9">
        <v>28662</v>
      </c>
      <c r="R660" s="4" t="s">
        <v>617</v>
      </c>
      <c r="S660" s="4" t="s">
        <v>6388</v>
      </c>
      <c r="T660" s="4" t="s">
        <v>47</v>
      </c>
      <c r="U660" s="4" t="s">
        <v>26</v>
      </c>
      <c r="V660">
        <v>1978</v>
      </c>
      <c r="W660" s="4" t="s">
        <v>6389</v>
      </c>
      <c r="X660" s="4" t="s">
        <v>47</v>
      </c>
      <c r="Y660" s="4" t="s">
        <v>6390</v>
      </c>
      <c r="Z660" s="4" t="s">
        <v>47</v>
      </c>
      <c r="AA660" s="4" t="s">
        <v>47</v>
      </c>
      <c r="AB660" s="4" t="s">
        <v>6391</v>
      </c>
      <c r="AC660" s="4" t="s">
        <v>47</v>
      </c>
      <c r="AD660" s="4" t="s">
        <v>47</v>
      </c>
      <c r="AE660" s="4" t="s">
        <v>47</v>
      </c>
      <c r="AF660" s="4" t="s">
        <v>47</v>
      </c>
      <c r="AG660" s="4" t="s">
        <v>47</v>
      </c>
      <c r="AH660" s="4" t="s">
        <v>47</v>
      </c>
      <c r="AI660" s="4" t="s">
        <v>47</v>
      </c>
      <c r="AJ660" s="4" t="s">
        <v>47</v>
      </c>
      <c r="AK660" s="4" t="s">
        <v>47</v>
      </c>
      <c r="AL660" s="4" t="s">
        <v>47</v>
      </c>
      <c r="AM660" s="4" t="s">
        <v>47</v>
      </c>
      <c r="AN660" s="4" t="s">
        <v>47</v>
      </c>
      <c r="AO660" s="4" t="s">
        <v>6392</v>
      </c>
      <c r="AP660" s="4" t="s">
        <v>6393</v>
      </c>
      <c r="AQ660" s="4" t="s">
        <v>6394</v>
      </c>
      <c r="AR660" s="4" t="s">
        <v>6395</v>
      </c>
    </row>
    <row r="661" spans="1:44" x14ac:dyDescent="0.2">
      <c r="A661" s="4" t="s">
        <v>173</v>
      </c>
      <c r="B661" s="4" t="s">
        <v>104</v>
      </c>
      <c r="C661">
        <v>3</v>
      </c>
      <c r="F661">
        <v>2</v>
      </c>
      <c r="I661" s="4" t="s">
        <v>6396</v>
      </c>
      <c r="J661" s="4" t="s">
        <v>6397</v>
      </c>
      <c r="K661" s="4" t="s">
        <v>6398</v>
      </c>
      <c r="L661" s="4" t="s">
        <v>3923</v>
      </c>
      <c r="M661">
        <v>38318</v>
      </c>
      <c r="N661" s="4" t="s">
        <v>6399</v>
      </c>
      <c r="O661" s="4" t="s">
        <v>6400</v>
      </c>
      <c r="P661" s="4" t="s">
        <v>6387</v>
      </c>
      <c r="Q661" s="9">
        <v>28662</v>
      </c>
      <c r="R661" s="4" t="s">
        <v>1130</v>
      </c>
      <c r="S661" s="4" t="s">
        <v>5954</v>
      </c>
      <c r="T661" s="4" t="s">
        <v>47</v>
      </c>
      <c r="U661" s="4" t="s">
        <v>26</v>
      </c>
      <c r="V661">
        <v>1978</v>
      </c>
      <c r="W661" s="4" t="s">
        <v>6401</v>
      </c>
      <c r="X661" s="4" t="s">
        <v>6402</v>
      </c>
      <c r="Y661" s="4" t="s">
        <v>6403</v>
      </c>
      <c r="Z661" s="4" t="s">
        <v>6404</v>
      </c>
      <c r="AA661" s="4" t="s">
        <v>6405</v>
      </c>
      <c r="AB661" s="4" t="s">
        <v>47</v>
      </c>
      <c r="AC661" s="4" t="s">
        <v>47</v>
      </c>
      <c r="AD661" s="4" t="s">
        <v>47</v>
      </c>
      <c r="AE661" s="4" t="s">
        <v>47</v>
      </c>
      <c r="AF661" s="4" t="s">
        <v>47</v>
      </c>
      <c r="AG661" s="4" t="s">
        <v>47</v>
      </c>
      <c r="AH661" s="4" t="s">
        <v>47</v>
      </c>
      <c r="AI661" s="4" t="s">
        <v>47</v>
      </c>
      <c r="AJ661" s="4" t="s">
        <v>47</v>
      </c>
      <c r="AK661" s="4" t="s">
        <v>47</v>
      </c>
      <c r="AL661" s="4" t="s">
        <v>47</v>
      </c>
      <c r="AM661" s="4" t="s">
        <v>47</v>
      </c>
      <c r="AN661" s="4" t="s">
        <v>47</v>
      </c>
      <c r="AO661" s="4" t="s">
        <v>6406</v>
      </c>
      <c r="AP661" s="4" t="s">
        <v>6407</v>
      </c>
      <c r="AQ661" s="4" t="s">
        <v>6408</v>
      </c>
      <c r="AR661" s="4" t="s">
        <v>6409</v>
      </c>
    </row>
    <row r="662" spans="1:44" x14ac:dyDescent="0.2">
      <c r="A662" s="4" t="s">
        <v>12</v>
      </c>
      <c r="B662" s="4" t="s">
        <v>195</v>
      </c>
      <c r="C662">
        <v>3</v>
      </c>
      <c r="F662">
        <v>1</v>
      </c>
      <c r="I662" s="4" t="s">
        <v>6375</v>
      </c>
      <c r="J662" s="4" t="s">
        <v>6376</v>
      </c>
      <c r="K662" s="4" t="s">
        <v>6410</v>
      </c>
      <c r="L662" s="4" t="s">
        <v>6411</v>
      </c>
      <c r="M662">
        <v>39586</v>
      </c>
      <c r="N662" s="4" t="s">
        <v>6412</v>
      </c>
      <c r="O662" s="4" t="s">
        <v>6413</v>
      </c>
      <c r="P662" s="4" t="s">
        <v>6387</v>
      </c>
      <c r="Q662" s="9">
        <v>28662</v>
      </c>
      <c r="R662" s="4" t="s">
        <v>770</v>
      </c>
      <c r="S662" s="4" t="s">
        <v>6414</v>
      </c>
      <c r="T662" s="4" t="s">
        <v>47</v>
      </c>
      <c r="U662" s="4" t="s">
        <v>26</v>
      </c>
      <c r="V662">
        <v>1978</v>
      </c>
      <c r="W662" s="4" t="s">
        <v>6415</v>
      </c>
      <c r="X662" s="4" t="s">
        <v>6416</v>
      </c>
      <c r="Y662" s="4" t="s">
        <v>6417</v>
      </c>
      <c r="Z662" s="4" t="s">
        <v>6418</v>
      </c>
      <c r="AA662" s="4" t="s">
        <v>47</v>
      </c>
      <c r="AB662" s="4" t="s">
        <v>47</v>
      </c>
      <c r="AC662" s="4" t="s">
        <v>47</v>
      </c>
      <c r="AD662" s="4" t="s">
        <v>47</v>
      </c>
      <c r="AE662" s="4" t="s">
        <v>47</v>
      </c>
      <c r="AF662" s="4" t="s">
        <v>47</v>
      </c>
      <c r="AG662" s="4" t="s">
        <v>47</v>
      </c>
      <c r="AH662" s="4" t="s">
        <v>47</v>
      </c>
      <c r="AI662" s="4" t="s">
        <v>47</v>
      </c>
      <c r="AJ662" s="4" t="s">
        <v>47</v>
      </c>
      <c r="AK662" s="4" t="s">
        <v>47</v>
      </c>
      <c r="AL662" s="4" t="s">
        <v>47</v>
      </c>
      <c r="AM662" s="4" t="s">
        <v>47</v>
      </c>
      <c r="AN662" s="4" t="s">
        <v>47</v>
      </c>
      <c r="AO662" s="4" t="s">
        <v>6419</v>
      </c>
      <c r="AP662" s="4" t="s">
        <v>47</v>
      </c>
      <c r="AQ662" s="4" t="s">
        <v>6420</v>
      </c>
      <c r="AR662" s="4" t="s">
        <v>6421</v>
      </c>
    </row>
    <row r="663" spans="1:44" x14ac:dyDescent="0.2">
      <c r="A663" s="4" t="s">
        <v>26</v>
      </c>
      <c r="B663" s="4" t="s">
        <v>223</v>
      </c>
      <c r="C663">
        <v>6</v>
      </c>
      <c r="F663">
        <v>0</v>
      </c>
      <c r="I663" s="4" t="s">
        <v>5990</v>
      </c>
      <c r="J663" s="4" t="s">
        <v>3912</v>
      </c>
      <c r="K663" s="4" t="s">
        <v>6422</v>
      </c>
      <c r="L663" s="4" t="s">
        <v>6423</v>
      </c>
      <c r="M663">
        <v>37315</v>
      </c>
      <c r="N663" s="4" t="s">
        <v>6424</v>
      </c>
      <c r="O663" s="4" t="s">
        <v>6425</v>
      </c>
      <c r="P663" s="4" t="s">
        <v>6387</v>
      </c>
      <c r="Q663" s="9">
        <v>28662</v>
      </c>
      <c r="R663" s="4" t="s">
        <v>3226</v>
      </c>
      <c r="S663" s="4" t="s">
        <v>6426</v>
      </c>
      <c r="T663" s="4" t="s">
        <v>47</v>
      </c>
      <c r="U663" s="4" t="s">
        <v>26</v>
      </c>
      <c r="V663">
        <v>1978</v>
      </c>
      <c r="W663" s="4" t="s">
        <v>6427</v>
      </c>
      <c r="X663" s="4" t="s">
        <v>47</v>
      </c>
      <c r="Y663" s="4" t="s">
        <v>6428</v>
      </c>
      <c r="Z663" s="4" t="s">
        <v>47</v>
      </c>
      <c r="AA663" s="4" t="s">
        <v>47</v>
      </c>
      <c r="AB663" s="4" t="s">
        <v>47</v>
      </c>
      <c r="AC663" s="4" t="s">
        <v>47</v>
      </c>
      <c r="AD663" s="4" t="s">
        <v>47</v>
      </c>
      <c r="AE663" s="4" t="s">
        <v>47</v>
      </c>
      <c r="AF663" s="4" t="s">
        <v>47</v>
      </c>
      <c r="AG663" s="4" t="s">
        <v>47</v>
      </c>
      <c r="AH663" s="4" t="s">
        <v>47</v>
      </c>
      <c r="AI663" s="4" t="s">
        <v>47</v>
      </c>
      <c r="AJ663" s="4" t="s">
        <v>47</v>
      </c>
      <c r="AK663" s="4" t="s">
        <v>47</v>
      </c>
      <c r="AL663" s="4" t="s">
        <v>47</v>
      </c>
      <c r="AM663" s="4" t="s">
        <v>47</v>
      </c>
      <c r="AN663" s="4" t="s">
        <v>47</v>
      </c>
      <c r="AO663" s="4" t="s">
        <v>47</v>
      </c>
      <c r="AP663" s="4" t="s">
        <v>6429</v>
      </c>
      <c r="AQ663" s="4" t="s">
        <v>6430</v>
      </c>
      <c r="AR663" s="4" t="s">
        <v>6431</v>
      </c>
    </row>
    <row r="664" spans="1:44" x14ac:dyDescent="0.2">
      <c r="A664" s="4" t="s">
        <v>195</v>
      </c>
      <c r="B664" s="4" t="s">
        <v>223</v>
      </c>
      <c r="C664">
        <v>1</v>
      </c>
      <c r="F664">
        <v>0</v>
      </c>
      <c r="I664" s="4" t="s">
        <v>6410</v>
      </c>
      <c r="J664" s="4" t="s">
        <v>6411</v>
      </c>
      <c r="K664" s="4" t="s">
        <v>6422</v>
      </c>
      <c r="L664" s="4" t="s">
        <v>6423</v>
      </c>
      <c r="M664">
        <v>35288</v>
      </c>
      <c r="N664" s="4" t="s">
        <v>6412</v>
      </c>
      <c r="O664" s="4" t="s">
        <v>6432</v>
      </c>
      <c r="P664" s="4" t="s">
        <v>6387</v>
      </c>
      <c r="Q664" s="9">
        <v>28659</v>
      </c>
      <c r="R664" s="4" t="s">
        <v>652</v>
      </c>
      <c r="S664" s="4" t="s">
        <v>6433</v>
      </c>
      <c r="T664" s="4" t="s">
        <v>47</v>
      </c>
      <c r="U664" s="4" t="s">
        <v>26</v>
      </c>
      <c r="V664">
        <v>1978</v>
      </c>
      <c r="W664" s="4" t="s">
        <v>6434</v>
      </c>
      <c r="X664" s="4" t="s">
        <v>47</v>
      </c>
      <c r="Y664" s="4" t="s">
        <v>6435</v>
      </c>
      <c r="Z664" s="4" t="s">
        <v>47</v>
      </c>
      <c r="AA664" s="4" t="s">
        <v>47</v>
      </c>
      <c r="AB664" s="4" t="s">
        <v>47</v>
      </c>
      <c r="AC664" s="4" t="s">
        <v>47</v>
      </c>
      <c r="AD664" s="4" t="s">
        <v>47</v>
      </c>
      <c r="AE664" s="4" t="s">
        <v>47</v>
      </c>
      <c r="AF664" s="4" t="s">
        <v>47</v>
      </c>
      <c r="AG664" s="4" t="s">
        <v>47</v>
      </c>
      <c r="AH664" s="4" t="s">
        <v>47</v>
      </c>
      <c r="AI664" s="4" t="s">
        <v>47</v>
      </c>
      <c r="AJ664" s="4" t="s">
        <v>47</v>
      </c>
      <c r="AK664" s="4" t="s">
        <v>47</v>
      </c>
      <c r="AL664" s="4" t="s">
        <v>47</v>
      </c>
      <c r="AM664" s="4" t="s">
        <v>47</v>
      </c>
      <c r="AN664" s="4" t="s">
        <v>47</v>
      </c>
      <c r="AO664" s="4" t="s">
        <v>6436</v>
      </c>
      <c r="AP664" s="4" t="s">
        <v>6437</v>
      </c>
      <c r="AQ664" s="4" t="s">
        <v>6438</v>
      </c>
      <c r="AR664" s="4" t="s">
        <v>6439</v>
      </c>
    </row>
    <row r="665" spans="1:44" x14ac:dyDescent="0.2">
      <c r="A665" s="4" t="s">
        <v>104</v>
      </c>
      <c r="B665" s="4" t="s">
        <v>95</v>
      </c>
      <c r="C665">
        <v>2</v>
      </c>
      <c r="F665">
        <v>2</v>
      </c>
      <c r="I665" s="4" t="s">
        <v>6398</v>
      </c>
      <c r="J665" s="4" t="s">
        <v>3923</v>
      </c>
      <c r="K665" s="4" t="s">
        <v>6362</v>
      </c>
      <c r="L665" s="4" t="s">
        <v>6363</v>
      </c>
      <c r="M665">
        <v>40750</v>
      </c>
      <c r="N665" s="4" t="s">
        <v>6399</v>
      </c>
      <c r="O665" s="4" t="s">
        <v>6440</v>
      </c>
      <c r="P665" s="4" t="s">
        <v>6387</v>
      </c>
      <c r="Q665" s="9">
        <v>28659</v>
      </c>
      <c r="R665" s="4" t="s">
        <v>1487</v>
      </c>
      <c r="S665" s="4" t="s">
        <v>6441</v>
      </c>
      <c r="T665" s="4" t="s">
        <v>47</v>
      </c>
      <c r="U665" s="4" t="s">
        <v>26</v>
      </c>
      <c r="V665">
        <v>1978</v>
      </c>
      <c r="W665" s="4" t="s">
        <v>6442</v>
      </c>
      <c r="X665" s="4" t="s">
        <v>6443</v>
      </c>
      <c r="Y665" s="4" t="s">
        <v>6444</v>
      </c>
      <c r="Z665" s="4" t="s">
        <v>6445</v>
      </c>
      <c r="AA665" s="4" t="s">
        <v>47</v>
      </c>
      <c r="AB665" s="4" t="s">
        <v>47</v>
      </c>
      <c r="AC665" s="4" t="s">
        <v>47</v>
      </c>
      <c r="AD665" s="4" t="s">
        <v>47</v>
      </c>
      <c r="AE665" s="4" t="s">
        <v>47</v>
      </c>
      <c r="AF665" s="4" t="s">
        <v>47</v>
      </c>
      <c r="AG665" s="4" t="s">
        <v>47</v>
      </c>
      <c r="AH665" s="4" t="s">
        <v>47</v>
      </c>
      <c r="AI665" s="4" t="s">
        <v>47</v>
      </c>
      <c r="AJ665" s="4" t="s">
        <v>47</v>
      </c>
      <c r="AK665" s="4" t="s">
        <v>47</v>
      </c>
      <c r="AL665" s="4" t="s">
        <v>6446</v>
      </c>
      <c r="AM665" s="4" t="s">
        <v>47</v>
      </c>
      <c r="AN665" s="4" t="s">
        <v>47</v>
      </c>
      <c r="AO665" s="4" t="s">
        <v>6447</v>
      </c>
      <c r="AP665" s="4" t="s">
        <v>6448</v>
      </c>
      <c r="AQ665" s="4" t="s">
        <v>47</v>
      </c>
      <c r="AR665" s="4" t="s">
        <v>6449</v>
      </c>
    </row>
    <row r="666" spans="1:44" x14ac:dyDescent="0.2">
      <c r="A666" s="4" t="s">
        <v>97</v>
      </c>
      <c r="B666" s="4" t="s">
        <v>173</v>
      </c>
      <c r="C666">
        <v>1</v>
      </c>
      <c r="F666">
        <v>0</v>
      </c>
      <c r="I666" s="4" t="s">
        <v>5530</v>
      </c>
      <c r="J666" s="4" t="s">
        <v>5897</v>
      </c>
      <c r="K666" s="4" t="s">
        <v>6396</v>
      </c>
      <c r="L666" s="4" t="s">
        <v>6397</v>
      </c>
      <c r="M666">
        <v>66695</v>
      </c>
      <c r="N666" s="4" t="s">
        <v>6364</v>
      </c>
      <c r="O666" s="4" t="s">
        <v>6450</v>
      </c>
      <c r="P666" s="4" t="s">
        <v>6387</v>
      </c>
      <c r="Q666" s="9">
        <v>28659</v>
      </c>
      <c r="R666" s="4" t="s">
        <v>652</v>
      </c>
      <c r="S666" s="4" t="s">
        <v>6451</v>
      </c>
      <c r="T666" s="4" t="s">
        <v>47</v>
      </c>
      <c r="U666" s="4" t="s">
        <v>26</v>
      </c>
      <c r="V666">
        <v>1978</v>
      </c>
      <c r="W666" s="4" t="s">
        <v>6452</v>
      </c>
      <c r="X666" s="4" t="s">
        <v>47</v>
      </c>
      <c r="Y666" s="4" t="s">
        <v>6453</v>
      </c>
      <c r="Z666" s="4" t="s">
        <v>47</v>
      </c>
      <c r="AA666" s="4" t="s">
        <v>47</v>
      </c>
      <c r="AB666" s="4" t="s">
        <v>47</v>
      </c>
      <c r="AC666" s="4" t="s">
        <v>47</v>
      </c>
      <c r="AD666" s="4" t="s">
        <v>47</v>
      </c>
      <c r="AE666" s="4" t="s">
        <v>47</v>
      </c>
      <c r="AF666" s="4" t="s">
        <v>47</v>
      </c>
      <c r="AG666" s="4" t="s">
        <v>47</v>
      </c>
      <c r="AH666" s="4" t="s">
        <v>47</v>
      </c>
      <c r="AI666" s="4" t="s">
        <v>47</v>
      </c>
      <c r="AJ666" s="4" t="s">
        <v>47</v>
      </c>
      <c r="AK666" s="4" t="s">
        <v>47</v>
      </c>
      <c r="AL666" s="4" t="s">
        <v>47</v>
      </c>
      <c r="AM666" s="4" t="s">
        <v>47</v>
      </c>
      <c r="AN666" s="4" t="s">
        <v>47</v>
      </c>
      <c r="AO666" s="4" t="s">
        <v>47</v>
      </c>
      <c r="AP666" s="4" t="s">
        <v>47</v>
      </c>
      <c r="AQ666" s="4" t="s">
        <v>6454</v>
      </c>
      <c r="AR666" s="4" t="s">
        <v>6455</v>
      </c>
    </row>
    <row r="667" spans="1:44" x14ac:dyDescent="0.2">
      <c r="A667" s="4" t="s">
        <v>26</v>
      </c>
      <c r="B667" s="4" t="s">
        <v>12</v>
      </c>
      <c r="C667">
        <v>0</v>
      </c>
      <c r="F667">
        <v>0</v>
      </c>
      <c r="I667" s="4" t="s">
        <v>5990</v>
      </c>
      <c r="J667" s="4" t="s">
        <v>3912</v>
      </c>
      <c r="K667" s="4" t="s">
        <v>6375</v>
      </c>
      <c r="L667" s="4" t="s">
        <v>6376</v>
      </c>
      <c r="M667">
        <v>37326</v>
      </c>
      <c r="N667" s="4" t="s">
        <v>6424</v>
      </c>
      <c r="O667" s="4" t="s">
        <v>6456</v>
      </c>
      <c r="P667" s="4" t="s">
        <v>6387</v>
      </c>
      <c r="Q667" s="9">
        <v>28659</v>
      </c>
      <c r="R667" s="4" t="s">
        <v>869</v>
      </c>
      <c r="S667" s="4" t="s">
        <v>6046</v>
      </c>
      <c r="T667" s="4" t="s">
        <v>47</v>
      </c>
      <c r="U667" s="4" t="s">
        <v>26</v>
      </c>
      <c r="V667">
        <v>1978</v>
      </c>
      <c r="W667" s="4" t="s">
        <v>47</v>
      </c>
      <c r="X667" s="4" t="s">
        <v>47</v>
      </c>
      <c r="Y667" s="4" t="s">
        <v>47</v>
      </c>
      <c r="Z667" s="4" t="s">
        <v>47</v>
      </c>
      <c r="AA667" s="4" t="s">
        <v>47</v>
      </c>
      <c r="AB667" s="4" t="s">
        <v>47</v>
      </c>
      <c r="AC667" s="4" t="s">
        <v>47</v>
      </c>
      <c r="AD667" s="4" t="s">
        <v>47</v>
      </c>
      <c r="AE667" s="4" t="s">
        <v>47</v>
      </c>
      <c r="AF667" s="4" t="s">
        <v>47</v>
      </c>
      <c r="AG667" s="4" t="s">
        <v>47</v>
      </c>
      <c r="AH667" s="4" t="s">
        <v>47</v>
      </c>
      <c r="AI667" s="4" t="s">
        <v>47</v>
      </c>
      <c r="AJ667" s="4" t="s">
        <v>47</v>
      </c>
      <c r="AK667" s="4" t="s">
        <v>47</v>
      </c>
      <c r="AL667" s="4" t="s">
        <v>47</v>
      </c>
      <c r="AM667" s="4" t="s">
        <v>47</v>
      </c>
      <c r="AN667" s="4" t="s">
        <v>47</v>
      </c>
      <c r="AO667" s="4" t="s">
        <v>6457</v>
      </c>
      <c r="AP667" s="4" t="s">
        <v>6458</v>
      </c>
      <c r="AQ667" s="4" t="s">
        <v>6459</v>
      </c>
      <c r="AR667" s="4" t="s">
        <v>6460</v>
      </c>
    </row>
    <row r="668" spans="1:44" x14ac:dyDescent="0.2">
      <c r="A668" s="4" t="s">
        <v>95</v>
      </c>
      <c r="B668" s="4" t="s">
        <v>173</v>
      </c>
      <c r="C668">
        <v>5</v>
      </c>
      <c r="F668">
        <v>1</v>
      </c>
      <c r="I668" s="4" t="s">
        <v>6362</v>
      </c>
      <c r="J668" s="4" t="s">
        <v>6363</v>
      </c>
      <c r="K668" s="4" t="s">
        <v>6396</v>
      </c>
      <c r="L668" s="4" t="s">
        <v>6397</v>
      </c>
      <c r="M668">
        <v>25050</v>
      </c>
      <c r="N668" s="4" t="s">
        <v>6399</v>
      </c>
      <c r="O668" s="4" t="s">
        <v>6461</v>
      </c>
      <c r="P668" s="4" t="s">
        <v>6387</v>
      </c>
      <c r="Q668" s="9">
        <v>28655</v>
      </c>
      <c r="R668" s="4" t="s">
        <v>5278</v>
      </c>
      <c r="S668" s="4" t="s">
        <v>6462</v>
      </c>
      <c r="T668" s="4" t="s">
        <v>47</v>
      </c>
      <c r="U668" s="4" t="s">
        <v>26</v>
      </c>
      <c r="V668">
        <v>1978</v>
      </c>
      <c r="W668" s="4" t="s">
        <v>6463</v>
      </c>
      <c r="X668" s="4" t="s">
        <v>6464</v>
      </c>
      <c r="Y668" s="4" t="s">
        <v>6465</v>
      </c>
      <c r="Z668" s="4" t="s">
        <v>6466</v>
      </c>
      <c r="AA668" s="4" t="s">
        <v>47</v>
      </c>
      <c r="AB668" s="4" t="s">
        <v>47</v>
      </c>
      <c r="AC668" s="4" t="s">
        <v>6467</v>
      </c>
      <c r="AD668" s="4" t="s">
        <v>47</v>
      </c>
      <c r="AE668" s="4" t="s">
        <v>47</v>
      </c>
      <c r="AF668" s="4" t="s">
        <v>47</v>
      </c>
      <c r="AG668" s="4" t="s">
        <v>47</v>
      </c>
      <c r="AH668" s="4" t="s">
        <v>47</v>
      </c>
      <c r="AI668" s="4" t="s">
        <v>47</v>
      </c>
      <c r="AJ668" s="4" t="s">
        <v>47</v>
      </c>
      <c r="AK668" s="4" t="s">
        <v>47</v>
      </c>
      <c r="AL668" s="4" t="s">
        <v>47</v>
      </c>
      <c r="AM668" s="4" t="s">
        <v>47</v>
      </c>
      <c r="AN668" s="4" t="s">
        <v>47</v>
      </c>
      <c r="AO668" s="4" t="s">
        <v>47</v>
      </c>
      <c r="AP668" s="4" t="s">
        <v>47</v>
      </c>
      <c r="AQ668" s="4" t="s">
        <v>6468</v>
      </c>
      <c r="AR668" s="4" t="s">
        <v>47</v>
      </c>
    </row>
    <row r="669" spans="1:44" x14ac:dyDescent="0.2">
      <c r="A669" s="4" t="s">
        <v>104</v>
      </c>
      <c r="B669" s="4" t="s">
        <v>97</v>
      </c>
      <c r="C669">
        <v>0</v>
      </c>
      <c r="F669">
        <v>0</v>
      </c>
      <c r="I669" s="4" t="s">
        <v>6398</v>
      </c>
      <c r="J669" s="4" t="s">
        <v>3923</v>
      </c>
      <c r="K669" s="4" t="s">
        <v>5530</v>
      </c>
      <c r="L669" s="4" t="s">
        <v>5897</v>
      </c>
      <c r="M669">
        <v>67547</v>
      </c>
      <c r="N669" s="4" t="s">
        <v>6364</v>
      </c>
      <c r="O669" s="4" t="s">
        <v>6469</v>
      </c>
      <c r="P669" s="4" t="s">
        <v>6387</v>
      </c>
      <c r="Q669" s="9">
        <v>28655</v>
      </c>
      <c r="R669" s="4" t="s">
        <v>869</v>
      </c>
      <c r="S669" s="4" t="s">
        <v>6470</v>
      </c>
      <c r="T669" s="4" t="s">
        <v>47</v>
      </c>
      <c r="U669" s="4" t="s">
        <v>26</v>
      </c>
      <c r="V669">
        <v>1978</v>
      </c>
      <c r="W669" s="4" t="s">
        <v>47</v>
      </c>
      <c r="X669" s="4" t="s">
        <v>47</v>
      </c>
      <c r="Y669" s="4" t="s">
        <v>47</v>
      </c>
      <c r="Z669" s="4" t="s">
        <v>47</v>
      </c>
      <c r="AA669" s="4" t="s">
        <v>47</v>
      </c>
      <c r="AB669" s="4" t="s">
        <v>47</v>
      </c>
      <c r="AC669" s="4" t="s">
        <v>47</v>
      </c>
      <c r="AD669" s="4" t="s">
        <v>47</v>
      </c>
      <c r="AE669" s="4" t="s">
        <v>47</v>
      </c>
      <c r="AF669" s="4" t="s">
        <v>47</v>
      </c>
      <c r="AG669" s="4" t="s">
        <v>47</v>
      </c>
      <c r="AH669" s="4" t="s">
        <v>47</v>
      </c>
      <c r="AI669" s="4" t="s">
        <v>47</v>
      </c>
      <c r="AJ669" s="4" t="s">
        <v>47</v>
      </c>
      <c r="AK669" s="4" t="s">
        <v>47</v>
      </c>
      <c r="AL669" s="4" t="s">
        <v>47</v>
      </c>
      <c r="AM669" s="4" t="s">
        <v>47</v>
      </c>
      <c r="AN669" s="4" t="s">
        <v>47</v>
      </c>
      <c r="AO669" s="4" t="s">
        <v>47</v>
      </c>
      <c r="AP669" s="4" t="s">
        <v>47</v>
      </c>
      <c r="AQ669" s="4" t="s">
        <v>6471</v>
      </c>
      <c r="AR669" s="4" t="s">
        <v>6472</v>
      </c>
    </row>
    <row r="670" spans="1:44" x14ac:dyDescent="0.2">
      <c r="A670" s="4" t="s">
        <v>12</v>
      </c>
      <c r="B670" s="4" t="s">
        <v>223</v>
      </c>
      <c r="C670">
        <v>3</v>
      </c>
      <c r="F670">
        <v>0</v>
      </c>
      <c r="I670" s="4" t="s">
        <v>6375</v>
      </c>
      <c r="J670" s="4" t="s">
        <v>6376</v>
      </c>
      <c r="K670" s="4" t="s">
        <v>6422</v>
      </c>
      <c r="L670" s="4" t="s">
        <v>6423</v>
      </c>
      <c r="M670">
        <v>31278</v>
      </c>
      <c r="N670" s="4" t="s">
        <v>6412</v>
      </c>
      <c r="O670" s="4" t="s">
        <v>6473</v>
      </c>
      <c r="P670" s="4" t="s">
        <v>6387</v>
      </c>
      <c r="Q670" s="9">
        <v>28655</v>
      </c>
      <c r="R670" s="4" t="s">
        <v>638</v>
      </c>
      <c r="S670" s="4" t="s">
        <v>6031</v>
      </c>
      <c r="T670" s="4" t="s">
        <v>47</v>
      </c>
      <c r="U670" s="4" t="s">
        <v>26</v>
      </c>
      <c r="V670">
        <v>1978</v>
      </c>
      <c r="W670" s="4" t="s">
        <v>6474</v>
      </c>
      <c r="X670" s="4" t="s">
        <v>47</v>
      </c>
      <c r="Y670" s="4" t="s">
        <v>6475</v>
      </c>
      <c r="Z670" s="4" t="s">
        <v>47</v>
      </c>
      <c r="AA670" s="4" t="s">
        <v>47</v>
      </c>
      <c r="AB670" s="4" t="s">
        <v>47</v>
      </c>
      <c r="AC670" s="4" t="s">
        <v>6476</v>
      </c>
      <c r="AD670" s="4" t="s">
        <v>47</v>
      </c>
      <c r="AE670" s="4" t="s">
        <v>47</v>
      </c>
      <c r="AF670" s="4" t="s">
        <v>47</v>
      </c>
      <c r="AG670" s="4" t="s">
        <v>47</v>
      </c>
      <c r="AH670" s="4" t="s">
        <v>47</v>
      </c>
      <c r="AI670" s="4" t="s">
        <v>47</v>
      </c>
      <c r="AJ670" s="4" t="s">
        <v>47</v>
      </c>
      <c r="AK670" s="4" t="s">
        <v>47</v>
      </c>
      <c r="AL670" s="4" t="s">
        <v>47</v>
      </c>
      <c r="AM670" s="4" t="s">
        <v>47</v>
      </c>
      <c r="AN670" s="4" t="s">
        <v>47</v>
      </c>
      <c r="AO670" s="4" t="s">
        <v>6477</v>
      </c>
      <c r="AP670" s="4" t="s">
        <v>6478</v>
      </c>
      <c r="AQ670" s="4" t="s">
        <v>6479</v>
      </c>
      <c r="AR670" s="4" t="s">
        <v>6480</v>
      </c>
    </row>
    <row r="671" spans="1:44" x14ac:dyDescent="0.2">
      <c r="A671" s="4" t="s">
        <v>26</v>
      </c>
      <c r="B671" s="4" t="s">
        <v>195</v>
      </c>
      <c r="C671">
        <v>2</v>
      </c>
      <c r="F671">
        <v>0</v>
      </c>
      <c r="I671" s="4" t="s">
        <v>5990</v>
      </c>
      <c r="J671" s="4" t="s">
        <v>3912</v>
      </c>
      <c r="K671" s="4" t="s">
        <v>6410</v>
      </c>
      <c r="L671" s="4" t="s">
        <v>6411</v>
      </c>
      <c r="M671">
        <v>37091</v>
      </c>
      <c r="N671" s="4" t="s">
        <v>6424</v>
      </c>
      <c r="O671" s="4" t="s">
        <v>6481</v>
      </c>
      <c r="P671" s="4" t="s">
        <v>6387</v>
      </c>
      <c r="Q671" s="9">
        <v>28655</v>
      </c>
      <c r="R671" s="4" t="s">
        <v>630</v>
      </c>
      <c r="S671" s="4" t="s">
        <v>6482</v>
      </c>
      <c r="T671" s="4" t="s">
        <v>47</v>
      </c>
      <c r="U671" s="4" t="s">
        <v>26</v>
      </c>
      <c r="V671">
        <v>1978</v>
      </c>
      <c r="W671" s="4" t="s">
        <v>6483</v>
      </c>
      <c r="X671" s="4" t="s">
        <v>47</v>
      </c>
      <c r="Y671" s="4" t="s">
        <v>6484</v>
      </c>
      <c r="Z671" s="4" t="s">
        <v>47</v>
      </c>
      <c r="AA671" s="4" t="s">
        <v>47</v>
      </c>
      <c r="AB671" s="4" t="s">
        <v>47</v>
      </c>
      <c r="AC671" s="4" t="s">
        <v>47</v>
      </c>
      <c r="AD671" s="4" t="s">
        <v>47</v>
      </c>
      <c r="AE671" s="4" t="s">
        <v>47</v>
      </c>
      <c r="AF671" s="4" t="s">
        <v>47</v>
      </c>
      <c r="AG671" s="4" t="s">
        <v>47</v>
      </c>
      <c r="AH671" s="4" t="s">
        <v>47</v>
      </c>
      <c r="AI671" s="4" t="s">
        <v>47</v>
      </c>
      <c r="AJ671" s="4" t="s">
        <v>47</v>
      </c>
      <c r="AK671" s="4" t="s">
        <v>47</v>
      </c>
      <c r="AL671" s="4" t="s">
        <v>47</v>
      </c>
      <c r="AM671" s="4" t="s">
        <v>47</v>
      </c>
      <c r="AN671" s="4" t="s">
        <v>47</v>
      </c>
      <c r="AO671" s="4" t="s">
        <v>6485</v>
      </c>
      <c r="AP671" s="4" t="s">
        <v>6486</v>
      </c>
      <c r="AQ671" s="4" t="s">
        <v>6487</v>
      </c>
      <c r="AR671" s="4" t="s">
        <v>6488</v>
      </c>
    </row>
    <row r="672" spans="1:44" x14ac:dyDescent="0.2">
      <c r="A672" s="4" t="s">
        <v>12</v>
      </c>
      <c r="B672" s="4" t="s">
        <v>173</v>
      </c>
      <c r="C672">
        <v>1</v>
      </c>
      <c r="F672">
        <v>0</v>
      </c>
      <c r="I672" s="4" t="s">
        <v>6375</v>
      </c>
      <c r="J672" s="4" t="s">
        <v>6376</v>
      </c>
      <c r="K672" s="4" t="s">
        <v>6396</v>
      </c>
      <c r="L672" s="4" t="s">
        <v>6397</v>
      </c>
      <c r="M672">
        <v>35221</v>
      </c>
      <c r="N672" s="4" t="s">
        <v>6489</v>
      </c>
      <c r="O672" s="4" t="s">
        <v>6490</v>
      </c>
      <c r="P672" s="4" t="s">
        <v>6491</v>
      </c>
      <c r="Q672" s="9">
        <v>28652</v>
      </c>
      <c r="R672" s="4" t="s">
        <v>652</v>
      </c>
      <c r="S672" s="4" t="s">
        <v>6426</v>
      </c>
      <c r="T672" s="4" t="s">
        <v>47</v>
      </c>
      <c r="U672" s="4" t="s">
        <v>26</v>
      </c>
      <c r="V672">
        <v>1978</v>
      </c>
      <c r="W672" s="4" t="s">
        <v>6492</v>
      </c>
      <c r="X672" s="4" t="s">
        <v>47</v>
      </c>
      <c r="Y672" s="4" t="s">
        <v>6493</v>
      </c>
      <c r="Z672" s="4" t="s">
        <v>47</v>
      </c>
      <c r="AA672" s="4" t="s">
        <v>47</v>
      </c>
      <c r="AB672" s="4" t="s">
        <v>47</v>
      </c>
      <c r="AC672" s="4" t="s">
        <v>47</v>
      </c>
      <c r="AD672" s="4" t="s">
        <v>47</v>
      </c>
      <c r="AE672" s="4" t="s">
        <v>47</v>
      </c>
      <c r="AF672" s="4" t="s">
        <v>47</v>
      </c>
      <c r="AG672" s="4" t="s">
        <v>47</v>
      </c>
      <c r="AH672" s="4" t="s">
        <v>47</v>
      </c>
      <c r="AI672" s="4" t="s">
        <v>47</v>
      </c>
      <c r="AJ672" s="4" t="s">
        <v>47</v>
      </c>
      <c r="AK672" s="4" t="s">
        <v>47</v>
      </c>
      <c r="AL672" s="4" t="s">
        <v>47</v>
      </c>
      <c r="AM672" s="4" t="s">
        <v>47</v>
      </c>
      <c r="AN672" s="4" t="s">
        <v>47</v>
      </c>
      <c r="AO672" s="4" t="s">
        <v>47</v>
      </c>
      <c r="AP672" s="4" t="s">
        <v>47</v>
      </c>
      <c r="AQ672" s="4" t="s">
        <v>6494</v>
      </c>
      <c r="AR672" s="4" t="s">
        <v>6495</v>
      </c>
    </row>
    <row r="673" spans="1:44" x14ac:dyDescent="0.2">
      <c r="A673" s="4" t="s">
        <v>20</v>
      </c>
      <c r="B673" s="4" t="s">
        <v>116</v>
      </c>
      <c r="C673">
        <v>1</v>
      </c>
      <c r="F673">
        <v>0</v>
      </c>
      <c r="I673" s="4" t="s">
        <v>6496</v>
      </c>
      <c r="J673" s="4" t="s">
        <v>6497</v>
      </c>
      <c r="K673" s="4" t="s">
        <v>6498</v>
      </c>
      <c r="L673" s="4" t="s">
        <v>6499</v>
      </c>
      <c r="M673">
        <v>42132</v>
      </c>
      <c r="N673" s="4" t="s">
        <v>6500</v>
      </c>
      <c r="O673" s="4" t="s">
        <v>6501</v>
      </c>
      <c r="P673" s="4" t="s">
        <v>6491</v>
      </c>
      <c r="Q673" s="9">
        <v>28652</v>
      </c>
      <c r="R673" s="4" t="s">
        <v>652</v>
      </c>
      <c r="S673" s="4" t="s">
        <v>6502</v>
      </c>
      <c r="T673" s="4" t="s">
        <v>47</v>
      </c>
      <c r="U673" s="4" t="s">
        <v>26</v>
      </c>
      <c r="V673">
        <v>1978</v>
      </c>
      <c r="W673" s="4" t="s">
        <v>6503</v>
      </c>
      <c r="X673" s="4" t="s">
        <v>47</v>
      </c>
      <c r="Y673" s="4" t="s">
        <v>6504</v>
      </c>
      <c r="Z673" s="4" t="s">
        <v>47</v>
      </c>
      <c r="AA673" s="4" t="s">
        <v>47</v>
      </c>
      <c r="AB673" s="4" t="s">
        <v>47</v>
      </c>
      <c r="AC673" s="4" t="s">
        <v>47</v>
      </c>
      <c r="AD673" s="4" t="s">
        <v>47</v>
      </c>
      <c r="AE673" s="4" t="s">
        <v>47</v>
      </c>
      <c r="AF673" s="4" t="s">
        <v>47</v>
      </c>
      <c r="AG673" s="4" t="s">
        <v>47</v>
      </c>
      <c r="AH673" s="4" t="s">
        <v>47</v>
      </c>
      <c r="AI673" s="4" t="s">
        <v>47</v>
      </c>
      <c r="AJ673" s="4" t="s">
        <v>47</v>
      </c>
      <c r="AK673" s="4" t="s">
        <v>47</v>
      </c>
      <c r="AL673" s="4" t="s">
        <v>47</v>
      </c>
      <c r="AM673" s="4" t="s">
        <v>47</v>
      </c>
      <c r="AN673" s="4" t="s">
        <v>47</v>
      </c>
      <c r="AO673" s="4" t="s">
        <v>47</v>
      </c>
      <c r="AP673" s="4" t="s">
        <v>6505</v>
      </c>
      <c r="AQ673" s="4" t="s">
        <v>6506</v>
      </c>
      <c r="AR673" s="4" t="s">
        <v>6507</v>
      </c>
    </row>
    <row r="674" spans="1:44" x14ac:dyDescent="0.2">
      <c r="A674" s="4" t="s">
        <v>223</v>
      </c>
      <c r="B674" s="4" t="s">
        <v>165</v>
      </c>
      <c r="C674">
        <v>4</v>
      </c>
      <c r="F674">
        <v>1</v>
      </c>
      <c r="I674" s="4" t="s">
        <v>6422</v>
      </c>
      <c r="J674" s="4" t="s">
        <v>6423</v>
      </c>
      <c r="K674" s="4" t="s">
        <v>6508</v>
      </c>
      <c r="L674" s="4" t="s">
        <v>6509</v>
      </c>
      <c r="M674">
        <v>21262</v>
      </c>
      <c r="N674" s="4" t="s">
        <v>6399</v>
      </c>
      <c r="O674" s="4" t="s">
        <v>6510</v>
      </c>
      <c r="P674" s="4" t="s">
        <v>6491</v>
      </c>
      <c r="Q674" s="9">
        <v>28652</v>
      </c>
      <c r="R674" s="4" t="s">
        <v>757</v>
      </c>
      <c r="S674" s="4" t="s">
        <v>5973</v>
      </c>
      <c r="T674" s="4" t="s">
        <v>47</v>
      </c>
      <c r="U674" s="4" t="s">
        <v>26</v>
      </c>
      <c r="V674">
        <v>1978</v>
      </c>
      <c r="W674" s="4" t="s">
        <v>6511</v>
      </c>
      <c r="X674" s="4" t="s">
        <v>6512</v>
      </c>
      <c r="Y674" s="4" t="s">
        <v>6513</v>
      </c>
      <c r="Z674" s="4" t="s">
        <v>6514</v>
      </c>
      <c r="AA674" s="4" t="s">
        <v>47</v>
      </c>
      <c r="AB674" s="4" t="s">
        <v>47</v>
      </c>
      <c r="AC674" s="4" t="s">
        <v>6515</v>
      </c>
      <c r="AD674" s="4" t="s">
        <v>47</v>
      </c>
      <c r="AE674" s="4" t="s">
        <v>47</v>
      </c>
      <c r="AF674" s="4" t="s">
        <v>47</v>
      </c>
      <c r="AG674" s="4" t="s">
        <v>47</v>
      </c>
      <c r="AH674" s="4" t="s">
        <v>47</v>
      </c>
      <c r="AI674" s="4" t="s">
        <v>47</v>
      </c>
      <c r="AJ674" s="4" t="s">
        <v>47</v>
      </c>
      <c r="AK674" s="4" t="s">
        <v>47</v>
      </c>
      <c r="AL674" s="4" t="s">
        <v>47</v>
      </c>
      <c r="AM674" s="4" t="s">
        <v>47</v>
      </c>
      <c r="AN674" s="4" t="s">
        <v>47</v>
      </c>
      <c r="AO674" s="4" t="s">
        <v>47</v>
      </c>
      <c r="AP674" s="4" t="s">
        <v>6516</v>
      </c>
      <c r="AQ674" s="4" t="s">
        <v>6517</v>
      </c>
      <c r="AR674" s="4" t="s">
        <v>6518</v>
      </c>
    </row>
    <row r="675" spans="1:44" x14ac:dyDescent="0.2">
      <c r="A675" s="4" t="s">
        <v>205</v>
      </c>
      <c r="B675" s="4" t="s">
        <v>95</v>
      </c>
      <c r="C675">
        <v>3</v>
      </c>
      <c r="F675">
        <v>2</v>
      </c>
      <c r="I675" s="4" t="s">
        <v>6519</v>
      </c>
      <c r="J675" s="4" t="s">
        <v>6520</v>
      </c>
      <c r="K675" s="4" t="s">
        <v>6362</v>
      </c>
      <c r="L675" s="4" t="s">
        <v>6363</v>
      </c>
      <c r="M675">
        <v>35130</v>
      </c>
      <c r="N675" s="4" t="s">
        <v>6412</v>
      </c>
      <c r="O675" s="4" t="s">
        <v>6521</v>
      </c>
      <c r="P675" s="4" t="s">
        <v>6491</v>
      </c>
      <c r="Q675" s="9">
        <v>28652</v>
      </c>
      <c r="R675" s="4" t="s">
        <v>1130</v>
      </c>
      <c r="S675" s="4" t="s">
        <v>6522</v>
      </c>
      <c r="T675" s="4" t="s">
        <v>47</v>
      </c>
      <c r="U675" s="4" t="s">
        <v>26</v>
      </c>
      <c r="V675">
        <v>1978</v>
      </c>
      <c r="W675" s="4" t="s">
        <v>6523</v>
      </c>
      <c r="X675" s="4" t="s">
        <v>6524</v>
      </c>
      <c r="Y675" s="4" t="s">
        <v>6525</v>
      </c>
      <c r="Z675" s="4" t="s">
        <v>6526</v>
      </c>
      <c r="AA675" s="4" t="s">
        <v>47</v>
      </c>
      <c r="AB675" s="4" t="s">
        <v>47</v>
      </c>
      <c r="AC675" s="4" t="s">
        <v>6527</v>
      </c>
      <c r="AD675" s="4" t="s">
        <v>6528</v>
      </c>
      <c r="AE675" s="4" t="s">
        <v>47</v>
      </c>
      <c r="AF675" s="4" t="s">
        <v>47</v>
      </c>
      <c r="AG675" s="4" t="s">
        <v>47</v>
      </c>
      <c r="AH675" s="4" t="s">
        <v>47</v>
      </c>
      <c r="AI675" s="4" t="s">
        <v>47</v>
      </c>
      <c r="AJ675" s="4" t="s">
        <v>47</v>
      </c>
      <c r="AK675" s="4" t="s">
        <v>47</v>
      </c>
      <c r="AL675" s="4" t="s">
        <v>47</v>
      </c>
      <c r="AM675" s="4" t="s">
        <v>47</v>
      </c>
      <c r="AN675" s="4" t="s">
        <v>47</v>
      </c>
      <c r="AO675" s="4" t="s">
        <v>6529</v>
      </c>
      <c r="AP675" s="4" t="s">
        <v>47</v>
      </c>
      <c r="AQ675" s="4" t="s">
        <v>47</v>
      </c>
      <c r="AR675" s="4" t="s">
        <v>6530</v>
      </c>
    </row>
    <row r="676" spans="1:44" x14ac:dyDescent="0.2">
      <c r="A676" s="4" t="s">
        <v>87</v>
      </c>
      <c r="B676" s="4" t="s">
        <v>119</v>
      </c>
      <c r="C676">
        <v>3</v>
      </c>
      <c r="F676">
        <v>1</v>
      </c>
      <c r="I676" s="4" t="s">
        <v>5911</v>
      </c>
      <c r="J676" s="4" t="s">
        <v>5912</v>
      </c>
      <c r="K676" s="4" t="s">
        <v>6531</v>
      </c>
      <c r="L676" s="4" t="s">
        <v>6532</v>
      </c>
      <c r="M676">
        <v>23127</v>
      </c>
      <c r="N676" s="4" t="s">
        <v>6489</v>
      </c>
      <c r="O676" s="4" t="s">
        <v>6533</v>
      </c>
      <c r="P676" s="4" t="s">
        <v>6491</v>
      </c>
      <c r="Q676" s="9">
        <v>28651</v>
      </c>
      <c r="R676" s="4" t="s">
        <v>770</v>
      </c>
      <c r="S676" s="4" t="s">
        <v>5901</v>
      </c>
      <c r="T676" s="4" t="s">
        <v>47</v>
      </c>
      <c r="U676" s="4" t="s">
        <v>26</v>
      </c>
      <c r="V676">
        <v>1978</v>
      </c>
      <c r="W676" s="4" t="s">
        <v>6534</v>
      </c>
      <c r="X676" s="4" t="s">
        <v>6535</v>
      </c>
      <c r="Y676" s="4" t="s">
        <v>6536</v>
      </c>
      <c r="Z676" s="4" t="s">
        <v>6537</v>
      </c>
      <c r="AA676" s="4" t="s">
        <v>47</v>
      </c>
      <c r="AB676" s="4" t="s">
        <v>47</v>
      </c>
      <c r="AC676" s="4" t="s">
        <v>47</v>
      </c>
      <c r="AD676" s="4" t="s">
        <v>47</v>
      </c>
      <c r="AE676" s="4" t="s">
        <v>47</v>
      </c>
      <c r="AF676" s="4" t="s">
        <v>47</v>
      </c>
      <c r="AG676" s="4" t="s">
        <v>47</v>
      </c>
      <c r="AH676" s="4" t="s">
        <v>47</v>
      </c>
      <c r="AI676" s="4" t="s">
        <v>47</v>
      </c>
      <c r="AJ676" s="4" t="s">
        <v>47</v>
      </c>
      <c r="AK676" s="4" t="s">
        <v>47</v>
      </c>
      <c r="AL676" s="4" t="s">
        <v>47</v>
      </c>
      <c r="AM676" s="4" t="s">
        <v>47</v>
      </c>
      <c r="AN676" s="4" t="s">
        <v>47</v>
      </c>
      <c r="AO676" s="4" t="s">
        <v>47</v>
      </c>
      <c r="AP676" s="4" t="s">
        <v>47</v>
      </c>
      <c r="AQ676" s="4" t="s">
        <v>6538</v>
      </c>
      <c r="AR676" s="4" t="s">
        <v>6539</v>
      </c>
    </row>
    <row r="677" spans="1:44" x14ac:dyDescent="0.2">
      <c r="A677" s="4" t="s">
        <v>195</v>
      </c>
      <c r="B677" s="4" t="s">
        <v>106</v>
      </c>
      <c r="C677">
        <v>3</v>
      </c>
      <c r="F677">
        <v>1</v>
      </c>
      <c r="I677" s="4" t="s">
        <v>6410</v>
      </c>
      <c r="J677" s="4" t="s">
        <v>6411</v>
      </c>
      <c r="K677" s="4" t="s">
        <v>6540</v>
      </c>
      <c r="L677" s="4" t="s">
        <v>6541</v>
      </c>
      <c r="M677">
        <v>22651</v>
      </c>
      <c r="N677" s="4" t="s">
        <v>6424</v>
      </c>
      <c r="O677" s="4" t="s">
        <v>6542</v>
      </c>
      <c r="P677" s="4" t="s">
        <v>6491</v>
      </c>
      <c r="Q677" s="9">
        <v>28651</v>
      </c>
      <c r="R677" s="4" t="s">
        <v>770</v>
      </c>
      <c r="S677" s="4" t="s">
        <v>6543</v>
      </c>
      <c r="T677" s="4" t="s">
        <v>47</v>
      </c>
      <c r="U677" s="4" t="s">
        <v>26</v>
      </c>
      <c r="V677">
        <v>1978</v>
      </c>
      <c r="W677" s="4" t="s">
        <v>6544</v>
      </c>
      <c r="X677" s="4" t="s">
        <v>6545</v>
      </c>
      <c r="Y677" s="4" t="s">
        <v>6546</v>
      </c>
      <c r="Z677" s="4" t="s">
        <v>6547</v>
      </c>
      <c r="AA677" s="4" t="s">
        <v>47</v>
      </c>
      <c r="AB677" s="4" t="s">
        <v>47</v>
      </c>
      <c r="AC677" s="4" t="s">
        <v>47</v>
      </c>
      <c r="AD677" s="4" t="s">
        <v>47</v>
      </c>
      <c r="AE677" s="4" t="s">
        <v>47</v>
      </c>
      <c r="AF677" s="4" t="s">
        <v>47</v>
      </c>
      <c r="AG677" s="4" t="s">
        <v>47</v>
      </c>
      <c r="AH677" s="4" t="s">
        <v>47</v>
      </c>
      <c r="AI677" s="4" t="s">
        <v>47</v>
      </c>
      <c r="AJ677" s="4" t="s">
        <v>47</v>
      </c>
      <c r="AK677" s="4" t="s">
        <v>47</v>
      </c>
      <c r="AL677" s="4" t="s">
        <v>47</v>
      </c>
      <c r="AM677" s="4" t="s">
        <v>47</v>
      </c>
      <c r="AN677" s="4" t="s">
        <v>47</v>
      </c>
      <c r="AO677" s="4" t="s">
        <v>47</v>
      </c>
      <c r="AP677" s="4" t="s">
        <v>47</v>
      </c>
      <c r="AQ677" s="4" t="s">
        <v>6548</v>
      </c>
      <c r="AR677" s="4" t="s">
        <v>6549</v>
      </c>
    </row>
    <row r="678" spans="1:44" x14ac:dyDescent="0.2">
      <c r="A678" s="4" t="s">
        <v>104</v>
      </c>
      <c r="B678" s="4" t="s">
        <v>213</v>
      </c>
      <c r="C678">
        <v>0</v>
      </c>
      <c r="F678">
        <v>0</v>
      </c>
      <c r="I678" s="4" t="s">
        <v>6398</v>
      </c>
      <c r="J678" s="4" t="s">
        <v>3923</v>
      </c>
      <c r="K678" s="4" t="s">
        <v>6550</v>
      </c>
      <c r="L678" s="4" t="s">
        <v>6551</v>
      </c>
      <c r="M678">
        <v>30667</v>
      </c>
      <c r="N678" s="4" t="s">
        <v>6399</v>
      </c>
      <c r="O678" s="4" t="s">
        <v>6552</v>
      </c>
      <c r="P678" s="4" t="s">
        <v>6491</v>
      </c>
      <c r="Q678" s="9">
        <v>28651</v>
      </c>
      <c r="R678" s="4" t="s">
        <v>869</v>
      </c>
      <c r="S678" s="4" t="s">
        <v>6553</v>
      </c>
      <c r="T678" s="4" t="s">
        <v>47</v>
      </c>
      <c r="U678" s="4" t="s">
        <v>26</v>
      </c>
      <c r="V678">
        <v>1978</v>
      </c>
      <c r="W678" s="4" t="s">
        <v>47</v>
      </c>
      <c r="X678" s="4" t="s">
        <v>47</v>
      </c>
      <c r="Y678" s="4" t="s">
        <v>47</v>
      </c>
      <c r="Z678" s="4" t="s">
        <v>47</v>
      </c>
      <c r="AA678" s="4" t="s">
        <v>47</v>
      </c>
      <c r="AB678" s="4" t="s">
        <v>47</v>
      </c>
      <c r="AC678" s="4" t="s">
        <v>47</v>
      </c>
      <c r="AD678" s="4" t="s">
        <v>47</v>
      </c>
      <c r="AE678" s="4" t="s">
        <v>47</v>
      </c>
      <c r="AF678" s="4" t="s">
        <v>47</v>
      </c>
      <c r="AG678" s="4" t="s">
        <v>47</v>
      </c>
      <c r="AH678" s="4" t="s">
        <v>47</v>
      </c>
      <c r="AI678" s="4" t="s">
        <v>47</v>
      </c>
      <c r="AJ678" s="4" t="s">
        <v>47</v>
      </c>
      <c r="AK678" s="4" t="s">
        <v>47</v>
      </c>
      <c r="AL678" s="4" t="s">
        <v>47</v>
      </c>
      <c r="AM678" s="4" t="s">
        <v>47</v>
      </c>
      <c r="AN678" s="4" t="s">
        <v>47</v>
      </c>
      <c r="AO678" s="4" t="s">
        <v>6554</v>
      </c>
      <c r="AP678" s="4" t="s">
        <v>6555</v>
      </c>
      <c r="AQ678" s="4" t="s">
        <v>47</v>
      </c>
      <c r="AR678" s="4" t="s">
        <v>6556</v>
      </c>
    </row>
    <row r="679" spans="1:44" x14ac:dyDescent="0.2">
      <c r="A679" s="4" t="s">
        <v>97</v>
      </c>
      <c r="B679" s="4" t="s">
        <v>26</v>
      </c>
      <c r="C679">
        <v>1</v>
      </c>
      <c r="F679">
        <v>0</v>
      </c>
      <c r="I679" s="4" t="s">
        <v>5530</v>
      </c>
      <c r="J679" s="4" t="s">
        <v>5897</v>
      </c>
      <c r="K679" s="4" t="s">
        <v>5990</v>
      </c>
      <c r="L679" s="4" t="s">
        <v>3912</v>
      </c>
      <c r="M679">
        <v>71712</v>
      </c>
      <c r="N679" s="4" t="s">
        <v>6364</v>
      </c>
      <c r="O679" s="4" t="s">
        <v>6557</v>
      </c>
      <c r="P679" s="4" t="s">
        <v>6491</v>
      </c>
      <c r="Q679" s="9">
        <v>28651</v>
      </c>
      <c r="R679" s="4" t="s">
        <v>652</v>
      </c>
      <c r="S679" s="4" t="s">
        <v>5954</v>
      </c>
      <c r="T679" s="4" t="s">
        <v>47</v>
      </c>
      <c r="U679" s="4" t="s">
        <v>26</v>
      </c>
      <c r="V679">
        <v>1978</v>
      </c>
      <c r="W679" s="4" t="s">
        <v>6558</v>
      </c>
      <c r="X679" s="4" t="s">
        <v>47</v>
      </c>
      <c r="Y679" s="4" t="s">
        <v>6559</v>
      </c>
      <c r="Z679" s="4" t="s">
        <v>47</v>
      </c>
      <c r="AA679" s="4" t="s">
        <v>47</v>
      </c>
      <c r="AB679" s="4" t="s">
        <v>47</v>
      </c>
      <c r="AC679" s="4" t="s">
        <v>47</v>
      </c>
      <c r="AD679" s="4" t="s">
        <v>47</v>
      </c>
      <c r="AE679" s="4" t="s">
        <v>47</v>
      </c>
      <c r="AF679" s="4" t="s">
        <v>47</v>
      </c>
      <c r="AG679" s="4" t="s">
        <v>47</v>
      </c>
      <c r="AH679" s="4" t="s">
        <v>47</v>
      </c>
      <c r="AI679" s="4" t="s">
        <v>47</v>
      </c>
      <c r="AJ679" s="4" t="s">
        <v>47</v>
      </c>
      <c r="AK679" s="4" t="s">
        <v>47</v>
      </c>
      <c r="AL679" s="4" t="s">
        <v>47</v>
      </c>
      <c r="AM679" s="4" t="s">
        <v>47</v>
      </c>
      <c r="AN679" s="4" t="s">
        <v>47</v>
      </c>
      <c r="AO679" s="4" t="s">
        <v>6560</v>
      </c>
      <c r="AP679" s="4" t="s">
        <v>47</v>
      </c>
      <c r="AQ679" s="4" t="s">
        <v>6561</v>
      </c>
      <c r="AR679" s="4" t="s">
        <v>6562</v>
      </c>
    </row>
    <row r="680" spans="1:44" x14ac:dyDescent="0.2">
      <c r="A680" s="4" t="s">
        <v>173</v>
      </c>
      <c r="B680" s="4" t="s">
        <v>116</v>
      </c>
      <c r="C680">
        <v>1</v>
      </c>
      <c r="F680">
        <v>0</v>
      </c>
      <c r="I680" s="4" t="s">
        <v>6396</v>
      </c>
      <c r="J680" s="4" t="s">
        <v>6397</v>
      </c>
      <c r="K680" s="4" t="s">
        <v>6498</v>
      </c>
      <c r="L680" s="4" t="s">
        <v>6499</v>
      </c>
      <c r="M680">
        <v>41424</v>
      </c>
      <c r="N680" s="4" t="s">
        <v>6500</v>
      </c>
      <c r="O680" s="4" t="s">
        <v>6563</v>
      </c>
      <c r="P680" s="4" t="s">
        <v>6491</v>
      </c>
      <c r="Q680" s="9">
        <v>28648</v>
      </c>
      <c r="R680" s="4" t="s">
        <v>652</v>
      </c>
      <c r="S680" s="4" t="s">
        <v>5936</v>
      </c>
      <c r="T680" s="4" t="s">
        <v>47</v>
      </c>
      <c r="U680" s="4" t="s">
        <v>26</v>
      </c>
      <c r="V680">
        <v>1978</v>
      </c>
      <c r="W680" s="4" t="s">
        <v>47</v>
      </c>
      <c r="X680" s="4" t="s">
        <v>47</v>
      </c>
      <c r="Y680" s="4" t="s">
        <v>47</v>
      </c>
      <c r="Z680" s="4" t="s">
        <v>47</v>
      </c>
      <c r="AA680" s="4" t="s">
        <v>47</v>
      </c>
      <c r="AB680" s="4" t="s">
        <v>47</v>
      </c>
      <c r="AC680" s="4" t="s">
        <v>6564</v>
      </c>
      <c r="AD680" s="4" t="s">
        <v>47</v>
      </c>
      <c r="AE680" s="4" t="s">
        <v>47</v>
      </c>
      <c r="AF680" s="4" t="s">
        <v>47</v>
      </c>
      <c r="AG680" s="4" t="s">
        <v>47</v>
      </c>
      <c r="AH680" s="4" t="s">
        <v>47</v>
      </c>
      <c r="AI680" s="4" t="s">
        <v>47</v>
      </c>
      <c r="AJ680" s="4" t="s">
        <v>47</v>
      </c>
      <c r="AK680" s="4" t="s">
        <v>47</v>
      </c>
      <c r="AL680" s="4" t="s">
        <v>47</v>
      </c>
      <c r="AM680" s="4" t="s">
        <v>47</v>
      </c>
      <c r="AN680" s="4" t="s">
        <v>47</v>
      </c>
      <c r="AO680" s="4" t="s">
        <v>47</v>
      </c>
      <c r="AP680" s="4" t="s">
        <v>47</v>
      </c>
      <c r="AQ680" s="4" t="s">
        <v>6565</v>
      </c>
      <c r="AR680" s="4" t="s">
        <v>6566</v>
      </c>
    </row>
    <row r="681" spans="1:44" x14ac:dyDescent="0.2">
      <c r="A681" s="4" t="s">
        <v>12</v>
      </c>
      <c r="B681" s="4" t="s">
        <v>20</v>
      </c>
      <c r="C681">
        <v>0</v>
      </c>
      <c r="F681">
        <v>0</v>
      </c>
      <c r="I681" s="4" t="s">
        <v>6375</v>
      </c>
      <c r="J681" s="4" t="s">
        <v>6376</v>
      </c>
      <c r="K681" s="4" t="s">
        <v>6496</v>
      </c>
      <c r="L681" s="4" t="s">
        <v>6497</v>
      </c>
      <c r="M681">
        <v>34771</v>
      </c>
      <c r="N681" s="4" t="s">
        <v>6489</v>
      </c>
      <c r="O681" s="4" t="s">
        <v>6567</v>
      </c>
      <c r="P681" s="4" t="s">
        <v>6491</v>
      </c>
      <c r="Q681" s="9">
        <v>28648</v>
      </c>
      <c r="R681" s="4" t="s">
        <v>869</v>
      </c>
      <c r="S681" s="4" t="s">
        <v>6366</v>
      </c>
      <c r="T681" s="4" t="s">
        <v>47</v>
      </c>
      <c r="U681" s="4" t="s">
        <v>26</v>
      </c>
      <c r="V681">
        <v>1978</v>
      </c>
      <c r="W681" s="4" t="s">
        <v>47</v>
      </c>
      <c r="X681" s="4" t="s">
        <v>47</v>
      </c>
      <c r="Y681" s="4" t="s">
        <v>47</v>
      </c>
      <c r="Z681" s="4" t="s">
        <v>47</v>
      </c>
      <c r="AA681" s="4" t="s">
        <v>47</v>
      </c>
      <c r="AB681" s="4" t="s">
        <v>47</v>
      </c>
      <c r="AC681" s="4" t="s">
        <v>47</v>
      </c>
      <c r="AD681" s="4" t="s">
        <v>47</v>
      </c>
      <c r="AE681" s="4" t="s">
        <v>47</v>
      </c>
      <c r="AF681" s="4" t="s">
        <v>47</v>
      </c>
      <c r="AG681" s="4" t="s">
        <v>47</v>
      </c>
      <c r="AH681" s="4" t="s">
        <v>47</v>
      </c>
      <c r="AI681" s="4" t="s">
        <v>47</v>
      </c>
      <c r="AJ681" s="4" t="s">
        <v>47</v>
      </c>
      <c r="AK681" s="4" t="s">
        <v>47</v>
      </c>
      <c r="AL681" s="4" t="s">
        <v>47</v>
      </c>
      <c r="AM681" s="4" t="s">
        <v>47</v>
      </c>
      <c r="AN681" s="4" t="s">
        <v>47</v>
      </c>
      <c r="AO681" s="4" t="s">
        <v>47</v>
      </c>
      <c r="AP681" s="4" t="s">
        <v>6568</v>
      </c>
      <c r="AQ681" s="4" t="s">
        <v>6569</v>
      </c>
      <c r="AR681" s="4" t="s">
        <v>6570</v>
      </c>
    </row>
    <row r="682" spans="1:44" x14ac:dyDescent="0.2">
      <c r="A682" s="4" t="s">
        <v>95</v>
      </c>
      <c r="B682" s="4" t="s">
        <v>223</v>
      </c>
      <c r="C682">
        <v>0</v>
      </c>
      <c r="F682">
        <v>0</v>
      </c>
      <c r="I682" s="4" t="s">
        <v>6362</v>
      </c>
      <c r="J682" s="4" t="s">
        <v>6363</v>
      </c>
      <c r="K682" s="4" t="s">
        <v>6422</v>
      </c>
      <c r="L682" s="4" t="s">
        <v>6423</v>
      </c>
      <c r="M682">
        <v>28125</v>
      </c>
      <c r="N682" s="4" t="s">
        <v>6412</v>
      </c>
      <c r="O682" s="4" t="s">
        <v>6571</v>
      </c>
      <c r="P682" s="4" t="s">
        <v>6491</v>
      </c>
      <c r="Q682" s="9">
        <v>28648</v>
      </c>
      <c r="R682" s="4" t="s">
        <v>869</v>
      </c>
      <c r="S682" s="4" t="s">
        <v>6015</v>
      </c>
      <c r="T682" s="4" t="s">
        <v>47</v>
      </c>
      <c r="U682" s="4" t="s">
        <v>26</v>
      </c>
      <c r="V682">
        <v>1978</v>
      </c>
      <c r="W682" s="4" t="s">
        <v>47</v>
      </c>
      <c r="X682" s="4" t="s">
        <v>47</v>
      </c>
      <c r="Y682" s="4" t="s">
        <v>47</v>
      </c>
      <c r="Z682" s="4" t="s">
        <v>47</v>
      </c>
      <c r="AA682" s="4" t="s">
        <v>47</v>
      </c>
      <c r="AB682" s="4" t="s">
        <v>47</v>
      </c>
      <c r="AC682" s="4" t="s">
        <v>47</v>
      </c>
      <c r="AD682" s="4" t="s">
        <v>47</v>
      </c>
      <c r="AE682" s="4" t="s">
        <v>47</v>
      </c>
      <c r="AF682" s="4" t="s">
        <v>47</v>
      </c>
      <c r="AG682" s="4" t="s">
        <v>47</v>
      </c>
      <c r="AH682" s="4" t="s">
        <v>47</v>
      </c>
      <c r="AI682" s="4" t="s">
        <v>47</v>
      </c>
      <c r="AJ682" s="4" t="s">
        <v>47</v>
      </c>
      <c r="AK682" s="4" t="s">
        <v>47</v>
      </c>
      <c r="AL682" s="4" t="s">
        <v>47</v>
      </c>
      <c r="AM682" s="4" t="s">
        <v>47</v>
      </c>
      <c r="AN682" s="4" t="s">
        <v>47</v>
      </c>
      <c r="AO682" s="4" t="s">
        <v>6572</v>
      </c>
      <c r="AP682" s="4" t="s">
        <v>6573</v>
      </c>
      <c r="AQ682" s="4" t="s">
        <v>6574</v>
      </c>
      <c r="AR682" s="4" t="s">
        <v>6575</v>
      </c>
    </row>
    <row r="683" spans="1:44" x14ac:dyDescent="0.2">
      <c r="A683" s="4" t="s">
        <v>205</v>
      </c>
      <c r="B683" s="4" t="s">
        <v>165</v>
      </c>
      <c r="C683">
        <v>1</v>
      </c>
      <c r="F683">
        <v>1</v>
      </c>
      <c r="I683" s="4" t="s">
        <v>6519</v>
      </c>
      <c r="J683" s="4" t="s">
        <v>6576</v>
      </c>
      <c r="K683" s="4" t="s">
        <v>6508</v>
      </c>
      <c r="L683" s="4" t="s">
        <v>6509</v>
      </c>
      <c r="M683">
        <v>7938</v>
      </c>
      <c r="N683" s="4" t="s">
        <v>6399</v>
      </c>
      <c r="O683" s="4" t="s">
        <v>6577</v>
      </c>
      <c r="P683" s="4" t="s">
        <v>6491</v>
      </c>
      <c r="Q683" s="9">
        <v>28648</v>
      </c>
      <c r="R683" s="4" t="s">
        <v>1046</v>
      </c>
      <c r="S683" s="4" t="s">
        <v>6578</v>
      </c>
      <c r="T683" s="4" t="s">
        <v>47</v>
      </c>
      <c r="U683" s="4" t="s">
        <v>26</v>
      </c>
      <c r="V683">
        <v>1978</v>
      </c>
      <c r="W683" s="4" t="s">
        <v>47</v>
      </c>
      <c r="X683" s="4" t="s">
        <v>6579</v>
      </c>
      <c r="Y683" s="4" t="s">
        <v>47</v>
      </c>
      <c r="Z683" s="4" t="s">
        <v>6580</v>
      </c>
      <c r="AA683" s="4" t="s">
        <v>6581</v>
      </c>
      <c r="AB683" s="4" t="s">
        <v>47</v>
      </c>
      <c r="AC683" s="4" t="s">
        <v>47</v>
      </c>
      <c r="AD683" s="4" t="s">
        <v>47</v>
      </c>
      <c r="AE683" s="4" t="s">
        <v>47</v>
      </c>
      <c r="AF683" s="4" t="s">
        <v>47</v>
      </c>
      <c r="AG683" s="4" t="s">
        <v>47</v>
      </c>
      <c r="AH683" s="4" t="s">
        <v>47</v>
      </c>
      <c r="AI683" s="4" t="s">
        <v>47</v>
      </c>
      <c r="AJ683" s="4" t="s">
        <v>47</v>
      </c>
      <c r="AK683" s="4" t="s">
        <v>47</v>
      </c>
      <c r="AL683" s="4" t="s">
        <v>47</v>
      </c>
      <c r="AM683" s="4" t="s">
        <v>47</v>
      </c>
      <c r="AN683" s="4" t="s">
        <v>47</v>
      </c>
      <c r="AO683" s="4" t="s">
        <v>47</v>
      </c>
      <c r="AP683" s="4" t="s">
        <v>6582</v>
      </c>
      <c r="AQ683" s="4" t="s">
        <v>6583</v>
      </c>
      <c r="AR683" s="4" t="s">
        <v>6584</v>
      </c>
    </row>
    <row r="684" spans="1:44" x14ac:dyDescent="0.2">
      <c r="A684" s="4" t="s">
        <v>97</v>
      </c>
      <c r="B684" s="4" t="s">
        <v>119</v>
      </c>
      <c r="C684">
        <v>3</v>
      </c>
      <c r="F684">
        <v>1</v>
      </c>
      <c r="I684" s="4" t="s">
        <v>5530</v>
      </c>
      <c r="J684" s="4" t="s">
        <v>5897</v>
      </c>
      <c r="K684" s="4" t="s">
        <v>6531</v>
      </c>
      <c r="L684" s="4" t="s">
        <v>6532</v>
      </c>
      <c r="M684">
        <v>26533</v>
      </c>
      <c r="N684" s="4" t="s">
        <v>6489</v>
      </c>
      <c r="O684" s="4" t="s">
        <v>6585</v>
      </c>
      <c r="P684" s="4" t="s">
        <v>6491</v>
      </c>
      <c r="Q684" s="9">
        <v>28647</v>
      </c>
      <c r="R684" s="4" t="s">
        <v>770</v>
      </c>
      <c r="S684" s="4" t="s">
        <v>6441</v>
      </c>
      <c r="T684" s="4" t="s">
        <v>47</v>
      </c>
      <c r="U684" s="4" t="s">
        <v>26</v>
      </c>
      <c r="V684">
        <v>1978</v>
      </c>
      <c r="W684" s="4" t="s">
        <v>6586</v>
      </c>
      <c r="X684" s="4" t="s">
        <v>47</v>
      </c>
      <c r="Y684" s="4" t="s">
        <v>6587</v>
      </c>
      <c r="Z684" s="4" t="s">
        <v>47</v>
      </c>
      <c r="AA684" s="4" t="s">
        <v>47</v>
      </c>
      <c r="AB684" s="4" t="s">
        <v>47</v>
      </c>
      <c r="AC684" s="4" t="s">
        <v>47</v>
      </c>
      <c r="AD684" s="4" t="s">
        <v>6588</v>
      </c>
      <c r="AE684" s="4" t="s">
        <v>47</v>
      </c>
      <c r="AF684" s="4" t="s">
        <v>47</v>
      </c>
      <c r="AG684" s="4" t="s">
        <v>47</v>
      </c>
      <c r="AH684" s="4" t="s">
        <v>47</v>
      </c>
      <c r="AI684" s="4" t="s">
        <v>47</v>
      </c>
      <c r="AJ684" s="4" t="s">
        <v>47</v>
      </c>
      <c r="AK684" s="4" t="s">
        <v>47</v>
      </c>
      <c r="AL684" s="4" t="s">
        <v>47</v>
      </c>
      <c r="AM684" s="4" t="s">
        <v>47</v>
      </c>
      <c r="AN684" s="4" t="s">
        <v>47</v>
      </c>
      <c r="AO684" s="4" t="s">
        <v>47</v>
      </c>
      <c r="AP684" s="4" t="s">
        <v>6589</v>
      </c>
      <c r="AQ684" s="4" t="s">
        <v>6590</v>
      </c>
      <c r="AR684" s="4" t="s">
        <v>6591</v>
      </c>
    </row>
    <row r="685" spans="1:44" x14ac:dyDescent="0.2">
      <c r="A685" s="4" t="s">
        <v>104</v>
      </c>
      <c r="B685" s="4" t="s">
        <v>106</v>
      </c>
      <c r="C685">
        <v>6</v>
      </c>
      <c r="F685">
        <v>0</v>
      </c>
      <c r="I685" s="4" t="s">
        <v>6398</v>
      </c>
      <c r="J685" s="4" t="s">
        <v>3923</v>
      </c>
      <c r="K685" s="4" t="s">
        <v>6540</v>
      </c>
      <c r="L685" s="4" t="s">
        <v>6541</v>
      </c>
      <c r="M685">
        <v>35258</v>
      </c>
      <c r="N685" s="4" t="s">
        <v>6399</v>
      </c>
      <c r="O685" s="4" t="s">
        <v>6592</v>
      </c>
      <c r="P685" s="4" t="s">
        <v>6491</v>
      </c>
      <c r="Q685" s="9">
        <v>28647</v>
      </c>
      <c r="R685" s="4" t="s">
        <v>3226</v>
      </c>
      <c r="S685" s="4" t="s">
        <v>6593</v>
      </c>
      <c r="T685" s="4" t="s">
        <v>47</v>
      </c>
      <c r="U685" s="4" t="s">
        <v>26</v>
      </c>
      <c r="V685">
        <v>1978</v>
      </c>
      <c r="W685" s="4" t="s">
        <v>6594</v>
      </c>
      <c r="X685" s="4" t="s">
        <v>47</v>
      </c>
      <c r="Y685" s="4" t="s">
        <v>6595</v>
      </c>
      <c r="Z685" s="4" t="s">
        <v>47</v>
      </c>
      <c r="AA685" s="4" t="s">
        <v>47</v>
      </c>
      <c r="AB685" s="4" t="s">
        <v>47</v>
      </c>
      <c r="AC685" s="4" t="s">
        <v>47</v>
      </c>
      <c r="AD685" s="4" t="s">
        <v>47</v>
      </c>
      <c r="AE685" s="4" t="s">
        <v>47</v>
      </c>
      <c r="AF685" s="4" t="s">
        <v>47</v>
      </c>
      <c r="AG685" s="4" t="s">
        <v>47</v>
      </c>
      <c r="AH685" s="4" t="s">
        <v>47</v>
      </c>
      <c r="AI685" s="4" t="s">
        <v>47</v>
      </c>
      <c r="AJ685" s="4" t="s">
        <v>47</v>
      </c>
      <c r="AK685" s="4" t="s">
        <v>47</v>
      </c>
      <c r="AL685" s="4" t="s">
        <v>47</v>
      </c>
      <c r="AM685" s="4" t="s">
        <v>47</v>
      </c>
      <c r="AN685" s="4" t="s">
        <v>47</v>
      </c>
      <c r="AO685" s="4" t="s">
        <v>6596</v>
      </c>
      <c r="AP685" s="4" t="s">
        <v>6597</v>
      </c>
      <c r="AQ685" s="4" t="s">
        <v>47</v>
      </c>
      <c r="AR685" s="4" t="s">
        <v>6598</v>
      </c>
    </row>
    <row r="686" spans="1:44" x14ac:dyDescent="0.2">
      <c r="A686" s="4" t="s">
        <v>195</v>
      </c>
      <c r="B686" s="4" t="s">
        <v>213</v>
      </c>
      <c r="C686">
        <v>1</v>
      </c>
      <c r="F686">
        <v>0</v>
      </c>
      <c r="I686" s="4" t="s">
        <v>6410</v>
      </c>
      <c r="J686" s="4" t="s">
        <v>6411</v>
      </c>
      <c r="K686" s="4" t="s">
        <v>6550</v>
      </c>
      <c r="L686" s="4" t="s">
        <v>6551</v>
      </c>
      <c r="M686">
        <v>9624</v>
      </c>
      <c r="N686" s="4" t="s">
        <v>6424</v>
      </c>
      <c r="O686" s="4" t="s">
        <v>6599</v>
      </c>
      <c r="P686" s="4" t="s">
        <v>6491</v>
      </c>
      <c r="Q686" s="9">
        <v>28647</v>
      </c>
      <c r="R686" s="4" t="s">
        <v>652</v>
      </c>
      <c r="S686" s="4" t="s">
        <v>6388</v>
      </c>
      <c r="T686" s="4" t="s">
        <v>47</v>
      </c>
      <c r="U686" s="4" t="s">
        <v>26</v>
      </c>
      <c r="V686">
        <v>1978</v>
      </c>
      <c r="W686" s="4" t="s">
        <v>6600</v>
      </c>
      <c r="X686" s="4" t="s">
        <v>47</v>
      </c>
      <c r="Y686" s="4" t="s">
        <v>6601</v>
      </c>
      <c r="Z686" s="4" t="s">
        <v>47</v>
      </c>
      <c r="AA686" s="4" t="s">
        <v>47</v>
      </c>
      <c r="AB686" s="4" t="s">
        <v>47</v>
      </c>
      <c r="AC686" s="4" t="s">
        <v>47</v>
      </c>
      <c r="AD686" s="4" t="s">
        <v>47</v>
      </c>
      <c r="AE686" s="4" t="s">
        <v>47</v>
      </c>
      <c r="AF686" s="4" t="s">
        <v>47</v>
      </c>
      <c r="AG686" s="4" t="s">
        <v>47</v>
      </c>
      <c r="AH686" s="4" t="s">
        <v>47</v>
      </c>
      <c r="AI686" s="4" t="s">
        <v>47</v>
      </c>
      <c r="AJ686" s="4" t="s">
        <v>47</v>
      </c>
      <c r="AK686" s="4" t="s">
        <v>47</v>
      </c>
      <c r="AL686" s="4" t="s">
        <v>47</v>
      </c>
      <c r="AM686" s="4" t="s">
        <v>47</v>
      </c>
      <c r="AN686" s="4" t="s">
        <v>47</v>
      </c>
      <c r="AO686" s="4" t="s">
        <v>47</v>
      </c>
      <c r="AP686" s="4" t="s">
        <v>47</v>
      </c>
      <c r="AQ686" s="4" t="s">
        <v>6602</v>
      </c>
      <c r="AR686" s="4" t="s">
        <v>47</v>
      </c>
    </row>
    <row r="687" spans="1:44" x14ac:dyDescent="0.2">
      <c r="A687" s="4" t="s">
        <v>26</v>
      </c>
      <c r="B687" s="4" t="s">
        <v>87</v>
      </c>
      <c r="C687">
        <v>2</v>
      </c>
      <c r="F687">
        <v>1</v>
      </c>
      <c r="I687" s="4" t="s">
        <v>5990</v>
      </c>
      <c r="J687" s="4" t="s">
        <v>3912</v>
      </c>
      <c r="K687" s="4" t="s">
        <v>5911</v>
      </c>
      <c r="L687" s="4" t="s">
        <v>5912</v>
      </c>
      <c r="M687">
        <v>71666</v>
      </c>
      <c r="N687" s="4" t="s">
        <v>6364</v>
      </c>
      <c r="O687" s="4" t="s">
        <v>6603</v>
      </c>
      <c r="P687" s="4" t="s">
        <v>6491</v>
      </c>
      <c r="Q687" s="9">
        <v>28647</v>
      </c>
      <c r="R687" s="4" t="s">
        <v>617</v>
      </c>
      <c r="S687" s="4" t="s">
        <v>6604</v>
      </c>
      <c r="T687" s="4" t="s">
        <v>47</v>
      </c>
      <c r="U687" s="4" t="s">
        <v>26</v>
      </c>
      <c r="V687">
        <v>1978</v>
      </c>
      <c r="W687" s="4" t="s">
        <v>6605</v>
      </c>
      <c r="X687" s="4" t="s">
        <v>6606</v>
      </c>
      <c r="Y687" s="4" t="s">
        <v>6607</v>
      </c>
      <c r="Z687" s="4" t="s">
        <v>6608</v>
      </c>
      <c r="AA687" s="4" t="s">
        <v>47</v>
      </c>
      <c r="AB687" s="4" t="s">
        <v>47</v>
      </c>
      <c r="AC687" s="4" t="s">
        <v>6609</v>
      </c>
      <c r="AD687" s="4" t="s">
        <v>47</v>
      </c>
      <c r="AE687" s="4" t="s">
        <v>47</v>
      </c>
      <c r="AF687" s="4" t="s">
        <v>47</v>
      </c>
      <c r="AG687" s="4" t="s">
        <v>47</v>
      </c>
      <c r="AH687" s="4" t="s">
        <v>47</v>
      </c>
      <c r="AI687" s="4" t="s">
        <v>47</v>
      </c>
      <c r="AJ687" s="4" t="s">
        <v>47</v>
      </c>
      <c r="AK687" s="4" t="s">
        <v>47</v>
      </c>
      <c r="AL687" s="4" t="s">
        <v>47</v>
      </c>
      <c r="AM687" s="4" t="s">
        <v>47</v>
      </c>
      <c r="AN687" s="4" t="s">
        <v>47</v>
      </c>
      <c r="AO687" s="4" t="s">
        <v>47</v>
      </c>
      <c r="AP687" s="4" t="s">
        <v>6610</v>
      </c>
      <c r="AQ687" s="4" t="s">
        <v>6611</v>
      </c>
      <c r="AR687" s="4" t="s">
        <v>6612</v>
      </c>
    </row>
    <row r="688" spans="1:44" x14ac:dyDescent="0.2">
      <c r="A688" s="4" t="s">
        <v>116</v>
      </c>
      <c r="B688" s="4" t="s">
        <v>12</v>
      </c>
      <c r="C688">
        <v>1</v>
      </c>
      <c r="F688">
        <v>1</v>
      </c>
      <c r="I688" s="4" t="s">
        <v>6498</v>
      </c>
      <c r="J688" s="4" t="s">
        <v>6499</v>
      </c>
      <c r="K688" s="4" t="s">
        <v>6375</v>
      </c>
      <c r="L688" s="4" t="s">
        <v>6613</v>
      </c>
      <c r="M688">
        <v>32569</v>
      </c>
      <c r="N688" s="4" t="s">
        <v>6489</v>
      </c>
      <c r="O688" s="4" t="s">
        <v>6614</v>
      </c>
      <c r="P688" s="4" t="s">
        <v>6491</v>
      </c>
      <c r="Q688" s="9">
        <v>28644</v>
      </c>
      <c r="R688" s="4" t="s">
        <v>1046</v>
      </c>
      <c r="S688" s="4" t="s">
        <v>6615</v>
      </c>
      <c r="T688" s="4" t="s">
        <v>47</v>
      </c>
      <c r="U688" s="4" t="s">
        <v>26</v>
      </c>
      <c r="V688">
        <v>1978</v>
      </c>
      <c r="W688" s="4" t="s">
        <v>6616</v>
      </c>
      <c r="X688" s="4" t="s">
        <v>6617</v>
      </c>
      <c r="Y688" s="4" t="s">
        <v>6618</v>
      </c>
      <c r="Z688" s="4" t="s">
        <v>6619</v>
      </c>
      <c r="AA688" s="4" t="s">
        <v>47</v>
      </c>
      <c r="AB688" s="4" t="s">
        <v>47</v>
      </c>
      <c r="AC688" s="4" t="s">
        <v>47</v>
      </c>
      <c r="AD688" s="4" t="s">
        <v>47</v>
      </c>
      <c r="AE688" s="4" t="s">
        <v>47</v>
      </c>
      <c r="AF688" s="4" t="s">
        <v>47</v>
      </c>
      <c r="AG688" s="4" t="s">
        <v>47</v>
      </c>
      <c r="AH688" s="4" t="s">
        <v>47</v>
      </c>
      <c r="AI688" s="4" t="s">
        <v>47</v>
      </c>
      <c r="AJ688" s="4" t="s">
        <v>47</v>
      </c>
      <c r="AK688" s="4" t="s">
        <v>47</v>
      </c>
      <c r="AL688" s="4" t="s">
        <v>47</v>
      </c>
      <c r="AM688" s="4" t="s">
        <v>47</v>
      </c>
      <c r="AN688" s="4" t="s">
        <v>47</v>
      </c>
      <c r="AO688" s="4" t="s">
        <v>47</v>
      </c>
      <c r="AP688" s="4" t="s">
        <v>6620</v>
      </c>
      <c r="AQ688" s="4" t="s">
        <v>6621</v>
      </c>
      <c r="AR688" s="4" t="s">
        <v>6622</v>
      </c>
    </row>
    <row r="689" spans="1:44" x14ac:dyDescent="0.2">
      <c r="A689" s="4" t="s">
        <v>173</v>
      </c>
      <c r="B689" s="4" t="s">
        <v>20</v>
      </c>
      <c r="C689">
        <v>2</v>
      </c>
      <c r="F689">
        <v>1</v>
      </c>
      <c r="I689" s="4" t="s">
        <v>6396</v>
      </c>
      <c r="J689" s="4" t="s">
        <v>6397</v>
      </c>
      <c r="K689" s="4" t="s">
        <v>6496</v>
      </c>
      <c r="L689" s="4" t="s">
        <v>6623</v>
      </c>
      <c r="M689">
        <v>40841</v>
      </c>
      <c r="N689" s="4" t="s">
        <v>6500</v>
      </c>
      <c r="O689" s="4" t="s">
        <v>6624</v>
      </c>
      <c r="P689" s="4" t="s">
        <v>6491</v>
      </c>
      <c r="Q689" s="9">
        <v>28644</v>
      </c>
      <c r="R689" s="4" t="s">
        <v>617</v>
      </c>
      <c r="S689" s="4" t="s">
        <v>6046</v>
      </c>
      <c r="T689" s="4" t="s">
        <v>47</v>
      </c>
      <c r="U689" s="4" t="s">
        <v>26</v>
      </c>
      <c r="V689">
        <v>1978</v>
      </c>
      <c r="W689" s="4" t="s">
        <v>6625</v>
      </c>
      <c r="X689" s="4" t="s">
        <v>6626</v>
      </c>
      <c r="Y689" s="4" t="s">
        <v>6627</v>
      </c>
      <c r="Z689" s="4" t="s">
        <v>6628</v>
      </c>
      <c r="AA689" s="4" t="s">
        <v>47</v>
      </c>
      <c r="AB689" s="4" t="s">
        <v>47</v>
      </c>
      <c r="AC689" s="4" t="s">
        <v>47</v>
      </c>
      <c r="AD689" s="4" t="s">
        <v>47</v>
      </c>
      <c r="AE689" s="4" t="s">
        <v>47</v>
      </c>
      <c r="AF689" s="4" t="s">
        <v>47</v>
      </c>
      <c r="AG689" s="4" t="s">
        <v>47</v>
      </c>
      <c r="AH689" s="4" t="s">
        <v>47</v>
      </c>
      <c r="AI689" s="4" t="s">
        <v>47</v>
      </c>
      <c r="AJ689" s="4" t="s">
        <v>47</v>
      </c>
      <c r="AK689" s="4" t="s">
        <v>47</v>
      </c>
      <c r="AL689" s="4" t="s">
        <v>47</v>
      </c>
      <c r="AM689" s="4" t="s">
        <v>47</v>
      </c>
      <c r="AN689" s="4" t="s">
        <v>47</v>
      </c>
      <c r="AO689" s="4" t="s">
        <v>47</v>
      </c>
      <c r="AP689" s="4" t="s">
        <v>47</v>
      </c>
      <c r="AQ689" s="4" t="s">
        <v>6629</v>
      </c>
      <c r="AR689" s="4" t="s">
        <v>6630</v>
      </c>
    </row>
    <row r="690" spans="1:44" x14ac:dyDescent="0.2">
      <c r="A690" s="4" t="s">
        <v>223</v>
      </c>
      <c r="B690" s="4" t="s">
        <v>205</v>
      </c>
      <c r="C690">
        <v>3</v>
      </c>
      <c r="F690">
        <v>1</v>
      </c>
      <c r="I690" s="4" t="s">
        <v>6422</v>
      </c>
      <c r="J690" s="4" t="s">
        <v>6423</v>
      </c>
      <c r="K690" s="4" t="s">
        <v>6519</v>
      </c>
      <c r="L690" s="4" t="s">
        <v>6520</v>
      </c>
      <c r="M690">
        <v>37927</v>
      </c>
      <c r="N690" s="4" t="s">
        <v>6399</v>
      </c>
      <c r="O690" s="4" t="s">
        <v>6631</v>
      </c>
      <c r="P690" s="4" t="s">
        <v>6491</v>
      </c>
      <c r="Q690" s="9">
        <v>28644</v>
      </c>
      <c r="R690" s="4" t="s">
        <v>770</v>
      </c>
      <c r="S690" s="4" t="s">
        <v>6482</v>
      </c>
      <c r="T690" s="4" t="s">
        <v>47</v>
      </c>
      <c r="U690" s="4" t="s">
        <v>26</v>
      </c>
      <c r="V690">
        <v>1978</v>
      </c>
      <c r="W690" s="4" t="s">
        <v>6632</v>
      </c>
      <c r="X690" s="4" t="s">
        <v>6633</v>
      </c>
      <c r="Y690" s="4" t="s">
        <v>6634</v>
      </c>
      <c r="Z690" s="4" t="s">
        <v>6635</v>
      </c>
      <c r="AA690" s="4" t="s">
        <v>47</v>
      </c>
      <c r="AB690" s="4" t="s">
        <v>47</v>
      </c>
      <c r="AC690" s="4" t="s">
        <v>47</v>
      </c>
      <c r="AD690" s="4" t="s">
        <v>47</v>
      </c>
      <c r="AE690" s="4" t="s">
        <v>47</v>
      </c>
      <c r="AF690" s="4" t="s">
        <v>47</v>
      </c>
      <c r="AG690" s="4" t="s">
        <v>47</v>
      </c>
      <c r="AH690" s="4" t="s">
        <v>47</v>
      </c>
      <c r="AI690" s="4" t="s">
        <v>47</v>
      </c>
      <c r="AJ690" s="4" t="s">
        <v>47</v>
      </c>
      <c r="AK690" s="4" t="s">
        <v>47</v>
      </c>
      <c r="AL690" s="4" t="s">
        <v>47</v>
      </c>
      <c r="AM690" s="4" t="s">
        <v>47</v>
      </c>
      <c r="AN690" s="4" t="s">
        <v>47</v>
      </c>
      <c r="AO690" s="4" t="s">
        <v>6636</v>
      </c>
      <c r="AP690" s="4" t="s">
        <v>47</v>
      </c>
      <c r="AQ690" s="4" t="s">
        <v>6637</v>
      </c>
      <c r="AR690" s="4" t="s">
        <v>6638</v>
      </c>
    </row>
    <row r="691" spans="1:44" x14ac:dyDescent="0.2">
      <c r="A691" s="4" t="s">
        <v>95</v>
      </c>
      <c r="B691" s="4" t="s">
        <v>165</v>
      </c>
      <c r="C691">
        <v>3</v>
      </c>
      <c r="F691">
        <v>0</v>
      </c>
      <c r="I691" s="4" t="s">
        <v>6362</v>
      </c>
      <c r="J691" s="4" t="s">
        <v>6363</v>
      </c>
      <c r="K691" s="4" t="s">
        <v>6508</v>
      </c>
      <c r="L691" s="4" t="s">
        <v>6509</v>
      </c>
      <c r="M691">
        <v>33431</v>
      </c>
      <c r="N691" s="4" t="s">
        <v>6412</v>
      </c>
      <c r="O691" s="4" t="s">
        <v>6639</v>
      </c>
      <c r="P691" s="4" t="s">
        <v>6491</v>
      </c>
      <c r="Q691" s="9">
        <v>28644</v>
      </c>
      <c r="R691" s="4" t="s">
        <v>638</v>
      </c>
      <c r="S691" s="4" t="s">
        <v>6640</v>
      </c>
      <c r="T691" s="4" t="s">
        <v>47</v>
      </c>
      <c r="U691" s="4" t="s">
        <v>26</v>
      </c>
      <c r="V691">
        <v>1978</v>
      </c>
      <c r="W691" s="4" t="s">
        <v>6641</v>
      </c>
      <c r="X691" s="4" t="s">
        <v>47</v>
      </c>
      <c r="Y691" s="4" t="s">
        <v>6642</v>
      </c>
      <c r="Z691" s="4" t="s">
        <v>47</v>
      </c>
      <c r="AA691" s="4" t="s">
        <v>47</v>
      </c>
      <c r="AB691" s="4" t="s">
        <v>47</v>
      </c>
      <c r="AC691" s="4" t="s">
        <v>6643</v>
      </c>
      <c r="AD691" s="4" t="s">
        <v>47</v>
      </c>
      <c r="AE691" s="4" t="s">
        <v>47</v>
      </c>
      <c r="AF691" s="4" t="s">
        <v>47</v>
      </c>
      <c r="AG691" s="4" t="s">
        <v>47</v>
      </c>
      <c r="AH691" s="4" t="s">
        <v>47</v>
      </c>
      <c r="AI691" s="4" t="s">
        <v>47</v>
      </c>
      <c r="AJ691" s="4" t="s">
        <v>47</v>
      </c>
      <c r="AK691" s="4" t="s">
        <v>47</v>
      </c>
      <c r="AL691" s="4" t="s">
        <v>47</v>
      </c>
      <c r="AM691" s="4" t="s">
        <v>47</v>
      </c>
      <c r="AN691" s="4" t="s">
        <v>47</v>
      </c>
      <c r="AO691" s="4" t="s">
        <v>47</v>
      </c>
      <c r="AP691" s="4" t="s">
        <v>6582</v>
      </c>
      <c r="AQ691" s="4" t="s">
        <v>6644</v>
      </c>
      <c r="AR691" s="4" t="s">
        <v>6645</v>
      </c>
    </row>
    <row r="692" spans="1:44" x14ac:dyDescent="0.2">
      <c r="A692" s="4" t="s">
        <v>97</v>
      </c>
      <c r="B692" s="4" t="s">
        <v>87</v>
      </c>
      <c r="C692">
        <v>2</v>
      </c>
      <c r="F692">
        <v>1</v>
      </c>
      <c r="I692" s="4" t="s">
        <v>5530</v>
      </c>
      <c r="J692" s="4" t="s">
        <v>5897</v>
      </c>
      <c r="K692" s="4" t="s">
        <v>5911</v>
      </c>
      <c r="L692" s="4" t="s">
        <v>5912</v>
      </c>
      <c r="M692">
        <v>42373</v>
      </c>
      <c r="N692" s="4" t="s">
        <v>6489</v>
      </c>
      <c r="O692" s="4" t="s">
        <v>6646</v>
      </c>
      <c r="P692" s="4" t="s">
        <v>6491</v>
      </c>
      <c r="Q692" s="9">
        <v>28643</v>
      </c>
      <c r="R692" s="4" t="s">
        <v>617</v>
      </c>
      <c r="S692" s="4" t="s">
        <v>6031</v>
      </c>
      <c r="T692" s="4" t="s">
        <v>47</v>
      </c>
      <c r="U692" s="4" t="s">
        <v>26</v>
      </c>
      <c r="V692">
        <v>1978</v>
      </c>
      <c r="W692" s="4" t="s">
        <v>6647</v>
      </c>
      <c r="X692" s="4" t="s">
        <v>6648</v>
      </c>
      <c r="Y692" s="4" t="s">
        <v>6649</v>
      </c>
      <c r="Z692" s="4" t="s">
        <v>6650</v>
      </c>
      <c r="AA692" s="4" t="s">
        <v>47</v>
      </c>
      <c r="AB692" s="4" t="s">
        <v>47</v>
      </c>
      <c r="AC692" s="4" t="s">
        <v>47</v>
      </c>
      <c r="AD692" s="4" t="s">
        <v>47</v>
      </c>
      <c r="AE692" s="4" t="s">
        <v>47</v>
      </c>
      <c r="AF692" s="4" t="s">
        <v>47</v>
      </c>
      <c r="AG692" s="4" t="s">
        <v>47</v>
      </c>
      <c r="AH692" s="4" t="s">
        <v>47</v>
      </c>
      <c r="AI692" s="4" t="s">
        <v>47</v>
      </c>
      <c r="AJ692" s="4" t="s">
        <v>47</v>
      </c>
      <c r="AK692" s="4" t="s">
        <v>47</v>
      </c>
      <c r="AL692" s="4" t="s">
        <v>47</v>
      </c>
      <c r="AM692" s="4" t="s">
        <v>47</v>
      </c>
      <c r="AN692" s="4" t="s">
        <v>47</v>
      </c>
      <c r="AO692" s="4" t="s">
        <v>6651</v>
      </c>
      <c r="AP692" s="4" t="s">
        <v>6652</v>
      </c>
      <c r="AQ692" s="4" t="s">
        <v>6653</v>
      </c>
      <c r="AR692" s="4" t="s">
        <v>6654</v>
      </c>
    </row>
    <row r="693" spans="1:44" x14ac:dyDescent="0.2">
      <c r="A693" s="4" t="s">
        <v>213</v>
      </c>
      <c r="B693" s="4" t="s">
        <v>106</v>
      </c>
      <c r="C693">
        <v>3</v>
      </c>
      <c r="F693">
        <v>1</v>
      </c>
      <c r="I693" s="4" t="s">
        <v>6550</v>
      </c>
      <c r="J693" s="4" t="s">
        <v>6551</v>
      </c>
      <c r="K693" s="4" t="s">
        <v>6540</v>
      </c>
      <c r="L693" s="4" t="s">
        <v>6541</v>
      </c>
      <c r="M693">
        <v>17396</v>
      </c>
      <c r="N693" s="4" t="s">
        <v>6424</v>
      </c>
      <c r="O693" s="4" t="s">
        <v>6655</v>
      </c>
      <c r="P693" s="4" t="s">
        <v>6491</v>
      </c>
      <c r="Q693" s="9">
        <v>28643</v>
      </c>
      <c r="R693" s="4" t="s">
        <v>770</v>
      </c>
      <c r="S693" s="4" t="s">
        <v>6462</v>
      </c>
      <c r="T693" s="4" t="s">
        <v>47</v>
      </c>
      <c r="U693" s="4" t="s">
        <v>26</v>
      </c>
      <c r="V693">
        <v>1978</v>
      </c>
      <c r="W693" s="4" t="s">
        <v>6656</v>
      </c>
      <c r="X693" s="4" t="s">
        <v>47</v>
      </c>
      <c r="Y693" s="4" t="s">
        <v>6657</v>
      </c>
      <c r="Z693" s="4" t="s">
        <v>47</v>
      </c>
      <c r="AA693" s="4" t="s">
        <v>47</v>
      </c>
      <c r="AB693" s="4" t="s">
        <v>47</v>
      </c>
      <c r="AC693" s="4" t="s">
        <v>47</v>
      </c>
      <c r="AD693" s="4" t="s">
        <v>6658</v>
      </c>
      <c r="AE693" s="4" t="s">
        <v>47</v>
      </c>
      <c r="AF693" s="4" t="s">
        <v>47</v>
      </c>
      <c r="AG693" s="4" t="s">
        <v>47</v>
      </c>
      <c r="AH693" s="4" t="s">
        <v>47</v>
      </c>
      <c r="AI693" s="4" t="s">
        <v>47</v>
      </c>
      <c r="AJ693" s="4" t="s">
        <v>47</v>
      </c>
      <c r="AK693" s="4" t="s">
        <v>47</v>
      </c>
      <c r="AL693" s="4" t="s">
        <v>47</v>
      </c>
      <c r="AM693" s="4" t="s">
        <v>47</v>
      </c>
      <c r="AN693" s="4" t="s">
        <v>47</v>
      </c>
      <c r="AO693" s="4" t="s">
        <v>47</v>
      </c>
      <c r="AP693" s="4" t="s">
        <v>47</v>
      </c>
      <c r="AQ693" s="4" t="s">
        <v>6659</v>
      </c>
      <c r="AR693" s="4" t="s">
        <v>6660</v>
      </c>
    </row>
    <row r="694" spans="1:44" x14ac:dyDescent="0.2">
      <c r="A694" s="4" t="s">
        <v>26</v>
      </c>
      <c r="B694" s="4" t="s">
        <v>119</v>
      </c>
      <c r="C694">
        <v>2</v>
      </c>
      <c r="F694">
        <v>1</v>
      </c>
      <c r="I694" s="4" t="s">
        <v>5990</v>
      </c>
      <c r="J694" s="4" t="s">
        <v>3912</v>
      </c>
      <c r="K694" s="4" t="s">
        <v>6531</v>
      </c>
      <c r="L694" s="4" t="s">
        <v>6532</v>
      </c>
      <c r="M694">
        <v>71615</v>
      </c>
      <c r="N694" s="4" t="s">
        <v>6364</v>
      </c>
      <c r="O694" s="4" t="s">
        <v>6661</v>
      </c>
      <c r="P694" s="4" t="s">
        <v>6491</v>
      </c>
      <c r="Q694" s="9">
        <v>28643</v>
      </c>
      <c r="R694" s="4" t="s">
        <v>617</v>
      </c>
      <c r="S694" s="4" t="s">
        <v>5915</v>
      </c>
      <c r="T694" s="4" t="s">
        <v>47</v>
      </c>
      <c r="U694" s="4" t="s">
        <v>26</v>
      </c>
      <c r="V694">
        <v>1978</v>
      </c>
      <c r="W694" s="4" t="s">
        <v>6662</v>
      </c>
      <c r="X694" s="4" t="s">
        <v>6663</v>
      </c>
      <c r="Y694" s="4" t="s">
        <v>6664</v>
      </c>
      <c r="Z694" s="4" t="s">
        <v>6665</v>
      </c>
      <c r="AA694" s="4" t="s">
        <v>47</v>
      </c>
      <c r="AB694" s="4" t="s">
        <v>47</v>
      </c>
      <c r="AC694" s="4" t="s">
        <v>47</v>
      </c>
      <c r="AD694" s="4" t="s">
        <v>47</v>
      </c>
      <c r="AE694" s="4" t="s">
        <v>47</v>
      </c>
      <c r="AF694" s="4" t="s">
        <v>47</v>
      </c>
      <c r="AG694" s="4" t="s">
        <v>47</v>
      </c>
      <c r="AH694" s="4" t="s">
        <v>47</v>
      </c>
      <c r="AI694" s="4" t="s">
        <v>47</v>
      </c>
      <c r="AJ694" s="4" t="s">
        <v>47</v>
      </c>
      <c r="AK694" s="4" t="s">
        <v>47</v>
      </c>
      <c r="AL694" s="4" t="s">
        <v>6666</v>
      </c>
      <c r="AM694" s="4" t="s">
        <v>47</v>
      </c>
      <c r="AN694" s="4" t="s">
        <v>47</v>
      </c>
      <c r="AO694" s="4" t="s">
        <v>6667</v>
      </c>
      <c r="AP694" s="4" t="s">
        <v>6668</v>
      </c>
      <c r="AQ694" s="4" t="s">
        <v>6669</v>
      </c>
      <c r="AR694" s="4" t="s">
        <v>6670</v>
      </c>
    </row>
    <row r="695" spans="1:44" x14ac:dyDescent="0.2">
      <c r="A695" s="4" t="s">
        <v>104</v>
      </c>
      <c r="B695" s="4" t="s">
        <v>195</v>
      </c>
      <c r="C695">
        <v>0</v>
      </c>
      <c r="F695">
        <v>0</v>
      </c>
      <c r="I695" s="4" t="s">
        <v>6398</v>
      </c>
      <c r="J695" s="4" t="s">
        <v>3923</v>
      </c>
      <c r="K695" s="4" t="s">
        <v>6410</v>
      </c>
      <c r="L695" s="4" t="s">
        <v>6411</v>
      </c>
      <c r="M695">
        <v>67579</v>
      </c>
      <c r="N695" s="4" t="s">
        <v>6364</v>
      </c>
      <c r="O695" s="4" t="s">
        <v>6671</v>
      </c>
      <c r="P695" s="4" t="s">
        <v>6491</v>
      </c>
      <c r="Q695" s="9">
        <v>28642</v>
      </c>
      <c r="R695" s="4" t="s">
        <v>869</v>
      </c>
      <c r="S695" s="4" t="s">
        <v>6672</v>
      </c>
      <c r="T695" s="4" t="s">
        <v>47</v>
      </c>
      <c r="U695" s="4" t="s">
        <v>26</v>
      </c>
      <c r="V695">
        <v>1978</v>
      </c>
      <c r="W695" s="4" t="s">
        <v>47</v>
      </c>
      <c r="X695" s="4" t="s">
        <v>47</v>
      </c>
      <c r="Y695" s="4" t="s">
        <v>47</v>
      </c>
      <c r="Z695" s="4" t="s">
        <v>47</v>
      </c>
      <c r="AA695" s="4" t="s">
        <v>47</v>
      </c>
      <c r="AB695" s="4" t="s">
        <v>47</v>
      </c>
      <c r="AC695" s="4" t="s">
        <v>47</v>
      </c>
      <c r="AD695" s="4" t="s">
        <v>47</v>
      </c>
      <c r="AE695" s="4" t="s">
        <v>47</v>
      </c>
      <c r="AF695" s="4" t="s">
        <v>47</v>
      </c>
      <c r="AG695" s="4" t="s">
        <v>47</v>
      </c>
      <c r="AH695" s="4" t="s">
        <v>47</v>
      </c>
      <c r="AI695" s="4" t="s">
        <v>47</v>
      </c>
      <c r="AJ695" s="4" t="s">
        <v>47</v>
      </c>
      <c r="AK695" s="4" t="s">
        <v>47</v>
      </c>
      <c r="AL695" s="4" t="s">
        <v>47</v>
      </c>
      <c r="AM695" s="4" t="s">
        <v>47</v>
      </c>
      <c r="AN695" s="4" t="s">
        <v>47</v>
      </c>
      <c r="AO695" s="4" t="s">
        <v>47</v>
      </c>
      <c r="AP695" s="4" t="s">
        <v>47</v>
      </c>
      <c r="AQ695" s="4" t="s">
        <v>47</v>
      </c>
      <c r="AR695" s="4" t="s">
        <v>6673</v>
      </c>
    </row>
    <row r="696" spans="1:44" x14ac:dyDescent="0.2">
      <c r="A696" s="4" t="s">
        <v>95</v>
      </c>
      <c r="B696" s="4" t="s">
        <v>104</v>
      </c>
      <c r="C696">
        <v>1</v>
      </c>
      <c r="F696">
        <v>2</v>
      </c>
      <c r="I696" s="4" t="s">
        <v>6674</v>
      </c>
      <c r="J696" s="4" t="s">
        <v>6675</v>
      </c>
      <c r="K696" s="4" t="s">
        <v>6398</v>
      </c>
      <c r="L696" s="4" t="s">
        <v>4912</v>
      </c>
      <c r="M696">
        <v>78200</v>
      </c>
      <c r="N696" s="4" t="s">
        <v>6676</v>
      </c>
      <c r="O696" s="4" t="s">
        <v>6677</v>
      </c>
      <c r="P696" s="4" t="s">
        <v>593</v>
      </c>
      <c r="Q696" s="9">
        <v>27217</v>
      </c>
      <c r="R696" s="4" t="s">
        <v>664</v>
      </c>
      <c r="S696" s="4" t="s">
        <v>6678</v>
      </c>
      <c r="T696" s="4" t="s">
        <v>47</v>
      </c>
      <c r="U696" s="4" t="s">
        <v>92</v>
      </c>
      <c r="V696">
        <v>1974</v>
      </c>
      <c r="W696" s="4" t="s">
        <v>47</v>
      </c>
      <c r="X696" s="4" t="s">
        <v>6679</v>
      </c>
      <c r="Y696" s="4" t="s">
        <v>47</v>
      </c>
      <c r="Z696" s="4" t="s">
        <v>6680</v>
      </c>
      <c r="AA696" s="4" t="s">
        <v>47</v>
      </c>
      <c r="AB696" s="4" t="s">
        <v>47</v>
      </c>
      <c r="AC696" s="4" t="s">
        <v>6681</v>
      </c>
      <c r="AD696" s="4" t="s">
        <v>6682</v>
      </c>
      <c r="AE696" s="4" t="s">
        <v>47</v>
      </c>
      <c r="AF696" s="4" t="s">
        <v>47</v>
      </c>
      <c r="AG696" s="4" t="s">
        <v>47</v>
      </c>
      <c r="AH696" s="4" t="s">
        <v>47</v>
      </c>
      <c r="AI696" s="4" t="s">
        <v>47</v>
      </c>
      <c r="AJ696" s="4" t="s">
        <v>47</v>
      </c>
      <c r="AK696" s="4" t="s">
        <v>47</v>
      </c>
      <c r="AL696" s="4" t="s">
        <v>47</v>
      </c>
      <c r="AM696" s="4" t="s">
        <v>47</v>
      </c>
      <c r="AN696" s="4" t="s">
        <v>47</v>
      </c>
      <c r="AO696" s="4" t="s">
        <v>6683</v>
      </c>
      <c r="AP696" s="4" t="s">
        <v>6684</v>
      </c>
      <c r="AQ696" s="4" t="s">
        <v>6685</v>
      </c>
      <c r="AR696" s="4" t="s">
        <v>47</v>
      </c>
    </row>
    <row r="697" spans="1:44" x14ac:dyDescent="0.2">
      <c r="A697" s="4" t="s">
        <v>12</v>
      </c>
      <c r="B697" s="4" t="s">
        <v>195</v>
      </c>
      <c r="C697">
        <v>0</v>
      </c>
      <c r="F697">
        <v>1</v>
      </c>
      <c r="I697" s="4" t="s">
        <v>6686</v>
      </c>
      <c r="J697" s="4" t="s">
        <v>6687</v>
      </c>
      <c r="K697" s="4" t="s">
        <v>6688</v>
      </c>
      <c r="L697" s="4" t="s">
        <v>6411</v>
      </c>
      <c r="M697">
        <v>77100</v>
      </c>
      <c r="N697" s="4" t="s">
        <v>6676</v>
      </c>
      <c r="O697" s="4" t="s">
        <v>6689</v>
      </c>
      <c r="P697" s="4" t="s">
        <v>616</v>
      </c>
      <c r="Q697" s="9">
        <v>27216</v>
      </c>
      <c r="R697" s="4" t="s">
        <v>963</v>
      </c>
      <c r="S697" s="4" t="s">
        <v>6690</v>
      </c>
      <c r="T697" s="4" t="s">
        <v>47</v>
      </c>
      <c r="U697" s="4" t="s">
        <v>92</v>
      </c>
      <c r="V697">
        <v>1974</v>
      </c>
      <c r="W697" s="4" t="s">
        <v>47</v>
      </c>
      <c r="X697" s="4" t="s">
        <v>6691</v>
      </c>
      <c r="Y697" s="4" t="s">
        <v>47</v>
      </c>
      <c r="Z697" s="4" t="s">
        <v>6692</v>
      </c>
      <c r="AA697" s="4" t="s">
        <v>47</v>
      </c>
      <c r="AB697" s="4" t="s">
        <v>47</v>
      </c>
      <c r="AC697" s="4" t="s">
        <v>47</v>
      </c>
      <c r="AD697" s="4" t="s">
        <v>47</v>
      </c>
      <c r="AE697" s="4" t="s">
        <v>47</v>
      </c>
      <c r="AF697" s="4" t="s">
        <v>47</v>
      </c>
      <c r="AG697" s="4" t="s">
        <v>47</v>
      </c>
      <c r="AH697" s="4" t="s">
        <v>47</v>
      </c>
      <c r="AI697" s="4" t="s">
        <v>47</v>
      </c>
      <c r="AJ697" s="4" t="s">
        <v>47</v>
      </c>
      <c r="AK697" s="4" t="s">
        <v>47</v>
      </c>
      <c r="AL697" s="4" t="s">
        <v>47</v>
      </c>
      <c r="AM697" s="4" t="s">
        <v>47</v>
      </c>
      <c r="AN697" s="4" t="s">
        <v>47</v>
      </c>
      <c r="AO697" s="4" t="s">
        <v>6693</v>
      </c>
      <c r="AP697" s="4" t="s">
        <v>6694</v>
      </c>
      <c r="AQ697" s="4" t="s">
        <v>6695</v>
      </c>
      <c r="AR697" s="4" t="s">
        <v>6696</v>
      </c>
    </row>
    <row r="698" spans="1:44" x14ac:dyDescent="0.2">
      <c r="A698" s="4" t="s">
        <v>195</v>
      </c>
      <c r="B698" s="4" t="s">
        <v>104</v>
      </c>
      <c r="C698">
        <v>0</v>
      </c>
      <c r="F698">
        <v>1</v>
      </c>
      <c r="I698" s="4" t="s">
        <v>6688</v>
      </c>
      <c r="J698" s="4" t="s">
        <v>6411</v>
      </c>
      <c r="K698" s="4" t="s">
        <v>6398</v>
      </c>
      <c r="L698" s="4" t="s">
        <v>4912</v>
      </c>
      <c r="M698">
        <v>62000</v>
      </c>
      <c r="N698" s="4" t="s">
        <v>6697</v>
      </c>
      <c r="O698" s="4" t="s">
        <v>6698</v>
      </c>
      <c r="P698" s="4" t="s">
        <v>6387</v>
      </c>
      <c r="Q698" s="9">
        <v>27213</v>
      </c>
      <c r="R698" s="4" t="s">
        <v>963</v>
      </c>
      <c r="S698" s="4" t="s">
        <v>6522</v>
      </c>
      <c r="T698" s="4" t="s">
        <v>47</v>
      </c>
      <c r="U698" s="4" t="s">
        <v>92</v>
      </c>
      <c r="V698">
        <v>1974</v>
      </c>
      <c r="W698" s="4" t="s">
        <v>47</v>
      </c>
      <c r="X698" s="4" t="s">
        <v>6699</v>
      </c>
      <c r="Y698" s="4" t="s">
        <v>47</v>
      </c>
      <c r="Z698" s="4" t="s">
        <v>6700</v>
      </c>
      <c r="AA698" s="4" t="s">
        <v>47</v>
      </c>
      <c r="AB698" s="4" t="s">
        <v>47</v>
      </c>
      <c r="AC698" s="4" t="s">
        <v>47</v>
      </c>
      <c r="AD698" s="4" t="s">
        <v>47</v>
      </c>
      <c r="AE698" s="4" t="s">
        <v>47</v>
      </c>
      <c r="AF698" s="4" t="s">
        <v>47</v>
      </c>
      <c r="AG698" s="4" t="s">
        <v>47</v>
      </c>
      <c r="AH698" s="4" t="s">
        <v>47</v>
      </c>
      <c r="AI698" s="4" t="s">
        <v>47</v>
      </c>
      <c r="AJ698" s="4" t="s">
        <v>47</v>
      </c>
      <c r="AK698" s="4" t="s">
        <v>47</v>
      </c>
      <c r="AL698" s="4" t="s">
        <v>47</v>
      </c>
      <c r="AM698" s="4" t="s">
        <v>47</v>
      </c>
      <c r="AN698" s="4" t="s">
        <v>47</v>
      </c>
      <c r="AO698" s="4" t="s">
        <v>47</v>
      </c>
      <c r="AP698" s="4" t="s">
        <v>47</v>
      </c>
      <c r="AQ698" s="4" t="s">
        <v>6701</v>
      </c>
      <c r="AR698" s="4" t="s">
        <v>47</v>
      </c>
    </row>
    <row r="699" spans="1:44" x14ac:dyDescent="0.2">
      <c r="A699" s="4" t="s">
        <v>95</v>
      </c>
      <c r="B699" s="4" t="s">
        <v>12</v>
      </c>
      <c r="C699">
        <v>2</v>
      </c>
      <c r="F699">
        <v>0</v>
      </c>
      <c r="I699" s="4" t="s">
        <v>6674</v>
      </c>
      <c r="J699" s="4" t="s">
        <v>6675</v>
      </c>
      <c r="K699" s="4" t="s">
        <v>6686</v>
      </c>
      <c r="L699" s="4" t="s">
        <v>6687</v>
      </c>
      <c r="M699">
        <v>53700</v>
      </c>
      <c r="N699" s="4" t="s">
        <v>6702</v>
      </c>
      <c r="O699" s="4" t="s">
        <v>6703</v>
      </c>
      <c r="P699" s="4" t="s">
        <v>6387</v>
      </c>
      <c r="Q699" s="9">
        <v>27213</v>
      </c>
      <c r="R699" s="4" t="s">
        <v>630</v>
      </c>
      <c r="S699" s="4" t="s">
        <v>6704</v>
      </c>
      <c r="T699" s="4" t="s">
        <v>47</v>
      </c>
      <c r="U699" s="4" t="s">
        <v>92</v>
      </c>
      <c r="V699">
        <v>1974</v>
      </c>
      <c r="W699" s="4" t="s">
        <v>6705</v>
      </c>
      <c r="X699" s="4" t="s">
        <v>47</v>
      </c>
      <c r="Y699" s="4" t="s">
        <v>6706</v>
      </c>
      <c r="Z699" s="4" t="s">
        <v>47</v>
      </c>
      <c r="AA699" s="4" t="s">
        <v>47</v>
      </c>
      <c r="AB699" s="4" t="s">
        <v>47</v>
      </c>
      <c r="AC699" s="4" t="s">
        <v>47</v>
      </c>
      <c r="AD699" s="4" t="s">
        <v>47</v>
      </c>
      <c r="AE699" s="4" t="s">
        <v>47</v>
      </c>
      <c r="AF699" s="4" t="s">
        <v>47</v>
      </c>
      <c r="AG699" s="4" t="s">
        <v>47</v>
      </c>
      <c r="AH699" s="4" t="s">
        <v>47</v>
      </c>
      <c r="AI699" s="4" t="s">
        <v>47</v>
      </c>
      <c r="AJ699" s="4" t="s">
        <v>47</v>
      </c>
      <c r="AK699" s="4" t="s">
        <v>47</v>
      </c>
      <c r="AL699" s="4" t="s">
        <v>6707</v>
      </c>
      <c r="AM699" s="4" t="s">
        <v>47</v>
      </c>
      <c r="AN699" s="4" t="s">
        <v>47</v>
      </c>
      <c r="AO699" s="4" t="s">
        <v>6708</v>
      </c>
      <c r="AP699" s="4" t="s">
        <v>6709</v>
      </c>
      <c r="AQ699" s="4" t="s">
        <v>6710</v>
      </c>
      <c r="AR699" s="4" t="s">
        <v>6711</v>
      </c>
    </row>
    <row r="700" spans="1:44" x14ac:dyDescent="0.2">
      <c r="A700" s="4" t="s">
        <v>26</v>
      </c>
      <c r="B700" s="4" t="s">
        <v>6712</v>
      </c>
      <c r="C700">
        <v>1</v>
      </c>
      <c r="F700">
        <v>1</v>
      </c>
      <c r="I700" s="4" t="s">
        <v>6713</v>
      </c>
      <c r="J700" s="4" t="s">
        <v>6714</v>
      </c>
      <c r="K700" s="4" t="s">
        <v>6715</v>
      </c>
      <c r="L700" s="4" t="s">
        <v>6716</v>
      </c>
      <c r="M700">
        <v>54254</v>
      </c>
      <c r="N700" s="4" t="s">
        <v>6717</v>
      </c>
      <c r="O700" s="4" t="s">
        <v>6718</v>
      </c>
      <c r="P700" s="4" t="s">
        <v>6387</v>
      </c>
      <c r="Q700" s="9">
        <v>27213</v>
      </c>
      <c r="R700" s="4" t="s">
        <v>1046</v>
      </c>
      <c r="S700" s="4" t="s">
        <v>6678</v>
      </c>
      <c r="T700" s="4" t="s">
        <v>47</v>
      </c>
      <c r="U700" s="4" t="s">
        <v>92</v>
      </c>
      <c r="V700">
        <v>1974</v>
      </c>
      <c r="W700" s="4" t="s">
        <v>6719</v>
      </c>
      <c r="X700" s="4" t="s">
        <v>6720</v>
      </c>
      <c r="Y700" s="4" t="s">
        <v>6721</v>
      </c>
      <c r="Z700" s="4" t="s">
        <v>6722</v>
      </c>
      <c r="AA700" s="4" t="s">
        <v>47</v>
      </c>
      <c r="AB700" s="4" t="s">
        <v>47</v>
      </c>
      <c r="AC700" s="4" t="s">
        <v>47</v>
      </c>
      <c r="AD700" s="4" t="s">
        <v>47</v>
      </c>
      <c r="AE700" s="4" t="s">
        <v>47</v>
      </c>
      <c r="AF700" s="4" t="s">
        <v>47</v>
      </c>
      <c r="AG700" s="4" t="s">
        <v>47</v>
      </c>
      <c r="AH700" s="4" t="s">
        <v>47</v>
      </c>
      <c r="AI700" s="4" t="s">
        <v>47</v>
      </c>
      <c r="AJ700" s="4" t="s">
        <v>47</v>
      </c>
      <c r="AK700" s="4" t="s">
        <v>47</v>
      </c>
      <c r="AL700" s="4" t="s">
        <v>47</v>
      </c>
      <c r="AM700" s="4" t="s">
        <v>47</v>
      </c>
      <c r="AN700" s="4" t="s">
        <v>47</v>
      </c>
      <c r="AO700" s="4" t="s">
        <v>6723</v>
      </c>
      <c r="AP700" s="4" t="s">
        <v>6724</v>
      </c>
      <c r="AQ700" s="4" t="s">
        <v>47</v>
      </c>
      <c r="AR700" s="4" t="s">
        <v>6725</v>
      </c>
    </row>
    <row r="701" spans="1:44" x14ac:dyDescent="0.2">
      <c r="A701" s="4" t="s">
        <v>116</v>
      </c>
      <c r="B701" s="4" t="s">
        <v>4991</v>
      </c>
      <c r="C701">
        <v>2</v>
      </c>
      <c r="F701">
        <v>1</v>
      </c>
      <c r="I701" s="4" t="s">
        <v>6498</v>
      </c>
      <c r="J701" s="4" t="s">
        <v>6499</v>
      </c>
      <c r="K701" s="4" t="s">
        <v>6112</v>
      </c>
      <c r="L701" s="4" t="s">
        <v>6726</v>
      </c>
      <c r="M701">
        <v>41300</v>
      </c>
      <c r="N701" s="4" t="s">
        <v>6727</v>
      </c>
      <c r="O701" s="4" t="s">
        <v>6728</v>
      </c>
      <c r="P701" s="4" t="s">
        <v>6387</v>
      </c>
      <c r="Q701" s="9">
        <v>27213</v>
      </c>
      <c r="R701" s="4" t="s">
        <v>617</v>
      </c>
      <c r="S701" s="4" t="s">
        <v>6729</v>
      </c>
      <c r="T701" s="4" t="s">
        <v>47</v>
      </c>
      <c r="U701" s="4" t="s">
        <v>92</v>
      </c>
      <c r="V701">
        <v>1974</v>
      </c>
      <c r="W701" s="4" t="s">
        <v>6730</v>
      </c>
      <c r="X701" s="4" t="s">
        <v>6731</v>
      </c>
      <c r="Y701" s="4" t="s">
        <v>6732</v>
      </c>
      <c r="Z701" s="4" t="s">
        <v>6733</v>
      </c>
      <c r="AA701" s="4" t="s">
        <v>47</v>
      </c>
      <c r="AB701" s="4" t="s">
        <v>47</v>
      </c>
      <c r="AC701" s="4" t="s">
        <v>47</v>
      </c>
      <c r="AD701" s="4" t="s">
        <v>47</v>
      </c>
      <c r="AE701" s="4" t="s">
        <v>47</v>
      </c>
      <c r="AF701" s="4" t="s">
        <v>47</v>
      </c>
      <c r="AG701" s="4" t="s">
        <v>47</v>
      </c>
      <c r="AH701" s="4" t="s">
        <v>47</v>
      </c>
      <c r="AI701" s="4" t="s">
        <v>47</v>
      </c>
      <c r="AJ701" s="4" t="s">
        <v>47</v>
      </c>
      <c r="AK701" s="4" t="s">
        <v>47</v>
      </c>
      <c r="AL701" s="4" t="s">
        <v>47</v>
      </c>
      <c r="AM701" s="4" t="s">
        <v>47</v>
      </c>
      <c r="AN701" s="4" t="s">
        <v>47</v>
      </c>
      <c r="AO701" s="4" t="s">
        <v>47</v>
      </c>
      <c r="AP701" s="4" t="s">
        <v>6734</v>
      </c>
      <c r="AQ701" s="4" t="s">
        <v>47</v>
      </c>
      <c r="AR701" s="4" t="s">
        <v>6735</v>
      </c>
    </row>
    <row r="702" spans="1:44" x14ac:dyDescent="0.2">
      <c r="A702" s="4" t="s">
        <v>195</v>
      </c>
      <c r="B702" s="4" t="s">
        <v>4991</v>
      </c>
      <c r="C702">
        <v>2</v>
      </c>
      <c r="F702">
        <v>1</v>
      </c>
      <c r="I702" s="4" t="s">
        <v>6688</v>
      </c>
      <c r="J702" s="4" t="s">
        <v>6411</v>
      </c>
      <c r="K702" s="4" t="s">
        <v>6112</v>
      </c>
      <c r="L702" s="4" t="s">
        <v>6736</v>
      </c>
      <c r="M702">
        <v>58000</v>
      </c>
      <c r="N702" s="4" t="s">
        <v>6697</v>
      </c>
      <c r="O702" s="4" t="s">
        <v>6737</v>
      </c>
      <c r="P702" s="4" t="s">
        <v>6387</v>
      </c>
      <c r="Q702" s="9">
        <v>27210</v>
      </c>
      <c r="R702" s="4" t="s">
        <v>617</v>
      </c>
      <c r="S702" s="4" t="s">
        <v>6738</v>
      </c>
      <c r="T702" s="4" t="s">
        <v>47</v>
      </c>
      <c r="U702" s="4" t="s">
        <v>92</v>
      </c>
      <c r="V702">
        <v>1974</v>
      </c>
      <c r="W702" s="4" t="s">
        <v>6739</v>
      </c>
      <c r="X702" s="4" t="s">
        <v>6740</v>
      </c>
      <c r="Y702" s="4" t="s">
        <v>6741</v>
      </c>
      <c r="Z702" s="4" t="s">
        <v>6742</v>
      </c>
      <c r="AA702" s="4" t="s">
        <v>47</v>
      </c>
      <c r="AB702" s="4" t="s">
        <v>47</v>
      </c>
      <c r="AC702" s="4" t="s">
        <v>6743</v>
      </c>
      <c r="AD702" s="4" t="s">
        <v>47</v>
      </c>
      <c r="AE702" s="4" t="s">
        <v>47</v>
      </c>
      <c r="AF702" s="4" t="s">
        <v>47</v>
      </c>
      <c r="AG702" s="4" t="s">
        <v>47</v>
      </c>
      <c r="AH702" s="4" t="s">
        <v>47</v>
      </c>
      <c r="AI702" s="4" t="s">
        <v>47</v>
      </c>
      <c r="AJ702" s="4" t="s">
        <v>47</v>
      </c>
      <c r="AK702" s="4" t="s">
        <v>47</v>
      </c>
      <c r="AL702" s="4" t="s">
        <v>47</v>
      </c>
      <c r="AM702" s="4" t="s">
        <v>47</v>
      </c>
      <c r="AN702" s="4" t="s">
        <v>47</v>
      </c>
      <c r="AO702" s="4" t="s">
        <v>47</v>
      </c>
      <c r="AP702" s="4" t="s">
        <v>47</v>
      </c>
      <c r="AQ702" s="4" t="s">
        <v>6744</v>
      </c>
      <c r="AR702" s="4" t="s">
        <v>6745</v>
      </c>
    </row>
    <row r="703" spans="1:44" x14ac:dyDescent="0.2">
      <c r="A703" s="4" t="s">
        <v>26</v>
      </c>
      <c r="B703" s="4" t="s">
        <v>12</v>
      </c>
      <c r="C703">
        <v>1</v>
      </c>
      <c r="F703">
        <v>2</v>
      </c>
      <c r="I703" s="4" t="s">
        <v>6713</v>
      </c>
      <c r="J703" s="4" t="s">
        <v>6746</v>
      </c>
      <c r="K703" s="4" t="s">
        <v>6686</v>
      </c>
      <c r="L703" s="4" t="s">
        <v>6687</v>
      </c>
      <c r="M703">
        <v>39400</v>
      </c>
      <c r="N703" s="4" t="s">
        <v>6747</v>
      </c>
      <c r="O703" s="4" t="s">
        <v>6748</v>
      </c>
      <c r="P703" s="4" t="s">
        <v>6387</v>
      </c>
      <c r="Q703" s="9">
        <v>27210</v>
      </c>
      <c r="R703" s="4" t="s">
        <v>664</v>
      </c>
      <c r="S703" s="4" t="s">
        <v>6749</v>
      </c>
      <c r="T703" s="4" t="s">
        <v>47</v>
      </c>
      <c r="U703" s="4" t="s">
        <v>92</v>
      </c>
      <c r="V703">
        <v>1974</v>
      </c>
      <c r="W703" s="4" t="s">
        <v>6750</v>
      </c>
      <c r="X703" s="4" t="s">
        <v>6751</v>
      </c>
      <c r="Y703" s="4" t="s">
        <v>6752</v>
      </c>
      <c r="Z703" s="4" t="s">
        <v>6753</v>
      </c>
      <c r="AA703" s="4" t="s">
        <v>47</v>
      </c>
      <c r="AB703" s="4" t="s">
        <v>47</v>
      </c>
      <c r="AC703" s="4" t="s">
        <v>47</v>
      </c>
      <c r="AD703" s="4" t="s">
        <v>47</v>
      </c>
      <c r="AE703" s="4" t="s">
        <v>47</v>
      </c>
      <c r="AF703" s="4" t="s">
        <v>47</v>
      </c>
      <c r="AG703" s="4" t="s">
        <v>47</v>
      </c>
      <c r="AH703" s="4" t="s">
        <v>47</v>
      </c>
      <c r="AI703" s="4" t="s">
        <v>47</v>
      </c>
      <c r="AJ703" s="4" t="s">
        <v>47</v>
      </c>
      <c r="AK703" s="4" t="s">
        <v>47</v>
      </c>
      <c r="AL703" s="4" t="s">
        <v>47</v>
      </c>
      <c r="AM703" s="4" t="s">
        <v>47</v>
      </c>
      <c r="AN703" s="4" t="s">
        <v>47</v>
      </c>
      <c r="AO703" s="4" t="s">
        <v>6754</v>
      </c>
      <c r="AP703" s="4" t="s">
        <v>47</v>
      </c>
      <c r="AQ703" s="4" t="s">
        <v>6755</v>
      </c>
      <c r="AR703" s="4" t="s">
        <v>47</v>
      </c>
    </row>
    <row r="704" spans="1:44" x14ac:dyDescent="0.2">
      <c r="A704" s="4" t="s">
        <v>6712</v>
      </c>
      <c r="B704" s="4" t="s">
        <v>95</v>
      </c>
      <c r="C704">
        <v>0</v>
      </c>
      <c r="F704">
        <v>2</v>
      </c>
      <c r="I704" s="4" t="s">
        <v>6715</v>
      </c>
      <c r="J704" s="4" t="s">
        <v>6716</v>
      </c>
      <c r="K704" s="4" t="s">
        <v>6674</v>
      </c>
      <c r="L704" s="4" t="s">
        <v>6675</v>
      </c>
      <c r="M704">
        <v>68348</v>
      </c>
      <c r="N704" s="4" t="s">
        <v>6717</v>
      </c>
      <c r="O704" s="4" t="s">
        <v>6756</v>
      </c>
      <c r="P704" s="4" t="s">
        <v>6387</v>
      </c>
      <c r="Q704" s="9">
        <v>27210</v>
      </c>
      <c r="R704" s="4" t="s">
        <v>824</v>
      </c>
      <c r="S704" s="4" t="s">
        <v>6757</v>
      </c>
      <c r="T704" s="4" t="s">
        <v>47</v>
      </c>
      <c r="U704" s="4" t="s">
        <v>92</v>
      </c>
      <c r="V704">
        <v>1974</v>
      </c>
      <c r="W704" s="4" t="s">
        <v>47</v>
      </c>
      <c r="X704" s="4" t="s">
        <v>6758</v>
      </c>
      <c r="Y704" s="4" t="s">
        <v>47</v>
      </c>
      <c r="Z704" s="4" t="s">
        <v>6759</v>
      </c>
      <c r="AA704" s="4" t="s">
        <v>47</v>
      </c>
      <c r="AB704" s="4" t="s">
        <v>47</v>
      </c>
      <c r="AC704" s="4" t="s">
        <v>47</v>
      </c>
      <c r="AD704" s="4" t="s">
        <v>47</v>
      </c>
      <c r="AE704" s="4" t="s">
        <v>47</v>
      </c>
      <c r="AF704" s="4" t="s">
        <v>47</v>
      </c>
      <c r="AG704" s="4" t="s">
        <v>47</v>
      </c>
      <c r="AH704" s="4" t="s">
        <v>47</v>
      </c>
      <c r="AI704" s="4" t="s">
        <v>47</v>
      </c>
      <c r="AJ704" s="4" t="s">
        <v>47</v>
      </c>
      <c r="AK704" s="4" t="s">
        <v>47</v>
      </c>
      <c r="AL704" s="4" t="s">
        <v>47</v>
      </c>
      <c r="AM704" s="4" t="s">
        <v>47</v>
      </c>
      <c r="AN704" s="4" t="s">
        <v>47</v>
      </c>
      <c r="AO704" s="4" t="s">
        <v>47</v>
      </c>
      <c r="AP704" s="4" t="s">
        <v>47</v>
      </c>
      <c r="AQ704" s="4" t="s">
        <v>6760</v>
      </c>
      <c r="AR704" s="4" t="s">
        <v>47</v>
      </c>
    </row>
    <row r="705" spans="1:44" x14ac:dyDescent="0.2">
      <c r="A705" s="4" t="s">
        <v>104</v>
      </c>
      <c r="B705" s="4" t="s">
        <v>116</v>
      </c>
      <c r="C705">
        <v>4</v>
      </c>
      <c r="F705">
        <v>2</v>
      </c>
      <c r="I705" s="4" t="s">
        <v>6398</v>
      </c>
      <c r="J705" s="4" t="s">
        <v>4912</v>
      </c>
      <c r="K705" s="4" t="s">
        <v>6498</v>
      </c>
      <c r="L705" s="4" t="s">
        <v>6761</v>
      </c>
      <c r="M705">
        <v>67800</v>
      </c>
      <c r="N705" s="4" t="s">
        <v>6727</v>
      </c>
      <c r="O705" s="4" t="s">
        <v>6762</v>
      </c>
      <c r="P705" s="4" t="s">
        <v>6387</v>
      </c>
      <c r="Q705" s="9">
        <v>27210</v>
      </c>
      <c r="R705" s="4" t="s">
        <v>1236</v>
      </c>
      <c r="S705" s="4" t="s">
        <v>6763</v>
      </c>
      <c r="T705" s="4" t="s">
        <v>47</v>
      </c>
      <c r="U705" s="4" t="s">
        <v>92</v>
      </c>
      <c r="V705">
        <v>1974</v>
      </c>
      <c r="W705" s="4" t="s">
        <v>6764</v>
      </c>
      <c r="X705" s="4" t="s">
        <v>6765</v>
      </c>
      <c r="Y705" s="4" t="s">
        <v>6766</v>
      </c>
      <c r="Z705" s="4" t="s">
        <v>6767</v>
      </c>
      <c r="AA705" s="4" t="s">
        <v>47</v>
      </c>
      <c r="AB705" s="4" t="s">
        <v>47</v>
      </c>
      <c r="AC705" s="4" t="s">
        <v>6768</v>
      </c>
      <c r="AD705" s="4" t="s">
        <v>47</v>
      </c>
      <c r="AE705" s="4" t="s">
        <v>47</v>
      </c>
      <c r="AF705" s="4" t="s">
        <v>47</v>
      </c>
      <c r="AG705" s="4" t="s">
        <v>47</v>
      </c>
      <c r="AH705" s="4" t="s">
        <v>47</v>
      </c>
      <c r="AI705" s="4" t="s">
        <v>47</v>
      </c>
      <c r="AJ705" s="4" t="s">
        <v>47</v>
      </c>
      <c r="AK705" s="4" t="s">
        <v>47</v>
      </c>
      <c r="AL705" s="4" t="s">
        <v>47</v>
      </c>
      <c r="AM705" s="4" t="s">
        <v>47</v>
      </c>
      <c r="AN705" s="4" t="s">
        <v>47</v>
      </c>
      <c r="AO705" s="4" t="s">
        <v>47</v>
      </c>
      <c r="AP705" s="4" t="s">
        <v>6769</v>
      </c>
      <c r="AQ705" s="4" t="s">
        <v>6770</v>
      </c>
      <c r="AR705" s="4" t="s">
        <v>6771</v>
      </c>
    </row>
    <row r="706" spans="1:44" x14ac:dyDescent="0.2">
      <c r="A706" s="4" t="s">
        <v>4991</v>
      </c>
      <c r="B706" s="4" t="s">
        <v>104</v>
      </c>
      <c r="C706">
        <v>0</v>
      </c>
      <c r="F706">
        <v>2</v>
      </c>
      <c r="I706" s="4" t="s">
        <v>6112</v>
      </c>
      <c r="J706" s="4" t="s">
        <v>6726</v>
      </c>
      <c r="K706" s="4" t="s">
        <v>6398</v>
      </c>
      <c r="L706" s="4" t="s">
        <v>4912</v>
      </c>
      <c r="M706">
        <v>67385</v>
      </c>
      <c r="N706" s="4" t="s">
        <v>6727</v>
      </c>
      <c r="O706" s="4" t="s">
        <v>6772</v>
      </c>
      <c r="P706" s="4" t="s">
        <v>6387</v>
      </c>
      <c r="Q706" s="9">
        <v>27206</v>
      </c>
      <c r="R706" s="4" t="s">
        <v>824</v>
      </c>
      <c r="S706" s="4" t="s">
        <v>6773</v>
      </c>
      <c r="T706" s="4" t="s">
        <v>47</v>
      </c>
      <c r="U706" s="4" t="s">
        <v>92</v>
      </c>
      <c r="V706">
        <v>1974</v>
      </c>
      <c r="W706" s="4" t="s">
        <v>47</v>
      </c>
      <c r="X706" s="4" t="s">
        <v>6774</v>
      </c>
      <c r="Y706" s="4" t="s">
        <v>47</v>
      </c>
      <c r="Z706" s="4" t="s">
        <v>6775</v>
      </c>
      <c r="AA706" s="4" t="s">
        <v>47</v>
      </c>
      <c r="AB706" s="4" t="s">
        <v>47</v>
      </c>
      <c r="AC706" s="4" t="s">
        <v>47</v>
      </c>
      <c r="AD706" s="4" t="s">
        <v>47</v>
      </c>
      <c r="AE706" s="4" t="s">
        <v>47</v>
      </c>
      <c r="AF706" s="4" t="s">
        <v>47</v>
      </c>
      <c r="AG706" s="4" t="s">
        <v>47</v>
      </c>
      <c r="AH706" s="4" t="s">
        <v>47</v>
      </c>
      <c r="AI706" s="4" t="s">
        <v>47</v>
      </c>
      <c r="AJ706" s="4" t="s">
        <v>47</v>
      </c>
      <c r="AK706" s="4" t="s">
        <v>47</v>
      </c>
      <c r="AL706" s="4" t="s">
        <v>47</v>
      </c>
      <c r="AM706" s="4" t="s">
        <v>47</v>
      </c>
      <c r="AN706" s="4" t="s">
        <v>47</v>
      </c>
      <c r="AO706" s="4" t="s">
        <v>6776</v>
      </c>
      <c r="AP706" s="4" t="s">
        <v>6777</v>
      </c>
      <c r="AQ706" s="4" t="s">
        <v>6778</v>
      </c>
      <c r="AR706" s="4" t="s">
        <v>6779</v>
      </c>
    </row>
    <row r="707" spans="1:44" x14ac:dyDescent="0.2">
      <c r="A707" s="4" t="s">
        <v>12</v>
      </c>
      <c r="B707" s="4" t="s">
        <v>6712</v>
      </c>
      <c r="C707">
        <v>1</v>
      </c>
      <c r="F707">
        <v>0</v>
      </c>
      <c r="I707" s="4" t="s">
        <v>6686</v>
      </c>
      <c r="J707" s="4" t="s">
        <v>6687</v>
      </c>
      <c r="K707" s="4" t="s">
        <v>6715</v>
      </c>
      <c r="L707" s="4" t="s">
        <v>6716</v>
      </c>
      <c r="M707">
        <v>59863</v>
      </c>
      <c r="N707" s="4" t="s">
        <v>6747</v>
      </c>
      <c r="O707" s="4" t="s">
        <v>6780</v>
      </c>
      <c r="P707" s="4" t="s">
        <v>6387</v>
      </c>
      <c r="Q707" s="9">
        <v>27206</v>
      </c>
      <c r="R707" s="4" t="s">
        <v>652</v>
      </c>
      <c r="S707" s="4" t="s">
        <v>6615</v>
      </c>
      <c r="T707" s="4" t="s">
        <v>47</v>
      </c>
      <c r="U707" s="4" t="s">
        <v>92</v>
      </c>
      <c r="V707">
        <v>1974</v>
      </c>
      <c r="W707" s="4" t="s">
        <v>6781</v>
      </c>
      <c r="X707" s="4" t="s">
        <v>47</v>
      </c>
      <c r="Y707" s="4" t="s">
        <v>6782</v>
      </c>
      <c r="Z707" s="4" t="s">
        <v>47</v>
      </c>
      <c r="AA707" s="4" t="s">
        <v>47</v>
      </c>
      <c r="AB707" s="4" t="s">
        <v>47</v>
      </c>
      <c r="AC707" s="4" t="s">
        <v>47</v>
      </c>
      <c r="AD707" s="4" t="s">
        <v>47</v>
      </c>
      <c r="AE707" s="4" t="s">
        <v>47</v>
      </c>
      <c r="AF707" s="4" t="s">
        <v>47</v>
      </c>
      <c r="AG707" s="4" t="s">
        <v>47</v>
      </c>
      <c r="AH707" s="4" t="s">
        <v>47</v>
      </c>
      <c r="AI707" s="4" t="s">
        <v>47</v>
      </c>
      <c r="AJ707" s="4" t="s">
        <v>47</v>
      </c>
      <c r="AK707" s="4" t="s">
        <v>47</v>
      </c>
      <c r="AL707" s="4" t="s">
        <v>47</v>
      </c>
      <c r="AM707" s="4" t="s">
        <v>47</v>
      </c>
      <c r="AN707" s="4" t="s">
        <v>47</v>
      </c>
      <c r="AO707" s="4" t="s">
        <v>6783</v>
      </c>
      <c r="AP707" s="4" t="s">
        <v>6784</v>
      </c>
      <c r="AQ707" s="4" t="s">
        <v>47</v>
      </c>
      <c r="AR707" s="4" t="s">
        <v>6785</v>
      </c>
    </row>
    <row r="708" spans="1:44" x14ac:dyDescent="0.2">
      <c r="A708" s="4" t="s">
        <v>116</v>
      </c>
      <c r="B708" s="4" t="s">
        <v>195</v>
      </c>
      <c r="C708">
        <v>0</v>
      </c>
      <c r="F708">
        <v>1</v>
      </c>
      <c r="I708" s="4" t="s">
        <v>6498</v>
      </c>
      <c r="J708" s="4" t="s">
        <v>6761</v>
      </c>
      <c r="K708" s="4" t="s">
        <v>6688</v>
      </c>
      <c r="L708" s="4" t="s">
        <v>6411</v>
      </c>
      <c r="M708">
        <v>44955</v>
      </c>
      <c r="N708" s="4" t="s">
        <v>6786</v>
      </c>
      <c r="O708" s="4" t="s">
        <v>6787</v>
      </c>
      <c r="P708" s="4" t="s">
        <v>6387</v>
      </c>
      <c r="Q708" s="9">
        <v>27206</v>
      </c>
      <c r="R708" s="4" t="s">
        <v>963</v>
      </c>
      <c r="S708" s="4" t="s">
        <v>6441</v>
      </c>
      <c r="T708" s="4" t="s">
        <v>47</v>
      </c>
      <c r="U708" s="4" t="s">
        <v>92</v>
      </c>
      <c r="V708">
        <v>1974</v>
      </c>
      <c r="W708" s="4" t="s">
        <v>47</v>
      </c>
      <c r="X708" s="4" t="s">
        <v>6600</v>
      </c>
      <c r="Y708" s="4" t="s">
        <v>47</v>
      </c>
      <c r="Z708" s="4" t="s">
        <v>6788</v>
      </c>
      <c r="AA708" s="4" t="s">
        <v>47</v>
      </c>
      <c r="AB708" s="4" t="s">
        <v>47</v>
      </c>
      <c r="AC708" s="4" t="s">
        <v>47</v>
      </c>
      <c r="AD708" s="4" t="s">
        <v>47</v>
      </c>
      <c r="AE708" s="4" t="s">
        <v>47</v>
      </c>
      <c r="AF708" s="4" t="s">
        <v>47</v>
      </c>
      <c r="AG708" s="4" t="s">
        <v>47</v>
      </c>
      <c r="AH708" s="4" t="s">
        <v>47</v>
      </c>
      <c r="AI708" s="4" t="s">
        <v>47</v>
      </c>
      <c r="AJ708" s="4" t="s">
        <v>47</v>
      </c>
      <c r="AK708" s="4" t="s">
        <v>47</v>
      </c>
      <c r="AL708" s="4" t="s">
        <v>47</v>
      </c>
      <c r="AM708" s="4" t="s">
        <v>47</v>
      </c>
      <c r="AN708" s="4" t="s">
        <v>47</v>
      </c>
      <c r="AO708" s="4" t="s">
        <v>47</v>
      </c>
      <c r="AP708" s="4" t="s">
        <v>6789</v>
      </c>
      <c r="AQ708" s="4" t="s">
        <v>6790</v>
      </c>
      <c r="AR708" s="4" t="s">
        <v>6791</v>
      </c>
    </row>
    <row r="709" spans="1:44" x14ac:dyDescent="0.2">
      <c r="A709" s="4" t="s">
        <v>95</v>
      </c>
      <c r="B709" s="4" t="s">
        <v>26</v>
      </c>
      <c r="C709">
        <v>4</v>
      </c>
      <c r="F709">
        <v>0</v>
      </c>
      <c r="I709" s="4" t="s">
        <v>6674</v>
      </c>
      <c r="J709" s="4" t="s">
        <v>6675</v>
      </c>
      <c r="K709" s="4" t="s">
        <v>6713</v>
      </c>
      <c r="L709" s="4" t="s">
        <v>6792</v>
      </c>
      <c r="M709">
        <v>56548</v>
      </c>
      <c r="N709" s="4" t="s">
        <v>6717</v>
      </c>
      <c r="O709" s="4" t="s">
        <v>6793</v>
      </c>
      <c r="P709" s="4" t="s">
        <v>6387</v>
      </c>
      <c r="Q709" s="9">
        <v>27206</v>
      </c>
      <c r="R709" s="4" t="s">
        <v>2300</v>
      </c>
      <c r="S709" s="4" t="s">
        <v>6794</v>
      </c>
      <c r="T709" s="4" t="s">
        <v>47</v>
      </c>
      <c r="U709" s="4" t="s">
        <v>92</v>
      </c>
      <c r="V709">
        <v>1974</v>
      </c>
      <c r="W709" s="4" t="s">
        <v>6795</v>
      </c>
      <c r="X709" s="4" t="s">
        <v>47</v>
      </c>
      <c r="Y709" s="4" t="s">
        <v>6796</v>
      </c>
      <c r="Z709" s="4" t="s">
        <v>47</v>
      </c>
      <c r="AA709" s="4" t="s">
        <v>47</v>
      </c>
      <c r="AB709" s="4" t="s">
        <v>47</v>
      </c>
      <c r="AC709" s="4" t="s">
        <v>47</v>
      </c>
      <c r="AD709" s="4" t="s">
        <v>47</v>
      </c>
      <c r="AE709" s="4" t="s">
        <v>47</v>
      </c>
      <c r="AF709" s="4" t="s">
        <v>47</v>
      </c>
      <c r="AG709" s="4" t="s">
        <v>47</v>
      </c>
      <c r="AH709" s="4" t="s">
        <v>47</v>
      </c>
      <c r="AI709" s="4" t="s">
        <v>47</v>
      </c>
      <c r="AJ709" s="4" t="s">
        <v>47</v>
      </c>
      <c r="AK709" s="4" t="s">
        <v>47</v>
      </c>
      <c r="AL709" s="4" t="s">
        <v>47</v>
      </c>
      <c r="AM709" s="4" t="s">
        <v>47</v>
      </c>
      <c r="AN709" s="4" t="s">
        <v>47</v>
      </c>
      <c r="AO709" s="4" t="s">
        <v>6797</v>
      </c>
      <c r="AP709" s="4" t="s">
        <v>6798</v>
      </c>
      <c r="AQ709" s="4" t="s">
        <v>6799</v>
      </c>
      <c r="AR709" s="4" t="s">
        <v>6800</v>
      </c>
    </row>
    <row r="710" spans="1:44" x14ac:dyDescent="0.2">
      <c r="A710" s="4" t="s">
        <v>293</v>
      </c>
      <c r="B710" s="4" t="s">
        <v>95</v>
      </c>
      <c r="C710">
        <v>1</v>
      </c>
      <c r="F710">
        <v>4</v>
      </c>
      <c r="I710" s="4" t="s">
        <v>6801</v>
      </c>
      <c r="J710" s="4" t="s">
        <v>4106</v>
      </c>
      <c r="K710" s="4" t="s">
        <v>6674</v>
      </c>
      <c r="L710" s="4" t="s">
        <v>6675</v>
      </c>
      <c r="M710">
        <v>53300</v>
      </c>
      <c r="N710" s="4" t="s">
        <v>6702</v>
      </c>
      <c r="O710" s="4" t="s">
        <v>6802</v>
      </c>
      <c r="P710" s="4" t="s">
        <v>6491</v>
      </c>
      <c r="Q710" s="9">
        <v>27203</v>
      </c>
      <c r="R710" s="4" t="s">
        <v>2101</v>
      </c>
      <c r="S710" s="4" t="s">
        <v>6187</v>
      </c>
      <c r="T710" s="4" t="s">
        <v>47</v>
      </c>
      <c r="U710" s="4" t="s">
        <v>92</v>
      </c>
      <c r="V710">
        <v>1974</v>
      </c>
      <c r="W710" s="4" t="s">
        <v>47</v>
      </c>
      <c r="X710" s="4" t="s">
        <v>6803</v>
      </c>
      <c r="Y710" s="4" t="s">
        <v>47</v>
      </c>
      <c r="Z710" s="4" t="s">
        <v>6804</v>
      </c>
      <c r="AA710" s="4" t="s">
        <v>6805</v>
      </c>
      <c r="AB710" s="4" t="s">
        <v>47</v>
      </c>
      <c r="AC710" s="4" t="s">
        <v>47</v>
      </c>
      <c r="AD710" s="4" t="s">
        <v>6806</v>
      </c>
      <c r="AE710" s="4" t="s">
        <v>47</v>
      </c>
      <c r="AF710" s="4" t="s">
        <v>47</v>
      </c>
      <c r="AG710" s="4" t="s">
        <v>47</v>
      </c>
      <c r="AH710" s="4" t="s">
        <v>47</v>
      </c>
      <c r="AI710" s="4" t="s">
        <v>47</v>
      </c>
      <c r="AJ710" s="4" t="s">
        <v>47</v>
      </c>
      <c r="AK710" s="4" t="s">
        <v>47</v>
      </c>
      <c r="AL710" s="4" t="s">
        <v>47</v>
      </c>
      <c r="AM710" s="4" t="s">
        <v>47</v>
      </c>
      <c r="AN710" s="4" t="s">
        <v>47</v>
      </c>
      <c r="AO710" s="4" t="s">
        <v>6807</v>
      </c>
      <c r="AP710" s="4" t="s">
        <v>6808</v>
      </c>
      <c r="AQ710" s="4" t="s">
        <v>6809</v>
      </c>
      <c r="AR710" s="4" t="s">
        <v>6810</v>
      </c>
    </row>
    <row r="711" spans="1:44" x14ac:dyDescent="0.2">
      <c r="A711" s="4" t="s">
        <v>195</v>
      </c>
      <c r="B711" s="4" t="s">
        <v>97</v>
      </c>
      <c r="C711">
        <v>2</v>
      </c>
      <c r="F711">
        <v>1</v>
      </c>
      <c r="I711" s="4" t="s">
        <v>6688</v>
      </c>
      <c r="J711" s="4" t="s">
        <v>6411</v>
      </c>
      <c r="K711" s="4" t="s">
        <v>6811</v>
      </c>
      <c r="L711" s="4" t="s">
        <v>6812</v>
      </c>
      <c r="M711">
        <v>70100</v>
      </c>
      <c r="N711" s="4" t="s">
        <v>6786</v>
      </c>
      <c r="O711" s="4" t="s">
        <v>6813</v>
      </c>
      <c r="P711" s="4" t="s">
        <v>6491</v>
      </c>
      <c r="Q711" s="9">
        <v>27203</v>
      </c>
      <c r="R711" s="4" t="s">
        <v>617</v>
      </c>
      <c r="S711" s="4" t="s">
        <v>6814</v>
      </c>
      <c r="T711" s="4" t="s">
        <v>47</v>
      </c>
      <c r="U711" s="4" t="s">
        <v>92</v>
      </c>
      <c r="V711">
        <v>1974</v>
      </c>
      <c r="W711" s="4" t="s">
        <v>6815</v>
      </c>
      <c r="X711" s="4" t="s">
        <v>6816</v>
      </c>
      <c r="Y711" s="4" t="s">
        <v>6817</v>
      </c>
      <c r="Z711" s="4" t="s">
        <v>6818</v>
      </c>
      <c r="AA711" s="4" t="s">
        <v>47</v>
      </c>
      <c r="AB711" s="4" t="s">
        <v>47</v>
      </c>
      <c r="AC711" s="4" t="s">
        <v>47</v>
      </c>
      <c r="AD711" s="4" t="s">
        <v>47</v>
      </c>
      <c r="AE711" s="4" t="s">
        <v>47</v>
      </c>
      <c r="AF711" s="4" t="s">
        <v>47</v>
      </c>
      <c r="AG711" s="4" t="s">
        <v>47</v>
      </c>
      <c r="AH711" s="4" t="s">
        <v>47</v>
      </c>
      <c r="AI711" s="4" t="s">
        <v>47</v>
      </c>
      <c r="AJ711" s="4" t="s">
        <v>47</v>
      </c>
      <c r="AK711" s="4" t="s">
        <v>47</v>
      </c>
      <c r="AL711" s="4" t="s">
        <v>47</v>
      </c>
      <c r="AM711" s="4" t="s">
        <v>47</v>
      </c>
      <c r="AN711" s="4" t="s">
        <v>47</v>
      </c>
      <c r="AO711" s="4" t="s">
        <v>6819</v>
      </c>
      <c r="AP711" s="4" t="s">
        <v>6820</v>
      </c>
      <c r="AQ711" s="4" t="s">
        <v>6821</v>
      </c>
      <c r="AR711" s="4" t="s">
        <v>6822</v>
      </c>
    </row>
    <row r="712" spans="1:44" x14ac:dyDescent="0.2">
      <c r="A712" s="4" t="s">
        <v>116</v>
      </c>
      <c r="B712" s="4" t="s">
        <v>121</v>
      </c>
      <c r="C712">
        <v>3</v>
      </c>
      <c r="F712">
        <v>0</v>
      </c>
      <c r="I712" s="4" t="s">
        <v>6498</v>
      </c>
      <c r="J712" s="4" t="s">
        <v>6761</v>
      </c>
      <c r="K712" s="4" t="s">
        <v>6823</v>
      </c>
      <c r="L712" s="4" t="s">
        <v>6824</v>
      </c>
      <c r="M712">
        <v>28300</v>
      </c>
      <c r="N712" s="4" t="s">
        <v>6727</v>
      </c>
      <c r="O712" s="4" t="s">
        <v>6825</v>
      </c>
      <c r="P712" s="4" t="s">
        <v>6491</v>
      </c>
      <c r="Q712" s="9">
        <v>27203</v>
      </c>
      <c r="R712" s="4" t="s">
        <v>638</v>
      </c>
      <c r="S712" s="4" t="s">
        <v>6522</v>
      </c>
      <c r="T712" s="4" t="s">
        <v>47</v>
      </c>
      <c r="U712" s="4" t="s">
        <v>92</v>
      </c>
      <c r="V712">
        <v>1974</v>
      </c>
      <c r="W712" s="4" t="s">
        <v>6826</v>
      </c>
      <c r="X712" s="4" t="s">
        <v>47</v>
      </c>
      <c r="Y712" s="4" t="s">
        <v>6827</v>
      </c>
      <c r="Z712" s="4" t="s">
        <v>47</v>
      </c>
      <c r="AA712" s="4" t="s">
        <v>47</v>
      </c>
      <c r="AB712" s="4" t="s">
        <v>47</v>
      </c>
      <c r="AC712" s="4" t="s">
        <v>47</v>
      </c>
      <c r="AD712" s="4" t="s">
        <v>47</v>
      </c>
      <c r="AE712" s="4" t="s">
        <v>47</v>
      </c>
      <c r="AF712" s="4" t="s">
        <v>47</v>
      </c>
      <c r="AG712" s="4" t="s">
        <v>47</v>
      </c>
      <c r="AH712" s="4" t="s">
        <v>47</v>
      </c>
      <c r="AI712" s="4" t="s">
        <v>47</v>
      </c>
      <c r="AJ712" s="4" t="s">
        <v>47</v>
      </c>
      <c r="AK712" s="4" t="s">
        <v>47</v>
      </c>
      <c r="AL712" s="4" t="s">
        <v>47</v>
      </c>
      <c r="AM712" s="4" t="s">
        <v>47</v>
      </c>
      <c r="AN712" s="4" t="s">
        <v>47</v>
      </c>
      <c r="AO712" s="4" t="s">
        <v>47</v>
      </c>
      <c r="AP712" s="4" t="s">
        <v>6828</v>
      </c>
      <c r="AQ712" s="4" t="s">
        <v>6829</v>
      </c>
      <c r="AR712" s="4" t="s">
        <v>6830</v>
      </c>
    </row>
    <row r="713" spans="1:44" x14ac:dyDescent="0.2">
      <c r="A713" s="4" t="s">
        <v>26</v>
      </c>
      <c r="B713" s="4" t="s">
        <v>284</v>
      </c>
      <c r="C713">
        <v>4</v>
      </c>
      <c r="F713">
        <v>1</v>
      </c>
      <c r="I713" s="4" t="s">
        <v>6713</v>
      </c>
      <c r="J713" s="4" t="s">
        <v>6792</v>
      </c>
      <c r="K713" s="4" t="s">
        <v>6831</v>
      </c>
      <c r="L713" s="4" t="s">
        <v>6832</v>
      </c>
      <c r="M713">
        <v>25900</v>
      </c>
      <c r="N713" s="4" t="s">
        <v>6676</v>
      </c>
      <c r="O713" s="4" t="s">
        <v>6833</v>
      </c>
      <c r="P713" s="4" t="s">
        <v>6491</v>
      </c>
      <c r="Q713" s="9">
        <v>27203</v>
      </c>
      <c r="R713" s="4" t="s">
        <v>757</v>
      </c>
      <c r="S713" s="4" t="s">
        <v>6834</v>
      </c>
      <c r="T713" s="4" t="s">
        <v>47</v>
      </c>
      <c r="U713" s="4" t="s">
        <v>92</v>
      </c>
      <c r="V713">
        <v>1974</v>
      </c>
      <c r="W713" s="4" t="s">
        <v>6835</v>
      </c>
      <c r="X713" s="4" t="s">
        <v>6836</v>
      </c>
      <c r="Y713" s="4" t="s">
        <v>6837</v>
      </c>
      <c r="Z713" s="4" t="s">
        <v>6838</v>
      </c>
      <c r="AA713" s="4" t="s">
        <v>47</v>
      </c>
      <c r="AB713" s="4" t="s">
        <v>47</v>
      </c>
      <c r="AC713" s="4" t="s">
        <v>47</v>
      </c>
      <c r="AD713" s="4" t="s">
        <v>47</v>
      </c>
      <c r="AE713" s="4" t="s">
        <v>47</v>
      </c>
      <c r="AF713" s="4" t="s">
        <v>47</v>
      </c>
      <c r="AG713" s="4" t="s">
        <v>47</v>
      </c>
      <c r="AH713" s="4" t="s">
        <v>47</v>
      </c>
      <c r="AI713" s="4" t="s">
        <v>47</v>
      </c>
      <c r="AJ713" s="4" t="s">
        <v>47</v>
      </c>
      <c r="AK713" s="4" t="s">
        <v>47</v>
      </c>
      <c r="AL713" s="4" t="s">
        <v>47</v>
      </c>
      <c r="AM713" s="4" t="s">
        <v>47</v>
      </c>
      <c r="AN713" s="4" t="s">
        <v>47</v>
      </c>
      <c r="AO713" s="4" t="s">
        <v>6839</v>
      </c>
      <c r="AP713" s="4" t="s">
        <v>6840</v>
      </c>
      <c r="AQ713" s="4" t="s">
        <v>6841</v>
      </c>
      <c r="AR713" s="4" t="s">
        <v>6842</v>
      </c>
    </row>
    <row r="714" spans="1:44" x14ac:dyDescent="0.2">
      <c r="A714" s="4" t="s">
        <v>205</v>
      </c>
      <c r="B714" s="4" t="s">
        <v>4991</v>
      </c>
      <c r="C714">
        <v>1</v>
      </c>
      <c r="F714">
        <v>1</v>
      </c>
      <c r="I714" s="4" t="s">
        <v>6843</v>
      </c>
      <c r="J714" s="4" t="s">
        <v>6844</v>
      </c>
      <c r="K714" s="4" t="s">
        <v>6112</v>
      </c>
      <c r="L714" s="4" t="s">
        <v>6726</v>
      </c>
      <c r="M714">
        <v>56000</v>
      </c>
      <c r="N714" s="4" t="s">
        <v>6697</v>
      </c>
      <c r="O714" s="4" t="s">
        <v>6845</v>
      </c>
      <c r="P714" s="4" t="s">
        <v>6491</v>
      </c>
      <c r="Q714" s="9">
        <v>27202</v>
      </c>
      <c r="R714" s="4" t="s">
        <v>1046</v>
      </c>
      <c r="S714" s="4" t="s">
        <v>6640</v>
      </c>
      <c r="T714" s="4" t="s">
        <v>47</v>
      </c>
      <c r="U714" s="4" t="s">
        <v>92</v>
      </c>
      <c r="V714">
        <v>1974</v>
      </c>
      <c r="W714" s="4" t="s">
        <v>6846</v>
      </c>
      <c r="X714" s="4" t="s">
        <v>6847</v>
      </c>
      <c r="Y714" s="4" t="s">
        <v>6848</v>
      </c>
      <c r="Z714" s="4" t="s">
        <v>6849</v>
      </c>
      <c r="AA714" s="4" t="s">
        <v>47</v>
      </c>
      <c r="AB714" s="4" t="s">
        <v>47</v>
      </c>
      <c r="AC714" s="4" t="s">
        <v>47</v>
      </c>
      <c r="AD714" s="4" t="s">
        <v>47</v>
      </c>
      <c r="AE714" s="4" t="s">
        <v>47</v>
      </c>
      <c r="AF714" s="4" t="s">
        <v>47</v>
      </c>
      <c r="AG714" s="4" t="s">
        <v>47</v>
      </c>
      <c r="AH714" s="4" t="s">
        <v>47</v>
      </c>
      <c r="AI714" s="4" t="s">
        <v>47</v>
      </c>
      <c r="AJ714" s="4" t="s">
        <v>47</v>
      </c>
      <c r="AK714" s="4" t="s">
        <v>47</v>
      </c>
      <c r="AL714" s="4" t="s">
        <v>47</v>
      </c>
      <c r="AM714" s="4" t="s">
        <v>47</v>
      </c>
      <c r="AN714" s="4" t="s">
        <v>47</v>
      </c>
      <c r="AO714" s="4" t="s">
        <v>6850</v>
      </c>
      <c r="AP714" s="4" t="s">
        <v>6851</v>
      </c>
      <c r="AQ714" s="4" t="s">
        <v>6852</v>
      </c>
      <c r="AR714" s="4" t="s">
        <v>6853</v>
      </c>
    </row>
    <row r="715" spans="1:44" x14ac:dyDescent="0.2">
      <c r="A715" s="4" t="s">
        <v>179</v>
      </c>
      <c r="B715" s="4" t="s">
        <v>113</v>
      </c>
      <c r="C715">
        <v>0</v>
      </c>
      <c r="F715">
        <v>0</v>
      </c>
      <c r="I715" s="4" t="s">
        <v>6854</v>
      </c>
      <c r="J715" s="4" t="s">
        <v>6855</v>
      </c>
      <c r="K715" s="4" t="s">
        <v>6856</v>
      </c>
      <c r="L715" s="4" t="s">
        <v>6857</v>
      </c>
      <c r="M715">
        <v>17400</v>
      </c>
      <c r="N715" s="4" t="s">
        <v>6858</v>
      </c>
      <c r="O715" s="4" t="s">
        <v>6859</v>
      </c>
      <c r="P715" s="4" t="s">
        <v>6491</v>
      </c>
      <c r="Q715" s="9">
        <v>27202</v>
      </c>
      <c r="R715" s="4" t="s">
        <v>869</v>
      </c>
      <c r="S715" s="4" t="s">
        <v>6543</v>
      </c>
      <c r="T715" s="4" t="s">
        <v>47</v>
      </c>
      <c r="U715" s="4" t="s">
        <v>92</v>
      </c>
      <c r="V715">
        <v>1974</v>
      </c>
      <c r="W715" s="4" t="s">
        <v>47</v>
      </c>
      <c r="X715" s="4" t="s">
        <v>47</v>
      </c>
      <c r="Y715" s="4" t="s">
        <v>47</v>
      </c>
      <c r="Z715" s="4" t="s">
        <v>47</v>
      </c>
      <c r="AA715" s="4" t="s">
        <v>47</v>
      </c>
      <c r="AB715" s="4" t="s">
        <v>47</v>
      </c>
      <c r="AC715" s="4" t="s">
        <v>47</v>
      </c>
      <c r="AD715" s="4" t="s">
        <v>47</v>
      </c>
      <c r="AE715" s="4" t="s">
        <v>47</v>
      </c>
      <c r="AF715" s="4" t="s">
        <v>47</v>
      </c>
      <c r="AG715" s="4" t="s">
        <v>47</v>
      </c>
      <c r="AH715" s="4" t="s">
        <v>47</v>
      </c>
      <c r="AI715" s="4" t="s">
        <v>47</v>
      </c>
      <c r="AJ715" s="4" t="s">
        <v>47</v>
      </c>
      <c r="AK715" s="4" t="s">
        <v>6860</v>
      </c>
      <c r="AL715" s="4" t="s">
        <v>47</v>
      </c>
      <c r="AM715" s="4" t="s">
        <v>47</v>
      </c>
      <c r="AN715" s="4" t="s">
        <v>47</v>
      </c>
      <c r="AO715" s="4" t="s">
        <v>6861</v>
      </c>
      <c r="AP715" s="4" t="s">
        <v>47</v>
      </c>
      <c r="AQ715" s="4" t="s">
        <v>6862</v>
      </c>
      <c r="AR715" s="4" t="s">
        <v>6863</v>
      </c>
    </row>
    <row r="716" spans="1:44" x14ac:dyDescent="0.2">
      <c r="A716" s="4" t="s">
        <v>6864</v>
      </c>
      <c r="B716" s="4" t="s">
        <v>12</v>
      </c>
      <c r="C716">
        <v>0</v>
      </c>
      <c r="F716">
        <v>3</v>
      </c>
      <c r="I716" s="4" t="s">
        <v>6865</v>
      </c>
      <c r="J716" s="4" t="s">
        <v>6866</v>
      </c>
      <c r="K716" s="4" t="s">
        <v>6686</v>
      </c>
      <c r="L716" s="4" t="s">
        <v>6867</v>
      </c>
      <c r="M716">
        <v>36200</v>
      </c>
      <c r="N716" s="4" t="s">
        <v>6717</v>
      </c>
      <c r="O716" s="4" t="s">
        <v>6868</v>
      </c>
      <c r="P716" s="4" t="s">
        <v>6491</v>
      </c>
      <c r="Q716" s="9">
        <v>27202</v>
      </c>
      <c r="R716" s="4" t="s">
        <v>973</v>
      </c>
      <c r="S716" s="4" t="s">
        <v>6031</v>
      </c>
      <c r="T716" s="4" t="s">
        <v>47</v>
      </c>
      <c r="U716" s="4" t="s">
        <v>92</v>
      </c>
      <c r="V716">
        <v>1974</v>
      </c>
      <c r="W716" s="4" t="s">
        <v>47</v>
      </c>
      <c r="X716" s="4" t="s">
        <v>6869</v>
      </c>
      <c r="Y716" s="4" t="s">
        <v>47</v>
      </c>
      <c r="Z716" s="4" t="s">
        <v>6870</v>
      </c>
      <c r="AA716" s="4" t="s">
        <v>47</v>
      </c>
      <c r="AB716" s="4" t="s">
        <v>47</v>
      </c>
      <c r="AC716" s="4" t="s">
        <v>47</v>
      </c>
      <c r="AD716" s="4" t="s">
        <v>47</v>
      </c>
      <c r="AE716" s="4" t="s">
        <v>47</v>
      </c>
      <c r="AF716" s="4" t="s">
        <v>47</v>
      </c>
      <c r="AG716" s="4" t="s">
        <v>47</v>
      </c>
      <c r="AH716" s="4" t="s">
        <v>47</v>
      </c>
      <c r="AI716" s="4" t="s">
        <v>47</v>
      </c>
      <c r="AJ716" s="4" t="s">
        <v>47</v>
      </c>
      <c r="AK716" s="4" t="s">
        <v>47</v>
      </c>
      <c r="AL716" s="4" t="s">
        <v>47</v>
      </c>
      <c r="AM716" s="4" t="s">
        <v>47</v>
      </c>
      <c r="AN716" s="4" t="s">
        <v>47</v>
      </c>
      <c r="AO716" s="4" t="s">
        <v>6871</v>
      </c>
      <c r="AP716" s="4" t="s">
        <v>6872</v>
      </c>
      <c r="AQ716" s="4" t="s">
        <v>6873</v>
      </c>
      <c r="AR716" s="4" t="s">
        <v>6874</v>
      </c>
    </row>
    <row r="717" spans="1:44" x14ac:dyDescent="0.2">
      <c r="A717" s="4" t="s">
        <v>6712</v>
      </c>
      <c r="B717" s="4" t="s">
        <v>104</v>
      </c>
      <c r="C717">
        <v>1</v>
      </c>
      <c r="F717">
        <v>0</v>
      </c>
      <c r="I717" s="4" t="s">
        <v>6715</v>
      </c>
      <c r="J717" s="4" t="s">
        <v>6716</v>
      </c>
      <c r="K717" s="4" t="s">
        <v>6398</v>
      </c>
      <c r="L717" s="4" t="s">
        <v>4912</v>
      </c>
      <c r="M717">
        <v>60200</v>
      </c>
      <c r="N717" s="4" t="s">
        <v>2952</v>
      </c>
      <c r="O717" s="4" t="s">
        <v>6875</v>
      </c>
      <c r="P717" s="4" t="s">
        <v>6491</v>
      </c>
      <c r="Q717" s="9">
        <v>27202</v>
      </c>
      <c r="R717" s="4" t="s">
        <v>652</v>
      </c>
      <c r="S717" s="4" t="s">
        <v>6441</v>
      </c>
      <c r="T717" s="4" t="s">
        <v>47</v>
      </c>
      <c r="U717" s="4" t="s">
        <v>92</v>
      </c>
      <c r="V717">
        <v>1974</v>
      </c>
      <c r="W717" s="4" t="s">
        <v>6876</v>
      </c>
      <c r="X717" s="4" t="s">
        <v>47</v>
      </c>
      <c r="Y717" s="4" t="s">
        <v>6877</v>
      </c>
      <c r="Z717" s="4" t="s">
        <v>47</v>
      </c>
      <c r="AA717" s="4" t="s">
        <v>47</v>
      </c>
      <c r="AB717" s="4" t="s">
        <v>47</v>
      </c>
      <c r="AC717" s="4" t="s">
        <v>47</v>
      </c>
      <c r="AD717" s="4" t="s">
        <v>47</v>
      </c>
      <c r="AE717" s="4" t="s">
        <v>47</v>
      </c>
      <c r="AF717" s="4" t="s">
        <v>47</v>
      </c>
      <c r="AG717" s="4" t="s">
        <v>47</v>
      </c>
      <c r="AH717" s="4" t="s">
        <v>47</v>
      </c>
      <c r="AI717" s="4" t="s">
        <v>47</v>
      </c>
      <c r="AJ717" s="4" t="s">
        <v>47</v>
      </c>
      <c r="AK717" s="4" t="s">
        <v>47</v>
      </c>
      <c r="AL717" s="4" t="s">
        <v>47</v>
      </c>
      <c r="AM717" s="4" t="s">
        <v>47</v>
      </c>
      <c r="AN717" s="4" t="s">
        <v>47</v>
      </c>
      <c r="AO717" s="4" t="s">
        <v>6878</v>
      </c>
      <c r="AP717" s="4" t="s">
        <v>47</v>
      </c>
      <c r="AQ717" s="4" t="s">
        <v>6879</v>
      </c>
      <c r="AR717" s="4" t="s">
        <v>6880</v>
      </c>
    </row>
    <row r="718" spans="1:44" x14ac:dyDescent="0.2">
      <c r="A718" s="4" t="s">
        <v>284</v>
      </c>
      <c r="B718" s="4" t="s">
        <v>195</v>
      </c>
      <c r="C718">
        <v>0</v>
      </c>
      <c r="F718">
        <v>7</v>
      </c>
      <c r="I718" s="4" t="s">
        <v>6831</v>
      </c>
      <c r="J718" s="4" t="s">
        <v>6832</v>
      </c>
      <c r="K718" s="4" t="s">
        <v>6688</v>
      </c>
      <c r="L718" s="4" t="s">
        <v>6411</v>
      </c>
      <c r="M718">
        <v>25300</v>
      </c>
      <c r="N718" s="4" t="s">
        <v>6676</v>
      </c>
      <c r="O718" s="4" t="s">
        <v>6881</v>
      </c>
      <c r="P718" s="4" t="s">
        <v>6491</v>
      </c>
      <c r="Q718" s="9">
        <v>27199</v>
      </c>
      <c r="R718" s="4" t="s">
        <v>6882</v>
      </c>
      <c r="S718" s="4" t="s">
        <v>6883</v>
      </c>
      <c r="T718" s="4" t="s">
        <v>47</v>
      </c>
      <c r="U718" s="4" t="s">
        <v>92</v>
      </c>
      <c r="V718">
        <v>1974</v>
      </c>
      <c r="W718" s="4" t="s">
        <v>47</v>
      </c>
      <c r="X718" s="4" t="s">
        <v>6884</v>
      </c>
      <c r="Y718" s="4" t="s">
        <v>47</v>
      </c>
      <c r="Z718" s="4" t="s">
        <v>6885</v>
      </c>
      <c r="AA718" s="4" t="s">
        <v>47</v>
      </c>
      <c r="AB718" s="4" t="s">
        <v>47</v>
      </c>
      <c r="AC718" s="4" t="s">
        <v>47</v>
      </c>
      <c r="AD718" s="4" t="s">
        <v>47</v>
      </c>
      <c r="AE718" s="4" t="s">
        <v>47</v>
      </c>
      <c r="AF718" s="4" t="s">
        <v>47</v>
      </c>
      <c r="AG718" s="4" t="s">
        <v>47</v>
      </c>
      <c r="AH718" s="4" t="s">
        <v>47</v>
      </c>
      <c r="AI718" s="4" t="s">
        <v>47</v>
      </c>
      <c r="AJ718" s="4" t="s">
        <v>47</v>
      </c>
      <c r="AK718" s="4" t="s">
        <v>47</v>
      </c>
      <c r="AL718" s="4" t="s">
        <v>47</v>
      </c>
      <c r="AM718" s="4" t="s">
        <v>47</v>
      </c>
      <c r="AN718" s="4" t="s">
        <v>47</v>
      </c>
      <c r="AO718" s="4" t="s">
        <v>6886</v>
      </c>
      <c r="AP718" s="4" t="s">
        <v>47</v>
      </c>
      <c r="AQ718" s="4" t="s">
        <v>6887</v>
      </c>
      <c r="AR718" s="4" t="s">
        <v>6888</v>
      </c>
    </row>
    <row r="719" spans="1:44" x14ac:dyDescent="0.2">
      <c r="A719" s="4" t="s">
        <v>293</v>
      </c>
      <c r="B719" s="4" t="s">
        <v>121</v>
      </c>
      <c r="C719">
        <v>1</v>
      </c>
      <c r="F719">
        <v>1</v>
      </c>
      <c r="I719" s="4" t="s">
        <v>6801</v>
      </c>
      <c r="J719" s="4" t="s">
        <v>4106</v>
      </c>
      <c r="K719" s="4" t="s">
        <v>6823</v>
      </c>
      <c r="L719" s="4" t="s">
        <v>6824</v>
      </c>
      <c r="M719">
        <v>13400</v>
      </c>
      <c r="N719" s="4" t="s">
        <v>6747</v>
      </c>
      <c r="O719" s="4" t="s">
        <v>6889</v>
      </c>
      <c r="P719" s="4" t="s">
        <v>6491</v>
      </c>
      <c r="Q719" s="9">
        <v>27199</v>
      </c>
      <c r="R719" s="4" t="s">
        <v>1046</v>
      </c>
      <c r="S719" s="4" t="s">
        <v>6678</v>
      </c>
      <c r="T719" s="4" t="s">
        <v>47</v>
      </c>
      <c r="U719" s="4" t="s">
        <v>92</v>
      </c>
      <c r="V719">
        <v>1974</v>
      </c>
      <c r="W719" s="4" t="s">
        <v>6890</v>
      </c>
      <c r="X719" s="4" t="s">
        <v>6891</v>
      </c>
      <c r="Y719" s="4" t="s">
        <v>6892</v>
      </c>
      <c r="Z719" s="4" t="s">
        <v>6893</v>
      </c>
      <c r="AA719" s="4" t="s">
        <v>47</v>
      </c>
      <c r="AB719" s="4" t="s">
        <v>47</v>
      </c>
      <c r="AC719" s="4" t="s">
        <v>47</v>
      </c>
      <c r="AD719" s="4" t="s">
        <v>47</v>
      </c>
      <c r="AE719" s="4" t="s">
        <v>47</v>
      </c>
      <c r="AF719" s="4" t="s">
        <v>47</v>
      </c>
      <c r="AG719" s="4" t="s">
        <v>47</v>
      </c>
      <c r="AH719" s="4" t="s">
        <v>47</v>
      </c>
      <c r="AI719" s="4" t="s">
        <v>47</v>
      </c>
      <c r="AJ719" s="4" t="s">
        <v>47</v>
      </c>
      <c r="AK719" s="4" t="s">
        <v>47</v>
      </c>
      <c r="AL719" s="4" t="s">
        <v>47</v>
      </c>
      <c r="AM719" s="4" t="s">
        <v>47</v>
      </c>
      <c r="AN719" s="4" t="s">
        <v>47</v>
      </c>
      <c r="AO719" s="4" t="s">
        <v>6894</v>
      </c>
      <c r="AP719" s="4" t="s">
        <v>6895</v>
      </c>
      <c r="AQ719" s="4" t="s">
        <v>6896</v>
      </c>
      <c r="AR719" s="4" t="s">
        <v>6897</v>
      </c>
    </row>
    <row r="720" spans="1:44" x14ac:dyDescent="0.2">
      <c r="A720" s="4" t="s">
        <v>95</v>
      </c>
      <c r="B720" s="4" t="s">
        <v>116</v>
      </c>
      <c r="C720">
        <v>0</v>
      </c>
      <c r="F720">
        <v>0</v>
      </c>
      <c r="I720" s="4" t="s">
        <v>6674</v>
      </c>
      <c r="J720" s="4" t="s">
        <v>6675</v>
      </c>
      <c r="K720" s="4" t="s">
        <v>6498</v>
      </c>
      <c r="L720" s="4" t="s">
        <v>6761</v>
      </c>
      <c r="M720">
        <v>53700</v>
      </c>
      <c r="N720" s="4" t="s">
        <v>6702</v>
      </c>
      <c r="O720" s="4" t="s">
        <v>6898</v>
      </c>
      <c r="P720" s="4" t="s">
        <v>6491</v>
      </c>
      <c r="Q720" s="9">
        <v>27199</v>
      </c>
      <c r="R720" s="4" t="s">
        <v>869</v>
      </c>
      <c r="S720" s="4" t="s">
        <v>6899</v>
      </c>
      <c r="T720" s="4" t="s">
        <v>47</v>
      </c>
      <c r="U720" s="4" t="s">
        <v>92</v>
      </c>
      <c r="V720">
        <v>1974</v>
      </c>
      <c r="W720" s="4" t="s">
        <v>47</v>
      </c>
      <c r="X720" s="4" t="s">
        <v>47</v>
      </c>
      <c r="Y720" s="4" t="s">
        <v>47</v>
      </c>
      <c r="Z720" s="4" t="s">
        <v>47</v>
      </c>
      <c r="AA720" s="4" t="s">
        <v>47</v>
      </c>
      <c r="AB720" s="4" t="s">
        <v>47</v>
      </c>
      <c r="AC720" s="4" t="s">
        <v>47</v>
      </c>
      <c r="AD720" s="4" t="s">
        <v>47</v>
      </c>
      <c r="AE720" s="4" t="s">
        <v>47</v>
      </c>
      <c r="AF720" s="4" t="s">
        <v>47</v>
      </c>
      <c r="AG720" s="4" t="s">
        <v>47</v>
      </c>
      <c r="AH720" s="4" t="s">
        <v>47</v>
      </c>
      <c r="AI720" s="4" t="s">
        <v>47</v>
      </c>
      <c r="AJ720" s="4" t="s">
        <v>47</v>
      </c>
      <c r="AK720" s="4" t="s">
        <v>47</v>
      </c>
      <c r="AL720" s="4" t="s">
        <v>47</v>
      </c>
      <c r="AM720" s="4" t="s">
        <v>47</v>
      </c>
      <c r="AN720" s="4" t="s">
        <v>47</v>
      </c>
      <c r="AO720" s="4" t="s">
        <v>6900</v>
      </c>
      <c r="AP720" s="4" t="s">
        <v>6901</v>
      </c>
      <c r="AQ720" s="4" t="s">
        <v>6902</v>
      </c>
      <c r="AR720" s="4" t="s">
        <v>6903</v>
      </c>
    </row>
    <row r="721" spans="1:44" x14ac:dyDescent="0.2">
      <c r="A721" s="4" t="s">
        <v>26</v>
      </c>
      <c r="B721" s="4" t="s">
        <v>97</v>
      </c>
      <c r="C721">
        <v>1</v>
      </c>
      <c r="F721">
        <v>1</v>
      </c>
      <c r="I721" s="4" t="s">
        <v>6713</v>
      </c>
      <c r="J721" s="4" t="s">
        <v>6792</v>
      </c>
      <c r="K721" s="4" t="s">
        <v>6811</v>
      </c>
      <c r="L721" s="4" t="s">
        <v>6812</v>
      </c>
      <c r="M721">
        <v>70100</v>
      </c>
      <c r="N721" s="4" t="s">
        <v>6786</v>
      </c>
      <c r="O721" s="4" t="s">
        <v>6904</v>
      </c>
      <c r="P721" s="4" t="s">
        <v>6491</v>
      </c>
      <c r="Q721" s="9">
        <v>27199</v>
      </c>
      <c r="R721" s="4" t="s">
        <v>1046</v>
      </c>
      <c r="S721" s="4" t="s">
        <v>6763</v>
      </c>
      <c r="T721" s="4" t="s">
        <v>47</v>
      </c>
      <c r="U721" s="4" t="s">
        <v>92</v>
      </c>
      <c r="V721">
        <v>1974</v>
      </c>
      <c r="W721" s="4" t="s">
        <v>6905</v>
      </c>
      <c r="X721" s="4" t="s">
        <v>47</v>
      </c>
      <c r="Y721" s="4" t="s">
        <v>6906</v>
      </c>
      <c r="Z721" s="4" t="s">
        <v>47</v>
      </c>
      <c r="AA721" s="4" t="s">
        <v>47</v>
      </c>
      <c r="AB721" s="4" t="s">
        <v>6907</v>
      </c>
      <c r="AC721" s="4" t="s">
        <v>47</v>
      </c>
      <c r="AD721" s="4" t="s">
        <v>47</v>
      </c>
      <c r="AE721" s="4" t="s">
        <v>47</v>
      </c>
      <c r="AF721" s="4" t="s">
        <v>47</v>
      </c>
      <c r="AG721" s="4" t="s">
        <v>47</v>
      </c>
      <c r="AH721" s="4" t="s">
        <v>47</v>
      </c>
      <c r="AI721" s="4" t="s">
        <v>47</v>
      </c>
      <c r="AJ721" s="4" t="s">
        <v>47</v>
      </c>
      <c r="AK721" s="4" t="s">
        <v>47</v>
      </c>
      <c r="AL721" s="4" t="s">
        <v>47</v>
      </c>
      <c r="AM721" s="4" t="s">
        <v>47</v>
      </c>
      <c r="AN721" s="4" t="s">
        <v>47</v>
      </c>
      <c r="AO721" s="4" t="s">
        <v>6908</v>
      </c>
      <c r="AP721" s="4" t="s">
        <v>6909</v>
      </c>
      <c r="AQ721" s="4" t="s">
        <v>6910</v>
      </c>
      <c r="AR721" s="4" t="s">
        <v>6911</v>
      </c>
    </row>
    <row r="722" spans="1:44" x14ac:dyDescent="0.2">
      <c r="A722" s="4" t="s">
        <v>179</v>
      </c>
      <c r="B722" s="4" t="s">
        <v>104</v>
      </c>
      <c r="C722">
        <v>0</v>
      </c>
      <c r="F722">
        <v>3</v>
      </c>
      <c r="I722" s="4" t="s">
        <v>6854</v>
      </c>
      <c r="J722" s="4" t="s">
        <v>6855</v>
      </c>
      <c r="K722" s="4" t="s">
        <v>6398</v>
      </c>
      <c r="L722" s="4" t="s">
        <v>4912</v>
      </c>
      <c r="M722">
        <v>53300</v>
      </c>
      <c r="N722" s="4" t="s">
        <v>2952</v>
      </c>
      <c r="O722" s="4" t="s">
        <v>6912</v>
      </c>
      <c r="P722" s="4" t="s">
        <v>6491</v>
      </c>
      <c r="Q722" s="9">
        <v>27198</v>
      </c>
      <c r="R722" s="4" t="s">
        <v>973</v>
      </c>
      <c r="S722" s="4" t="s">
        <v>6913</v>
      </c>
      <c r="T722" s="4" t="s">
        <v>47</v>
      </c>
      <c r="U722" s="4" t="s">
        <v>92</v>
      </c>
      <c r="V722">
        <v>1974</v>
      </c>
      <c r="W722" s="4" t="s">
        <v>47</v>
      </c>
      <c r="X722" s="4" t="s">
        <v>6914</v>
      </c>
      <c r="Y722" s="4" t="s">
        <v>47</v>
      </c>
      <c r="Z722" s="4" t="s">
        <v>6915</v>
      </c>
      <c r="AA722" s="4" t="s">
        <v>47</v>
      </c>
      <c r="AB722" s="4" t="s">
        <v>47</v>
      </c>
      <c r="AC722" s="4" t="s">
        <v>47</v>
      </c>
      <c r="AD722" s="4" t="s">
        <v>47</v>
      </c>
      <c r="AE722" s="4" t="s">
        <v>47</v>
      </c>
      <c r="AF722" s="4" t="s">
        <v>47</v>
      </c>
      <c r="AG722" s="4" t="s">
        <v>47</v>
      </c>
      <c r="AH722" s="4" t="s">
        <v>47</v>
      </c>
      <c r="AI722" s="4" t="s">
        <v>47</v>
      </c>
      <c r="AJ722" s="4" t="s">
        <v>47</v>
      </c>
      <c r="AK722" s="4" t="s">
        <v>47</v>
      </c>
      <c r="AL722" s="4" t="s">
        <v>47</v>
      </c>
      <c r="AM722" s="4" t="s">
        <v>47</v>
      </c>
      <c r="AN722" s="4" t="s">
        <v>47</v>
      </c>
      <c r="AO722" s="4" t="s">
        <v>6916</v>
      </c>
      <c r="AP722" s="4" t="s">
        <v>47</v>
      </c>
      <c r="AQ722" s="4" t="s">
        <v>6917</v>
      </c>
      <c r="AR722" s="4" t="s">
        <v>6918</v>
      </c>
    </row>
    <row r="723" spans="1:44" x14ac:dyDescent="0.2">
      <c r="A723" s="4" t="s">
        <v>4991</v>
      </c>
      <c r="B723" s="4" t="s">
        <v>6864</v>
      </c>
      <c r="C723">
        <v>9</v>
      </c>
      <c r="F723">
        <v>0</v>
      </c>
      <c r="I723" s="4" t="s">
        <v>6112</v>
      </c>
      <c r="J723" s="4" t="s">
        <v>6726</v>
      </c>
      <c r="K723" s="4" t="s">
        <v>6865</v>
      </c>
      <c r="L723" s="4" t="s">
        <v>6866</v>
      </c>
      <c r="M723">
        <v>31700</v>
      </c>
      <c r="N723" s="4" t="s">
        <v>6717</v>
      </c>
      <c r="O723" s="4" t="s">
        <v>6919</v>
      </c>
      <c r="P723" s="4" t="s">
        <v>6491</v>
      </c>
      <c r="Q723" s="9">
        <v>27198</v>
      </c>
      <c r="R723" s="4" t="s">
        <v>6920</v>
      </c>
      <c r="S723" s="4" t="s">
        <v>6921</v>
      </c>
      <c r="T723" s="4" t="s">
        <v>47</v>
      </c>
      <c r="U723" s="4" t="s">
        <v>92</v>
      </c>
      <c r="V723">
        <v>1974</v>
      </c>
      <c r="W723" s="4" t="s">
        <v>6922</v>
      </c>
      <c r="X723" s="4" t="s">
        <v>47</v>
      </c>
      <c r="Y723" s="4" t="s">
        <v>6923</v>
      </c>
      <c r="Z723" s="4" t="s">
        <v>47</v>
      </c>
      <c r="AA723" s="4" t="s">
        <v>47</v>
      </c>
      <c r="AB723" s="4" t="s">
        <v>47</v>
      </c>
      <c r="AC723" s="4" t="s">
        <v>47</v>
      </c>
      <c r="AD723" s="4" t="s">
        <v>47</v>
      </c>
      <c r="AE723" s="4" t="s">
        <v>47</v>
      </c>
      <c r="AF723" s="4" t="s">
        <v>47</v>
      </c>
      <c r="AG723" s="4" t="s">
        <v>47</v>
      </c>
      <c r="AH723" s="4" t="s">
        <v>47</v>
      </c>
      <c r="AI723" s="4" t="s">
        <v>47</v>
      </c>
      <c r="AJ723" s="4" t="s">
        <v>47</v>
      </c>
      <c r="AK723" s="4" t="s">
        <v>47</v>
      </c>
      <c r="AL723" s="4" t="s">
        <v>6924</v>
      </c>
      <c r="AM723" s="4" t="s">
        <v>47</v>
      </c>
      <c r="AN723" s="4" t="s">
        <v>47</v>
      </c>
      <c r="AO723" s="4" t="s">
        <v>6925</v>
      </c>
      <c r="AP723" s="4" t="s">
        <v>47</v>
      </c>
      <c r="AQ723" s="4" t="s">
        <v>47</v>
      </c>
      <c r="AR723" s="4" t="s">
        <v>6926</v>
      </c>
    </row>
    <row r="724" spans="1:44" x14ac:dyDescent="0.2">
      <c r="A724" s="4" t="s">
        <v>113</v>
      </c>
      <c r="B724" s="4" t="s">
        <v>6712</v>
      </c>
      <c r="C724">
        <v>1</v>
      </c>
      <c r="F724">
        <v>1</v>
      </c>
      <c r="I724" s="4" t="s">
        <v>6856</v>
      </c>
      <c r="J724" s="4" t="s">
        <v>6857</v>
      </c>
      <c r="K724" s="4" t="s">
        <v>6715</v>
      </c>
      <c r="L724" s="4" t="s">
        <v>6716</v>
      </c>
      <c r="M724">
        <v>28300</v>
      </c>
      <c r="N724" s="4" t="s">
        <v>6858</v>
      </c>
      <c r="O724" s="4" t="s">
        <v>6927</v>
      </c>
      <c r="P724" s="4" t="s">
        <v>6491</v>
      </c>
      <c r="Q724" s="9">
        <v>27198</v>
      </c>
      <c r="R724" s="4" t="s">
        <v>1046</v>
      </c>
      <c r="S724" s="4" t="s">
        <v>6690</v>
      </c>
      <c r="T724" s="4" t="s">
        <v>47</v>
      </c>
      <c r="U724" s="4" t="s">
        <v>92</v>
      </c>
      <c r="V724">
        <v>1974</v>
      </c>
      <c r="W724" s="4" t="s">
        <v>6928</v>
      </c>
      <c r="X724" s="4" t="s">
        <v>6929</v>
      </c>
      <c r="Y724" s="4" t="s">
        <v>6930</v>
      </c>
      <c r="Z724" s="4" t="s">
        <v>6931</v>
      </c>
      <c r="AA724" s="4" t="s">
        <v>47</v>
      </c>
      <c r="AB724" s="4" t="s">
        <v>47</v>
      </c>
      <c r="AC724" s="4" t="s">
        <v>47</v>
      </c>
      <c r="AD724" s="4" t="s">
        <v>47</v>
      </c>
      <c r="AE724" s="4" t="s">
        <v>47</v>
      </c>
      <c r="AF724" s="4" t="s">
        <v>47</v>
      </c>
      <c r="AG724" s="4" t="s">
        <v>47</v>
      </c>
      <c r="AH724" s="4" t="s">
        <v>47</v>
      </c>
      <c r="AI724" s="4" t="s">
        <v>47</v>
      </c>
      <c r="AJ724" s="4" t="s">
        <v>47</v>
      </c>
      <c r="AK724" s="4" t="s">
        <v>47</v>
      </c>
      <c r="AL724" s="4" t="s">
        <v>47</v>
      </c>
      <c r="AM724" s="4" t="s">
        <v>47</v>
      </c>
      <c r="AN724" s="4" t="s">
        <v>47</v>
      </c>
      <c r="AO724" s="4" t="s">
        <v>6932</v>
      </c>
      <c r="AP724" s="4" t="s">
        <v>6933</v>
      </c>
      <c r="AQ724" s="4" t="s">
        <v>6934</v>
      </c>
      <c r="AR724" s="4" t="s">
        <v>6935</v>
      </c>
    </row>
    <row r="725" spans="1:44" x14ac:dyDescent="0.2">
      <c r="A725" s="4" t="s">
        <v>205</v>
      </c>
      <c r="B725" s="4" t="s">
        <v>12</v>
      </c>
      <c r="C725">
        <v>0</v>
      </c>
      <c r="F725">
        <v>0</v>
      </c>
      <c r="I725" s="4" t="s">
        <v>6843</v>
      </c>
      <c r="J725" s="4" t="s">
        <v>6844</v>
      </c>
      <c r="K725" s="4" t="s">
        <v>6686</v>
      </c>
      <c r="L725" s="4" t="s">
        <v>6867</v>
      </c>
      <c r="M725">
        <v>62000</v>
      </c>
      <c r="N725" s="4" t="s">
        <v>6697</v>
      </c>
      <c r="O725" s="4" t="s">
        <v>6936</v>
      </c>
      <c r="P725" s="4" t="s">
        <v>6491</v>
      </c>
      <c r="Q725" s="9">
        <v>27198</v>
      </c>
      <c r="R725" s="4" t="s">
        <v>869</v>
      </c>
      <c r="S725" s="4" t="s">
        <v>6937</v>
      </c>
      <c r="T725" s="4" t="s">
        <v>47</v>
      </c>
      <c r="U725" s="4" t="s">
        <v>92</v>
      </c>
      <c r="V725">
        <v>1974</v>
      </c>
      <c r="W725" s="4" t="s">
        <v>47</v>
      </c>
      <c r="X725" s="4" t="s">
        <v>47</v>
      </c>
      <c r="Y725" s="4" t="s">
        <v>47</v>
      </c>
      <c r="Z725" s="4" t="s">
        <v>47</v>
      </c>
      <c r="AA725" s="4" t="s">
        <v>47</v>
      </c>
      <c r="AB725" s="4" t="s">
        <v>47</v>
      </c>
      <c r="AC725" s="4" t="s">
        <v>47</v>
      </c>
      <c r="AD725" s="4" t="s">
        <v>47</v>
      </c>
      <c r="AE725" s="4" t="s">
        <v>47</v>
      </c>
      <c r="AF725" s="4" t="s">
        <v>47</v>
      </c>
      <c r="AG725" s="4" t="s">
        <v>47</v>
      </c>
      <c r="AH725" s="4" t="s">
        <v>47</v>
      </c>
      <c r="AI725" s="4" t="s">
        <v>47</v>
      </c>
      <c r="AJ725" s="4" t="s">
        <v>47</v>
      </c>
      <c r="AK725" s="4" t="s">
        <v>47</v>
      </c>
      <c r="AL725" s="4" t="s">
        <v>47</v>
      </c>
      <c r="AM725" s="4" t="s">
        <v>47</v>
      </c>
      <c r="AN725" s="4" t="s">
        <v>47</v>
      </c>
      <c r="AO725" s="4" t="s">
        <v>47</v>
      </c>
      <c r="AP725" s="4" t="s">
        <v>6938</v>
      </c>
      <c r="AQ725" s="4" t="s">
        <v>47</v>
      </c>
      <c r="AR725" s="4" t="s">
        <v>6939</v>
      </c>
    </row>
    <row r="726" spans="1:44" x14ac:dyDescent="0.2">
      <c r="A726" s="4" t="s">
        <v>121</v>
      </c>
      <c r="B726" s="4" t="s">
        <v>95</v>
      </c>
      <c r="C726">
        <v>0</v>
      </c>
      <c r="F726">
        <v>2</v>
      </c>
      <c r="I726" s="4" t="s">
        <v>6823</v>
      </c>
      <c r="J726" s="4" t="s">
        <v>6940</v>
      </c>
      <c r="K726" s="4" t="s">
        <v>6674</v>
      </c>
      <c r="L726" s="4" t="s">
        <v>6675</v>
      </c>
      <c r="M726">
        <v>55100</v>
      </c>
      <c r="N726" s="4" t="s">
        <v>6747</v>
      </c>
      <c r="O726" s="4" t="s">
        <v>6941</v>
      </c>
      <c r="P726" s="4" t="s">
        <v>6491</v>
      </c>
      <c r="Q726" s="9">
        <v>27195</v>
      </c>
      <c r="R726" s="4" t="s">
        <v>824</v>
      </c>
      <c r="S726" s="4" t="s">
        <v>6046</v>
      </c>
      <c r="T726" s="4" t="s">
        <v>47</v>
      </c>
      <c r="U726" s="4" t="s">
        <v>92</v>
      </c>
      <c r="V726">
        <v>1974</v>
      </c>
      <c r="W726" s="4" t="s">
        <v>47</v>
      </c>
      <c r="X726" s="4" t="s">
        <v>6942</v>
      </c>
      <c r="Y726" s="4" t="s">
        <v>47</v>
      </c>
      <c r="Z726" s="4" t="s">
        <v>6943</v>
      </c>
      <c r="AA726" s="4" t="s">
        <v>47</v>
      </c>
      <c r="AB726" s="4" t="s">
        <v>47</v>
      </c>
      <c r="AC726" s="4" t="s">
        <v>47</v>
      </c>
      <c r="AD726" s="4" t="s">
        <v>47</v>
      </c>
      <c r="AE726" s="4" t="s">
        <v>47</v>
      </c>
      <c r="AF726" s="4" t="s">
        <v>47</v>
      </c>
      <c r="AG726" s="4" t="s">
        <v>47</v>
      </c>
      <c r="AH726" s="4" t="s">
        <v>47</v>
      </c>
      <c r="AI726" s="4" t="s">
        <v>47</v>
      </c>
      <c r="AJ726" s="4" t="s">
        <v>47</v>
      </c>
      <c r="AK726" s="4" t="s">
        <v>6944</v>
      </c>
      <c r="AL726" s="4" t="s">
        <v>47</v>
      </c>
      <c r="AM726" s="4" t="s">
        <v>47</v>
      </c>
      <c r="AN726" s="4" t="s">
        <v>47</v>
      </c>
      <c r="AO726" s="4" t="s">
        <v>6945</v>
      </c>
      <c r="AP726" s="4" t="s">
        <v>47</v>
      </c>
      <c r="AQ726" s="4" t="s">
        <v>6946</v>
      </c>
      <c r="AR726" s="4" t="s">
        <v>47</v>
      </c>
    </row>
    <row r="727" spans="1:44" x14ac:dyDescent="0.2">
      <c r="A727" s="4" t="s">
        <v>116</v>
      </c>
      <c r="B727" s="4" t="s">
        <v>293</v>
      </c>
      <c r="C727">
        <v>0</v>
      </c>
      <c r="F727">
        <v>0</v>
      </c>
      <c r="I727" s="4" t="s">
        <v>6498</v>
      </c>
      <c r="J727" s="4" t="s">
        <v>6761</v>
      </c>
      <c r="K727" s="4" t="s">
        <v>6801</v>
      </c>
      <c r="L727" s="4" t="s">
        <v>4106</v>
      </c>
      <c r="M727">
        <v>23800</v>
      </c>
      <c r="N727" s="4" t="s">
        <v>6727</v>
      </c>
      <c r="O727" s="4" t="s">
        <v>6947</v>
      </c>
      <c r="P727" s="4" t="s">
        <v>6491</v>
      </c>
      <c r="Q727" s="9">
        <v>27195</v>
      </c>
      <c r="R727" s="4" t="s">
        <v>869</v>
      </c>
      <c r="S727" s="4" t="s">
        <v>6948</v>
      </c>
      <c r="T727" s="4" t="s">
        <v>47</v>
      </c>
      <c r="U727" s="4" t="s">
        <v>92</v>
      </c>
      <c r="V727">
        <v>1974</v>
      </c>
      <c r="W727" s="4" t="s">
        <v>47</v>
      </c>
      <c r="X727" s="4" t="s">
        <v>47</v>
      </c>
      <c r="Y727" s="4" t="s">
        <v>47</v>
      </c>
      <c r="Z727" s="4" t="s">
        <v>47</v>
      </c>
      <c r="AA727" s="4" t="s">
        <v>47</v>
      </c>
      <c r="AB727" s="4" t="s">
        <v>47</v>
      </c>
      <c r="AC727" s="4" t="s">
        <v>47</v>
      </c>
      <c r="AD727" s="4" t="s">
        <v>47</v>
      </c>
      <c r="AE727" s="4" t="s">
        <v>47</v>
      </c>
      <c r="AF727" s="4" t="s">
        <v>47</v>
      </c>
      <c r="AG727" s="4" t="s">
        <v>47</v>
      </c>
      <c r="AH727" s="4" t="s">
        <v>47</v>
      </c>
      <c r="AI727" s="4" t="s">
        <v>47</v>
      </c>
      <c r="AJ727" s="4" t="s">
        <v>47</v>
      </c>
      <c r="AK727" s="4" t="s">
        <v>47</v>
      </c>
      <c r="AL727" s="4" t="s">
        <v>47</v>
      </c>
      <c r="AM727" s="4" t="s">
        <v>47</v>
      </c>
      <c r="AN727" s="4" t="s">
        <v>47</v>
      </c>
      <c r="AO727" s="4" t="s">
        <v>47</v>
      </c>
      <c r="AP727" s="4" t="s">
        <v>47</v>
      </c>
      <c r="AQ727" s="4" t="s">
        <v>6949</v>
      </c>
      <c r="AR727" s="4" t="s">
        <v>6950</v>
      </c>
    </row>
    <row r="728" spans="1:44" x14ac:dyDescent="0.2">
      <c r="A728" s="4" t="s">
        <v>97</v>
      </c>
      <c r="B728" s="4" t="s">
        <v>284</v>
      </c>
      <c r="C728">
        <v>3</v>
      </c>
      <c r="F728">
        <v>1</v>
      </c>
      <c r="I728" s="4" t="s">
        <v>6811</v>
      </c>
      <c r="J728" s="4" t="s">
        <v>6812</v>
      </c>
      <c r="K728" s="4" t="s">
        <v>6831</v>
      </c>
      <c r="L728" s="4" t="s">
        <v>6832</v>
      </c>
      <c r="M728">
        <v>53000</v>
      </c>
      <c r="N728" s="4" t="s">
        <v>6676</v>
      </c>
      <c r="O728" s="4" t="s">
        <v>6951</v>
      </c>
      <c r="P728" s="4" t="s">
        <v>6491</v>
      </c>
      <c r="Q728" s="9">
        <v>27195</v>
      </c>
      <c r="R728" s="4" t="s">
        <v>770</v>
      </c>
      <c r="S728" s="4" t="s">
        <v>6952</v>
      </c>
      <c r="T728" s="4" t="s">
        <v>47</v>
      </c>
      <c r="U728" s="4" t="s">
        <v>92</v>
      </c>
      <c r="V728">
        <v>1974</v>
      </c>
      <c r="W728" s="4" t="s">
        <v>6953</v>
      </c>
      <c r="X728" s="4" t="s">
        <v>6954</v>
      </c>
      <c r="Y728" s="4" t="s">
        <v>6955</v>
      </c>
      <c r="Z728" s="4" t="s">
        <v>6956</v>
      </c>
      <c r="AA728" s="4" t="s">
        <v>47</v>
      </c>
      <c r="AB728" s="4" t="s">
        <v>47</v>
      </c>
      <c r="AC728" s="4" t="s">
        <v>47</v>
      </c>
      <c r="AD728" s="4" t="s">
        <v>47</v>
      </c>
      <c r="AE728" s="4" t="s">
        <v>47</v>
      </c>
      <c r="AF728" s="4" t="s">
        <v>47</v>
      </c>
      <c r="AG728" s="4" t="s">
        <v>47</v>
      </c>
      <c r="AH728" s="4" t="s">
        <v>47</v>
      </c>
      <c r="AI728" s="4" t="s">
        <v>47</v>
      </c>
      <c r="AJ728" s="4" t="s">
        <v>47</v>
      </c>
      <c r="AK728" s="4" t="s">
        <v>47</v>
      </c>
      <c r="AL728" s="4" t="s">
        <v>47</v>
      </c>
      <c r="AM728" s="4" t="s">
        <v>47</v>
      </c>
      <c r="AN728" s="4" t="s">
        <v>47</v>
      </c>
      <c r="AO728" s="4" t="s">
        <v>47</v>
      </c>
      <c r="AP728" s="4" t="s">
        <v>6886</v>
      </c>
      <c r="AQ728" s="4" t="s">
        <v>6957</v>
      </c>
      <c r="AR728" s="4" t="s">
        <v>6958</v>
      </c>
    </row>
    <row r="729" spans="1:44" x14ac:dyDescent="0.2">
      <c r="A729" s="4" t="s">
        <v>195</v>
      </c>
      <c r="B729" s="4" t="s">
        <v>26</v>
      </c>
      <c r="C729">
        <v>3</v>
      </c>
      <c r="F729">
        <v>2</v>
      </c>
      <c r="I729" s="4" t="s">
        <v>6688</v>
      </c>
      <c r="J729" s="4" t="s">
        <v>6411</v>
      </c>
      <c r="K729" s="4" t="s">
        <v>6713</v>
      </c>
      <c r="L729" s="4" t="s">
        <v>6792</v>
      </c>
      <c r="M729">
        <v>32700</v>
      </c>
      <c r="N729" s="4" t="s">
        <v>6786</v>
      </c>
      <c r="O729" s="4" t="s">
        <v>6959</v>
      </c>
      <c r="P729" s="4" t="s">
        <v>6491</v>
      </c>
      <c r="Q729" s="9">
        <v>27195</v>
      </c>
      <c r="R729" s="4" t="s">
        <v>1130</v>
      </c>
      <c r="S729" s="4" t="s">
        <v>6615</v>
      </c>
      <c r="T729" s="4" t="s">
        <v>47</v>
      </c>
      <c r="U729" s="4" t="s">
        <v>92</v>
      </c>
      <c r="V729">
        <v>1974</v>
      </c>
      <c r="W729" s="4" t="s">
        <v>6960</v>
      </c>
      <c r="X729" s="4" t="s">
        <v>6961</v>
      </c>
      <c r="Y729" s="4" t="s">
        <v>6962</v>
      </c>
      <c r="Z729" s="4" t="s">
        <v>6963</v>
      </c>
      <c r="AA729" s="4" t="s">
        <v>47</v>
      </c>
      <c r="AB729" s="4" t="s">
        <v>47</v>
      </c>
      <c r="AC729" s="4" t="s">
        <v>47</v>
      </c>
      <c r="AD729" s="4" t="s">
        <v>47</v>
      </c>
      <c r="AE729" s="4" t="s">
        <v>47</v>
      </c>
      <c r="AF729" s="4" t="s">
        <v>47</v>
      </c>
      <c r="AG729" s="4" t="s">
        <v>47</v>
      </c>
      <c r="AH729" s="4" t="s">
        <v>47</v>
      </c>
      <c r="AI729" s="4" t="s">
        <v>47</v>
      </c>
      <c r="AJ729" s="4" t="s">
        <v>47</v>
      </c>
      <c r="AK729" s="4" t="s">
        <v>47</v>
      </c>
      <c r="AL729" s="4" t="s">
        <v>47</v>
      </c>
      <c r="AM729" s="4" t="s">
        <v>47</v>
      </c>
      <c r="AN729" s="4" t="s">
        <v>47</v>
      </c>
      <c r="AO729" s="4" t="s">
        <v>47</v>
      </c>
      <c r="AP729" s="4" t="s">
        <v>6964</v>
      </c>
      <c r="AQ729" s="4" t="s">
        <v>6965</v>
      </c>
      <c r="AR729" s="4" t="s">
        <v>6966</v>
      </c>
    </row>
    <row r="730" spans="1:44" x14ac:dyDescent="0.2">
      <c r="A730" s="4" t="s">
        <v>104</v>
      </c>
      <c r="B730" s="4" t="s">
        <v>113</v>
      </c>
      <c r="C730">
        <v>1</v>
      </c>
      <c r="F730">
        <v>0</v>
      </c>
      <c r="I730" s="4" t="s">
        <v>6398</v>
      </c>
      <c r="J730" s="4" t="s">
        <v>4912</v>
      </c>
      <c r="K730" s="4" t="s">
        <v>6856</v>
      </c>
      <c r="L730" s="4" t="s">
        <v>6857</v>
      </c>
      <c r="M730">
        <v>81100</v>
      </c>
      <c r="N730" s="4" t="s">
        <v>6858</v>
      </c>
      <c r="O730" s="4" t="s">
        <v>6967</v>
      </c>
      <c r="P730" s="4" t="s">
        <v>6491</v>
      </c>
      <c r="Q730" s="9">
        <v>27194</v>
      </c>
      <c r="R730" s="4" t="s">
        <v>652</v>
      </c>
      <c r="S730" s="4" t="s">
        <v>6968</v>
      </c>
      <c r="T730" s="4" t="s">
        <v>47</v>
      </c>
      <c r="U730" s="4" t="s">
        <v>92</v>
      </c>
      <c r="V730">
        <v>1974</v>
      </c>
      <c r="W730" s="4" t="s">
        <v>6969</v>
      </c>
      <c r="X730" s="4" t="s">
        <v>47</v>
      </c>
      <c r="Y730" s="4" t="s">
        <v>6970</v>
      </c>
      <c r="Z730" s="4" t="s">
        <v>47</v>
      </c>
      <c r="AA730" s="4" t="s">
        <v>47</v>
      </c>
      <c r="AB730" s="4" t="s">
        <v>47</v>
      </c>
      <c r="AC730" s="4" t="s">
        <v>47</v>
      </c>
      <c r="AD730" s="4" t="s">
        <v>47</v>
      </c>
      <c r="AE730" s="4" t="s">
        <v>47</v>
      </c>
      <c r="AF730" s="4" t="s">
        <v>47</v>
      </c>
      <c r="AG730" s="4" t="s">
        <v>47</v>
      </c>
      <c r="AH730" s="4" t="s">
        <v>47</v>
      </c>
      <c r="AI730" s="4" t="s">
        <v>47</v>
      </c>
      <c r="AJ730" s="4" t="s">
        <v>47</v>
      </c>
      <c r="AK730" s="4" t="s">
        <v>47</v>
      </c>
      <c r="AL730" s="4" t="s">
        <v>6971</v>
      </c>
      <c r="AM730" s="4" t="s">
        <v>47</v>
      </c>
      <c r="AN730" s="4" t="s">
        <v>47</v>
      </c>
      <c r="AO730" s="4" t="s">
        <v>47</v>
      </c>
      <c r="AP730" s="4" t="s">
        <v>6972</v>
      </c>
      <c r="AQ730" s="4" t="s">
        <v>6973</v>
      </c>
      <c r="AR730" s="4" t="s">
        <v>6974</v>
      </c>
    </row>
    <row r="731" spans="1:44" x14ac:dyDescent="0.2">
      <c r="A731" s="4" t="s">
        <v>6712</v>
      </c>
      <c r="B731" s="4" t="s">
        <v>179</v>
      </c>
      <c r="C731">
        <v>2</v>
      </c>
      <c r="F731">
        <v>0</v>
      </c>
      <c r="I731" s="4" t="s">
        <v>6715</v>
      </c>
      <c r="J731" s="4" t="s">
        <v>6716</v>
      </c>
      <c r="K731" s="4" t="s">
        <v>6854</v>
      </c>
      <c r="L731" s="4" t="s">
        <v>6855</v>
      </c>
      <c r="M731">
        <v>17000</v>
      </c>
      <c r="N731" s="4" t="s">
        <v>2952</v>
      </c>
      <c r="O731" s="4" t="s">
        <v>6975</v>
      </c>
      <c r="P731" s="4" t="s">
        <v>6491</v>
      </c>
      <c r="Q731" s="9">
        <v>27194</v>
      </c>
      <c r="R731" s="4" t="s">
        <v>630</v>
      </c>
      <c r="S731" s="4" t="s">
        <v>6578</v>
      </c>
      <c r="T731" s="4" t="s">
        <v>47</v>
      </c>
      <c r="U731" s="4" t="s">
        <v>92</v>
      </c>
      <c r="V731">
        <v>1974</v>
      </c>
      <c r="W731" s="4" t="s">
        <v>6976</v>
      </c>
      <c r="X731" s="4" t="s">
        <v>47</v>
      </c>
      <c r="Y731" s="4" t="s">
        <v>6977</v>
      </c>
      <c r="Z731" s="4" t="s">
        <v>47</v>
      </c>
      <c r="AA731" s="4" t="s">
        <v>6978</v>
      </c>
      <c r="AB731" s="4" t="s">
        <v>47</v>
      </c>
      <c r="AC731" s="4" t="s">
        <v>47</v>
      </c>
      <c r="AD731" s="4" t="s">
        <v>47</v>
      </c>
      <c r="AE731" s="4" t="s">
        <v>47</v>
      </c>
      <c r="AF731" s="4" t="s">
        <v>47</v>
      </c>
      <c r="AG731" s="4" t="s">
        <v>47</v>
      </c>
      <c r="AH731" s="4" t="s">
        <v>47</v>
      </c>
      <c r="AI731" s="4" t="s">
        <v>47</v>
      </c>
      <c r="AJ731" s="4" t="s">
        <v>47</v>
      </c>
      <c r="AK731" s="4" t="s">
        <v>47</v>
      </c>
      <c r="AL731" s="4" t="s">
        <v>47</v>
      </c>
      <c r="AM731" s="4" t="s">
        <v>47</v>
      </c>
      <c r="AN731" s="4" t="s">
        <v>47</v>
      </c>
      <c r="AO731" s="4" t="s">
        <v>6979</v>
      </c>
      <c r="AP731" s="4" t="s">
        <v>47</v>
      </c>
      <c r="AQ731" s="4" t="s">
        <v>6980</v>
      </c>
      <c r="AR731" s="4" t="s">
        <v>47</v>
      </c>
    </row>
    <row r="732" spans="1:44" x14ac:dyDescent="0.2">
      <c r="A732" s="4" t="s">
        <v>6864</v>
      </c>
      <c r="B732" s="4" t="s">
        <v>205</v>
      </c>
      <c r="C732">
        <v>0</v>
      </c>
      <c r="F732">
        <v>2</v>
      </c>
      <c r="I732" s="4" t="s">
        <v>6865</v>
      </c>
      <c r="J732" s="4" t="s">
        <v>6866</v>
      </c>
      <c r="K732" s="4" t="s">
        <v>6843</v>
      </c>
      <c r="L732" s="4" t="s">
        <v>6844</v>
      </c>
      <c r="M732">
        <v>27000</v>
      </c>
      <c r="N732" s="4" t="s">
        <v>6702</v>
      </c>
      <c r="O732" s="4" t="s">
        <v>6981</v>
      </c>
      <c r="P732" s="4" t="s">
        <v>6491</v>
      </c>
      <c r="Q732" s="9">
        <v>27194</v>
      </c>
      <c r="R732" s="4" t="s">
        <v>824</v>
      </c>
      <c r="S732" s="4" t="s">
        <v>6982</v>
      </c>
      <c r="T732" s="4" t="s">
        <v>47</v>
      </c>
      <c r="U732" s="4" t="s">
        <v>92</v>
      </c>
      <c r="V732">
        <v>1974</v>
      </c>
      <c r="W732" s="4" t="s">
        <v>47</v>
      </c>
      <c r="X732" s="4" t="s">
        <v>6983</v>
      </c>
      <c r="Y732" s="4" t="s">
        <v>47</v>
      </c>
      <c r="Z732" s="4" t="s">
        <v>6984</v>
      </c>
      <c r="AA732" s="4" t="s">
        <v>47</v>
      </c>
      <c r="AB732" s="4" t="s">
        <v>47</v>
      </c>
      <c r="AC732" s="4" t="s">
        <v>47</v>
      </c>
      <c r="AD732" s="4" t="s">
        <v>47</v>
      </c>
      <c r="AE732" s="4" t="s">
        <v>47</v>
      </c>
      <c r="AF732" s="4" t="s">
        <v>47</v>
      </c>
      <c r="AG732" s="4" t="s">
        <v>47</v>
      </c>
      <c r="AH732" s="4" t="s">
        <v>47</v>
      </c>
      <c r="AI732" s="4" t="s">
        <v>47</v>
      </c>
      <c r="AJ732" s="4" t="s">
        <v>47</v>
      </c>
      <c r="AK732" s="4" t="s">
        <v>47</v>
      </c>
      <c r="AL732" s="4" t="s">
        <v>47</v>
      </c>
      <c r="AM732" s="4" t="s">
        <v>47</v>
      </c>
      <c r="AN732" s="4" t="s">
        <v>47</v>
      </c>
      <c r="AO732" s="4" t="s">
        <v>6985</v>
      </c>
      <c r="AP732" s="4" t="s">
        <v>6986</v>
      </c>
      <c r="AQ732" s="4" t="s">
        <v>6987</v>
      </c>
      <c r="AR732" s="4" t="s">
        <v>6988</v>
      </c>
    </row>
    <row r="733" spans="1:44" x14ac:dyDescent="0.2">
      <c r="A733" s="4" t="s">
        <v>12</v>
      </c>
      <c r="B733" s="4" t="s">
        <v>4991</v>
      </c>
      <c r="C733">
        <v>0</v>
      </c>
      <c r="F733">
        <v>0</v>
      </c>
      <c r="I733" s="4" t="s">
        <v>6686</v>
      </c>
      <c r="J733" s="4" t="s">
        <v>6867</v>
      </c>
      <c r="K733" s="4" t="s">
        <v>6112</v>
      </c>
      <c r="L733" s="4" t="s">
        <v>6726</v>
      </c>
      <c r="M733">
        <v>62000</v>
      </c>
      <c r="N733" s="4" t="s">
        <v>6697</v>
      </c>
      <c r="O733" s="4" t="s">
        <v>6989</v>
      </c>
      <c r="P733" s="4" t="s">
        <v>6491</v>
      </c>
      <c r="Q733" s="9">
        <v>27193</v>
      </c>
      <c r="R733" s="4" t="s">
        <v>869</v>
      </c>
      <c r="S733" s="4" t="s">
        <v>6757</v>
      </c>
      <c r="T733" s="4" t="s">
        <v>47</v>
      </c>
      <c r="U733" s="4" t="s">
        <v>92</v>
      </c>
      <c r="V733">
        <v>1974</v>
      </c>
      <c r="W733" s="4" t="s">
        <v>47</v>
      </c>
      <c r="X733" s="4" t="s">
        <v>47</v>
      </c>
      <c r="Y733" s="4" t="s">
        <v>47</v>
      </c>
      <c r="Z733" s="4" t="s">
        <v>47</v>
      </c>
      <c r="AA733" s="4" t="s">
        <v>47</v>
      </c>
      <c r="AB733" s="4" t="s">
        <v>47</v>
      </c>
      <c r="AC733" s="4" t="s">
        <v>47</v>
      </c>
      <c r="AD733" s="4" t="s">
        <v>47</v>
      </c>
      <c r="AE733" s="4" t="s">
        <v>47</v>
      </c>
      <c r="AF733" s="4" t="s">
        <v>47</v>
      </c>
      <c r="AG733" s="4" t="s">
        <v>47</v>
      </c>
      <c r="AH733" s="4" t="s">
        <v>47</v>
      </c>
      <c r="AI733" s="4" t="s">
        <v>47</v>
      </c>
      <c r="AJ733" s="4" t="s">
        <v>47</v>
      </c>
      <c r="AK733" s="4" t="s">
        <v>47</v>
      </c>
      <c r="AL733" s="4" t="s">
        <v>47</v>
      </c>
      <c r="AM733" s="4" t="s">
        <v>47</v>
      </c>
      <c r="AN733" s="4" t="s">
        <v>47</v>
      </c>
      <c r="AO733" s="4" t="s">
        <v>47</v>
      </c>
      <c r="AP733" s="4" t="s">
        <v>6990</v>
      </c>
      <c r="AQ733" s="4" t="s">
        <v>47</v>
      </c>
      <c r="AR733" s="4" t="s">
        <v>47</v>
      </c>
    </row>
    <row r="734" spans="1:44" x14ac:dyDescent="0.2">
      <c r="A734" s="4" t="s">
        <v>12</v>
      </c>
      <c r="B734" s="4" t="s">
        <v>97</v>
      </c>
      <c r="C734">
        <v>4</v>
      </c>
      <c r="F734">
        <v>1</v>
      </c>
      <c r="I734" s="4" t="s">
        <v>6686</v>
      </c>
      <c r="J734" s="4" t="s">
        <v>6991</v>
      </c>
      <c r="K734" s="4" t="s">
        <v>6811</v>
      </c>
      <c r="L734" s="4" t="s">
        <v>6812</v>
      </c>
      <c r="M734">
        <v>107412</v>
      </c>
      <c r="N734" s="4" t="s">
        <v>5417</v>
      </c>
      <c r="O734" s="4" t="s">
        <v>6992</v>
      </c>
      <c r="P734" s="4" t="s">
        <v>593</v>
      </c>
      <c r="Q734" s="9">
        <v>25740</v>
      </c>
      <c r="R734" s="4" t="s">
        <v>757</v>
      </c>
      <c r="S734" s="4" t="s">
        <v>6738</v>
      </c>
      <c r="T734" s="4" t="s">
        <v>47</v>
      </c>
      <c r="U734" s="4" t="s">
        <v>106</v>
      </c>
      <c r="V734">
        <v>1970</v>
      </c>
      <c r="W734" s="4" t="s">
        <v>6993</v>
      </c>
      <c r="X734" s="4" t="s">
        <v>6994</v>
      </c>
      <c r="Y734" s="4" t="s">
        <v>6995</v>
      </c>
      <c r="Z734" s="4" t="s">
        <v>6996</v>
      </c>
      <c r="AA734" s="4" t="s">
        <v>47</v>
      </c>
      <c r="AB734" s="4" t="s">
        <v>47</v>
      </c>
      <c r="AC734" s="4" t="s">
        <v>47</v>
      </c>
      <c r="AD734" s="4" t="s">
        <v>47</v>
      </c>
      <c r="AE734" s="4" t="s">
        <v>47</v>
      </c>
      <c r="AF734" s="4" t="s">
        <v>47</v>
      </c>
      <c r="AG734" s="4" t="s">
        <v>47</v>
      </c>
      <c r="AH734" s="4" t="s">
        <v>47</v>
      </c>
      <c r="AI734" s="4" t="s">
        <v>47</v>
      </c>
      <c r="AJ734" s="4" t="s">
        <v>47</v>
      </c>
      <c r="AK734" s="4" t="s">
        <v>47</v>
      </c>
      <c r="AL734" s="4" t="s">
        <v>47</v>
      </c>
      <c r="AM734" s="4" t="s">
        <v>47</v>
      </c>
      <c r="AN734" s="4" t="s">
        <v>47</v>
      </c>
      <c r="AO734" s="4" t="s">
        <v>6997</v>
      </c>
      <c r="AP734" s="4" t="s">
        <v>6998</v>
      </c>
      <c r="AQ734" s="4" t="s">
        <v>47</v>
      </c>
      <c r="AR734" s="4" t="s">
        <v>6999</v>
      </c>
    </row>
    <row r="735" spans="1:44" x14ac:dyDescent="0.2">
      <c r="A735" s="4" t="s">
        <v>104</v>
      </c>
      <c r="B735" s="4" t="s">
        <v>121</v>
      </c>
      <c r="C735">
        <v>1</v>
      </c>
      <c r="F735">
        <v>0</v>
      </c>
      <c r="I735" s="4" t="s">
        <v>6398</v>
      </c>
      <c r="J735" s="4" t="s">
        <v>7000</v>
      </c>
      <c r="K735" s="4" t="s">
        <v>7001</v>
      </c>
      <c r="L735" s="4" t="s">
        <v>7002</v>
      </c>
      <c r="M735">
        <v>104403</v>
      </c>
      <c r="N735" s="4" t="s">
        <v>5417</v>
      </c>
      <c r="O735" s="4" t="s">
        <v>7003</v>
      </c>
      <c r="P735" s="4" t="s">
        <v>616</v>
      </c>
      <c r="Q735" s="9">
        <v>25739</v>
      </c>
      <c r="R735" s="4" t="s">
        <v>652</v>
      </c>
      <c r="S735" s="4" t="s">
        <v>7004</v>
      </c>
      <c r="T735" s="4" t="s">
        <v>47</v>
      </c>
      <c r="U735" s="4" t="s">
        <v>106</v>
      </c>
      <c r="V735">
        <v>1970</v>
      </c>
      <c r="W735" s="4" t="s">
        <v>7005</v>
      </c>
      <c r="X735" s="4" t="s">
        <v>47</v>
      </c>
      <c r="Y735" s="4" t="s">
        <v>7006</v>
      </c>
      <c r="Z735" s="4" t="s">
        <v>47</v>
      </c>
      <c r="AA735" s="4" t="s">
        <v>47</v>
      </c>
      <c r="AB735" s="4" t="s">
        <v>47</v>
      </c>
      <c r="AC735" s="4" t="s">
        <v>47</v>
      </c>
      <c r="AD735" s="4" t="s">
        <v>47</v>
      </c>
      <c r="AE735" s="4" t="s">
        <v>47</v>
      </c>
      <c r="AF735" s="4" t="s">
        <v>47</v>
      </c>
      <c r="AG735" s="4" t="s">
        <v>47</v>
      </c>
      <c r="AH735" s="4" t="s">
        <v>47</v>
      </c>
      <c r="AI735" s="4" t="s">
        <v>47</v>
      </c>
      <c r="AJ735" s="4" t="s">
        <v>47</v>
      </c>
      <c r="AK735" s="4" t="s">
        <v>47</v>
      </c>
      <c r="AL735" s="4" t="s">
        <v>47</v>
      </c>
      <c r="AM735" s="4" t="s">
        <v>47</v>
      </c>
      <c r="AN735" s="4" t="s">
        <v>47</v>
      </c>
      <c r="AO735" s="4" t="s">
        <v>7007</v>
      </c>
      <c r="AP735" s="4" t="s">
        <v>7008</v>
      </c>
      <c r="AQ735" s="4" t="s">
        <v>7009</v>
      </c>
      <c r="AR735" s="4" t="s">
        <v>7010</v>
      </c>
    </row>
    <row r="736" spans="1:44" x14ac:dyDescent="0.2">
      <c r="A736" s="4" t="s">
        <v>97</v>
      </c>
      <c r="B736" s="4" t="s">
        <v>104</v>
      </c>
      <c r="C736">
        <v>4</v>
      </c>
      <c r="F736">
        <v>3</v>
      </c>
      <c r="I736" s="4" t="s">
        <v>6811</v>
      </c>
      <c r="J736" s="4" t="s">
        <v>6812</v>
      </c>
      <c r="K736" s="4" t="s">
        <v>6398</v>
      </c>
      <c r="L736" s="4" t="s">
        <v>7000</v>
      </c>
      <c r="M736">
        <v>102444</v>
      </c>
      <c r="N736" s="4" t="s">
        <v>5417</v>
      </c>
      <c r="O736" s="4" t="s">
        <v>7011</v>
      </c>
      <c r="P736" s="4" t="s">
        <v>629</v>
      </c>
      <c r="Q736" s="9">
        <v>25736</v>
      </c>
      <c r="R736" s="4" t="s">
        <v>1406</v>
      </c>
      <c r="S736" s="4" t="s">
        <v>7012</v>
      </c>
      <c r="T736" s="4" t="s">
        <v>1258</v>
      </c>
      <c r="U736" s="4" t="s">
        <v>106</v>
      </c>
      <c r="V736">
        <v>1970</v>
      </c>
      <c r="W736" s="4" t="s">
        <v>7013</v>
      </c>
      <c r="X736" s="4" t="s">
        <v>7014</v>
      </c>
      <c r="Y736" s="4" t="s">
        <v>7015</v>
      </c>
      <c r="Z736" s="4" t="s">
        <v>7016</v>
      </c>
      <c r="AA736" s="4" t="s">
        <v>47</v>
      </c>
      <c r="AB736" s="4" t="s">
        <v>47</v>
      </c>
      <c r="AC736" s="4" t="s">
        <v>47</v>
      </c>
      <c r="AD736" s="4" t="s">
        <v>47</v>
      </c>
      <c r="AE736" s="4" t="s">
        <v>47</v>
      </c>
      <c r="AF736" s="4" t="s">
        <v>47</v>
      </c>
      <c r="AG736" s="4" t="s">
        <v>47</v>
      </c>
      <c r="AH736" s="4" t="s">
        <v>47</v>
      </c>
      <c r="AI736" s="4" t="s">
        <v>47</v>
      </c>
      <c r="AJ736" s="4" t="s">
        <v>47</v>
      </c>
      <c r="AK736" s="4" t="s">
        <v>47</v>
      </c>
      <c r="AL736" s="4" t="s">
        <v>47</v>
      </c>
      <c r="AM736" s="4" t="s">
        <v>47</v>
      </c>
      <c r="AN736" s="4" t="s">
        <v>47</v>
      </c>
      <c r="AO736" s="4" t="s">
        <v>7017</v>
      </c>
      <c r="AP736" s="4" t="s">
        <v>7018</v>
      </c>
      <c r="AQ736" s="4" t="s">
        <v>7019</v>
      </c>
      <c r="AR736" s="4" t="s">
        <v>7020</v>
      </c>
    </row>
    <row r="737" spans="1:44" x14ac:dyDescent="0.2">
      <c r="A737" s="4" t="s">
        <v>12</v>
      </c>
      <c r="B737" s="4" t="s">
        <v>121</v>
      </c>
      <c r="C737">
        <v>3</v>
      </c>
      <c r="F737">
        <v>1</v>
      </c>
      <c r="I737" s="4" t="s">
        <v>6686</v>
      </c>
      <c r="J737" s="4" t="s">
        <v>6991</v>
      </c>
      <c r="K737" s="4" t="s">
        <v>7001</v>
      </c>
      <c r="L737" s="4" t="s">
        <v>7002</v>
      </c>
      <c r="M737">
        <v>51261</v>
      </c>
      <c r="N737" s="4" t="s">
        <v>5440</v>
      </c>
      <c r="O737" s="4" t="s">
        <v>7021</v>
      </c>
      <c r="P737" s="4" t="s">
        <v>629</v>
      </c>
      <c r="Q737" s="9">
        <v>25736</v>
      </c>
      <c r="R737" s="4" t="s">
        <v>770</v>
      </c>
      <c r="S737" s="4" t="s">
        <v>7022</v>
      </c>
      <c r="T737" s="4" t="s">
        <v>47</v>
      </c>
      <c r="U737" s="4" t="s">
        <v>106</v>
      </c>
      <c r="V737">
        <v>1970</v>
      </c>
      <c r="W737" s="4" t="s">
        <v>7023</v>
      </c>
      <c r="X737" s="4" t="s">
        <v>7024</v>
      </c>
      <c r="Y737" s="4" t="s">
        <v>7025</v>
      </c>
      <c r="Z737" s="4" t="s">
        <v>7026</v>
      </c>
      <c r="AA737" s="4" t="s">
        <v>47</v>
      </c>
      <c r="AB737" s="4" t="s">
        <v>47</v>
      </c>
      <c r="AC737" s="4" t="s">
        <v>47</v>
      </c>
      <c r="AD737" s="4" t="s">
        <v>47</v>
      </c>
      <c r="AE737" s="4" t="s">
        <v>47</v>
      </c>
      <c r="AF737" s="4" t="s">
        <v>47</v>
      </c>
      <c r="AG737" s="4" t="s">
        <v>47</v>
      </c>
      <c r="AH737" s="4" t="s">
        <v>47</v>
      </c>
      <c r="AI737" s="4" t="s">
        <v>47</v>
      </c>
      <c r="AJ737" s="4" t="s">
        <v>47</v>
      </c>
      <c r="AK737" s="4" t="s">
        <v>47</v>
      </c>
      <c r="AL737" s="4" t="s">
        <v>47</v>
      </c>
      <c r="AM737" s="4" t="s">
        <v>47</v>
      </c>
      <c r="AN737" s="4" t="s">
        <v>47</v>
      </c>
      <c r="AO737" s="4" t="s">
        <v>7027</v>
      </c>
      <c r="AP737" s="4" t="s">
        <v>7028</v>
      </c>
      <c r="AQ737" s="4" t="s">
        <v>47</v>
      </c>
      <c r="AR737" s="4" t="s">
        <v>7029</v>
      </c>
    </row>
    <row r="738" spans="1:44" x14ac:dyDescent="0.2">
      <c r="A738" s="4" t="s">
        <v>12</v>
      </c>
      <c r="B738" s="4" t="s">
        <v>223</v>
      </c>
      <c r="C738">
        <v>4</v>
      </c>
      <c r="F738">
        <v>2</v>
      </c>
      <c r="I738" s="4" t="s">
        <v>6686</v>
      </c>
      <c r="J738" s="4" t="s">
        <v>6991</v>
      </c>
      <c r="K738" s="4" t="s">
        <v>7030</v>
      </c>
      <c r="L738" s="4" t="s">
        <v>6423</v>
      </c>
      <c r="M738">
        <v>54233</v>
      </c>
      <c r="N738" s="4" t="s">
        <v>5440</v>
      </c>
      <c r="O738" s="4" t="s">
        <v>7031</v>
      </c>
      <c r="P738" s="4" t="s">
        <v>651</v>
      </c>
      <c r="Q738" s="9">
        <v>25733</v>
      </c>
      <c r="R738" s="4" t="s">
        <v>1236</v>
      </c>
      <c r="S738" s="4" t="s">
        <v>6749</v>
      </c>
      <c r="T738" s="4" t="s">
        <v>47</v>
      </c>
      <c r="U738" s="4" t="s">
        <v>106</v>
      </c>
      <c r="V738">
        <v>1970</v>
      </c>
      <c r="W738" s="4" t="s">
        <v>7032</v>
      </c>
      <c r="X738" s="4" t="s">
        <v>7033</v>
      </c>
      <c r="Y738" s="4" t="s">
        <v>7034</v>
      </c>
      <c r="Z738" s="4" t="s">
        <v>7035</v>
      </c>
      <c r="AA738" s="4" t="s">
        <v>47</v>
      </c>
      <c r="AB738" s="4" t="s">
        <v>47</v>
      </c>
      <c r="AC738" s="4" t="s">
        <v>47</v>
      </c>
      <c r="AD738" s="4" t="s">
        <v>47</v>
      </c>
      <c r="AE738" s="4" t="s">
        <v>47</v>
      </c>
      <c r="AF738" s="4" t="s">
        <v>47</v>
      </c>
      <c r="AG738" s="4" t="s">
        <v>47</v>
      </c>
      <c r="AH738" s="4" t="s">
        <v>47</v>
      </c>
      <c r="AI738" s="4" t="s">
        <v>47</v>
      </c>
      <c r="AJ738" s="4" t="s">
        <v>47</v>
      </c>
      <c r="AK738" s="4" t="s">
        <v>47</v>
      </c>
      <c r="AL738" s="4" t="s">
        <v>47</v>
      </c>
      <c r="AM738" s="4" t="s">
        <v>47</v>
      </c>
      <c r="AN738" s="4" t="s">
        <v>47</v>
      </c>
      <c r="AO738" s="4" t="s">
        <v>47</v>
      </c>
      <c r="AP738" s="4" t="s">
        <v>47</v>
      </c>
      <c r="AQ738" s="4" t="s">
        <v>7036</v>
      </c>
      <c r="AR738" s="4" t="s">
        <v>7037</v>
      </c>
    </row>
    <row r="739" spans="1:44" x14ac:dyDescent="0.2">
      <c r="A739" s="4" t="s">
        <v>97</v>
      </c>
      <c r="B739" s="4" t="s">
        <v>106</v>
      </c>
      <c r="C739">
        <v>4</v>
      </c>
      <c r="F739">
        <v>1</v>
      </c>
      <c r="I739" s="4" t="s">
        <v>6811</v>
      </c>
      <c r="J739" s="4" t="s">
        <v>6812</v>
      </c>
      <c r="K739" s="4" t="s">
        <v>7038</v>
      </c>
      <c r="L739" s="4" t="s">
        <v>7039</v>
      </c>
      <c r="M739">
        <v>26851</v>
      </c>
      <c r="N739" s="4" t="s">
        <v>7040</v>
      </c>
      <c r="O739" s="4" t="s">
        <v>7041</v>
      </c>
      <c r="P739" s="4" t="s">
        <v>651</v>
      </c>
      <c r="Q739" s="9">
        <v>25733</v>
      </c>
      <c r="R739" s="4" t="s">
        <v>757</v>
      </c>
      <c r="S739" s="4" t="s">
        <v>6757</v>
      </c>
      <c r="T739" s="4" t="s">
        <v>47</v>
      </c>
      <c r="U739" s="4" t="s">
        <v>106</v>
      </c>
      <c r="V739">
        <v>1970</v>
      </c>
      <c r="W739" s="4" t="s">
        <v>7042</v>
      </c>
      <c r="X739" s="4" t="s">
        <v>7043</v>
      </c>
      <c r="Y739" s="4" t="s">
        <v>7044</v>
      </c>
      <c r="Z739" s="4" t="s">
        <v>7045</v>
      </c>
      <c r="AA739" s="4" t="s">
        <v>7046</v>
      </c>
      <c r="AB739" s="4" t="s">
        <v>47</v>
      </c>
      <c r="AC739" s="4" t="s">
        <v>47</v>
      </c>
      <c r="AD739" s="4" t="s">
        <v>47</v>
      </c>
      <c r="AE739" s="4" t="s">
        <v>47</v>
      </c>
      <c r="AF739" s="4" t="s">
        <v>47</v>
      </c>
      <c r="AG739" s="4" t="s">
        <v>47</v>
      </c>
      <c r="AH739" s="4" t="s">
        <v>47</v>
      </c>
      <c r="AI739" s="4" t="s">
        <v>47</v>
      </c>
      <c r="AJ739" s="4" t="s">
        <v>47</v>
      </c>
      <c r="AK739" s="4" t="s">
        <v>47</v>
      </c>
      <c r="AL739" s="4" t="s">
        <v>47</v>
      </c>
      <c r="AM739" s="4" t="s">
        <v>47</v>
      </c>
      <c r="AN739" s="4" t="s">
        <v>47</v>
      </c>
      <c r="AO739" s="4" t="s">
        <v>7047</v>
      </c>
      <c r="AP739" s="4" t="s">
        <v>47</v>
      </c>
      <c r="AQ739" s="4" t="s">
        <v>7048</v>
      </c>
      <c r="AR739" s="4" t="s">
        <v>7049</v>
      </c>
    </row>
    <row r="740" spans="1:44" x14ac:dyDescent="0.2">
      <c r="A740" s="4" t="s">
        <v>121</v>
      </c>
      <c r="B740" s="4" t="s">
        <v>5211</v>
      </c>
      <c r="C740">
        <v>1</v>
      </c>
      <c r="F740">
        <v>0</v>
      </c>
      <c r="I740" s="4" t="s">
        <v>7001</v>
      </c>
      <c r="J740" s="4" t="s">
        <v>7002</v>
      </c>
      <c r="K740" s="4" t="s">
        <v>7050</v>
      </c>
      <c r="L740" s="4" t="s">
        <v>7051</v>
      </c>
      <c r="M740">
        <v>26085</v>
      </c>
      <c r="N740" s="4" t="s">
        <v>5417</v>
      </c>
      <c r="O740" s="4" t="s">
        <v>7052</v>
      </c>
      <c r="P740" s="4" t="s">
        <v>651</v>
      </c>
      <c r="Q740" s="9">
        <v>25733</v>
      </c>
      <c r="R740" s="4" t="s">
        <v>652</v>
      </c>
      <c r="S740" s="4" t="s">
        <v>7053</v>
      </c>
      <c r="T740" s="4" t="s">
        <v>1258</v>
      </c>
      <c r="U740" s="4" t="s">
        <v>106</v>
      </c>
      <c r="V740">
        <v>1970</v>
      </c>
      <c r="W740" s="4" t="s">
        <v>7054</v>
      </c>
      <c r="X740" s="4" t="s">
        <v>47</v>
      </c>
      <c r="Y740" s="4" t="s">
        <v>7055</v>
      </c>
      <c r="Z740" s="4" t="s">
        <v>47</v>
      </c>
      <c r="AA740" s="4" t="s">
        <v>47</v>
      </c>
      <c r="AB740" s="4" t="s">
        <v>47</v>
      </c>
      <c r="AC740" s="4" t="s">
        <v>47</v>
      </c>
      <c r="AD740" s="4" t="s">
        <v>47</v>
      </c>
      <c r="AE740" s="4" t="s">
        <v>47</v>
      </c>
      <c r="AF740" s="4" t="s">
        <v>47</v>
      </c>
      <c r="AG740" s="4" t="s">
        <v>47</v>
      </c>
      <c r="AH740" s="4" t="s">
        <v>47</v>
      </c>
      <c r="AI740" s="4" t="s">
        <v>47</v>
      </c>
      <c r="AJ740" s="4" t="s">
        <v>47</v>
      </c>
      <c r="AK740" s="4" t="s">
        <v>47</v>
      </c>
      <c r="AL740" s="4" t="s">
        <v>47</v>
      </c>
      <c r="AM740" s="4" t="s">
        <v>47</v>
      </c>
      <c r="AN740" s="4" t="s">
        <v>47</v>
      </c>
      <c r="AO740" s="4" t="s">
        <v>47</v>
      </c>
      <c r="AP740" s="4" t="s">
        <v>7056</v>
      </c>
      <c r="AQ740" s="4" t="s">
        <v>7057</v>
      </c>
      <c r="AR740" s="4" t="s">
        <v>7058</v>
      </c>
    </row>
    <row r="741" spans="1:44" x14ac:dyDescent="0.2">
      <c r="A741" s="4" t="s">
        <v>104</v>
      </c>
      <c r="B741" s="4" t="s">
        <v>52</v>
      </c>
      <c r="C741">
        <v>3</v>
      </c>
      <c r="F741">
        <v>2</v>
      </c>
      <c r="I741" s="4" t="s">
        <v>6398</v>
      </c>
      <c r="J741" s="4" t="s">
        <v>7000</v>
      </c>
      <c r="K741" s="4" t="s">
        <v>7059</v>
      </c>
      <c r="L741" s="4" t="s">
        <v>7060</v>
      </c>
      <c r="M741">
        <v>23357</v>
      </c>
      <c r="N741" s="4" t="s">
        <v>5576</v>
      </c>
      <c r="O741" s="4" t="s">
        <v>7061</v>
      </c>
      <c r="P741" s="4" t="s">
        <v>651</v>
      </c>
      <c r="Q741" s="9">
        <v>25733</v>
      </c>
      <c r="R741" s="4" t="s">
        <v>1130</v>
      </c>
      <c r="S741" s="4" t="s">
        <v>6672</v>
      </c>
      <c r="T741" s="4" t="s">
        <v>1258</v>
      </c>
      <c r="U741" s="4" t="s">
        <v>106</v>
      </c>
      <c r="V741">
        <v>1970</v>
      </c>
      <c r="W741" s="4" t="s">
        <v>7062</v>
      </c>
      <c r="X741" s="4" t="s">
        <v>7063</v>
      </c>
      <c r="Y741" s="4" t="s">
        <v>7064</v>
      </c>
      <c r="Z741" s="4" t="s">
        <v>7065</v>
      </c>
      <c r="AA741" s="4" t="s">
        <v>47</v>
      </c>
      <c r="AB741" s="4" t="s">
        <v>47</v>
      </c>
      <c r="AC741" s="4" t="s">
        <v>47</v>
      </c>
      <c r="AD741" s="4" t="s">
        <v>47</v>
      </c>
      <c r="AE741" s="4" t="s">
        <v>47</v>
      </c>
      <c r="AF741" s="4" t="s">
        <v>47</v>
      </c>
      <c r="AG741" s="4" t="s">
        <v>47</v>
      </c>
      <c r="AH741" s="4" t="s">
        <v>47</v>
      </c>
      <c r="AI741" s="4" t="s">
        <v>47</v>
      </c>
      <c r="AJ741" s="4" t="s">
        <v>47</v>
      </c>
      <c r="AK741" s="4" t="s">
        <v>47</v>
      </c>
      <c r="AL741" s="4" t="s">
        <v>47</v>
      </c>
      <c r="AM741" s="4" t="s">
        <v>47</v>
      </c>
      <c r="AN741" s="4" t="s">
        <v>47</v>
      </c>
      <c r="AO741" s="4" t="s">
        <v>7066</v>
      </c>
      <c r="AP741" s="4" t="s">
        <v>7067</v>
      </c>
      <c r="AQ741" s="4" t="s">
        <v>7068</v>
      </c>
      <c r="AR741" s="4" t="s">
        <v>7069</v>
      </c>
    </row>
    <row r="742" spans="1:44" x14ac:dyDescent="0.2">
      <c r="A742" s="4" t="s">
        <v>106</v>
      </c>
      <c r="B742" s="4" t="s">
        <v>148</v>
      </c>
      <c r="C742">
        <v>1</v>
      </c>
      <c r="F742">
        <v>0</v>
      </c>
      <c r="I742" s="4" t="s">
        <v>7038</v>
      </c>
      <c r="J742" s="4" t="s">
        <v>7039</v>
      </c>
      <c r="K742" s="4" t="s">
        <v>7070</v>
      </c>
      <c r="L742" s="4" t="s">
        <v>4559</v>
      </c>
      <c r="M742">
        <v>108192</v>
      </c>
      <c r="N742" s="4" t="s">
        <v>5417</v>
      </c>
      <c r="O742" s="4" t="s">
        <v>7071</v>
      </c>
      <c r="P742" s="4" t="s">
        <v>811</v>
      </c>
      <c r="Q742" s="9">
        <v>25730</v>
      </c>
      <c r="R742" s="4" t="s">
        <v>652</v>
      </c>
      <c r="S742" s="4" t="s">
        <v>6672</v>
      </c>
      <c r="T742" s="4" t="s">
        <v>47</v>
      </c>
      <c r="U742" s="4" t="s">
        <v>106</v>
      </c>
      <c r="V742">
        <v>1970</v>
      </c>
      <c r="W742" s="4" t="s">
        <v>47</v>
      </c>
      <c r="X742" s="4" t="s">
        <v>47</v>
      </c>
      <c r="Y742" s="4" t="s">
        <v>47</v>
      </c>
      <c r="Z742" s="4" t="s">
        <v>47</v>
      </c>
      <c r="AA742" s="4" t="s">
        <v>47</v>
      </c>
      <c r="AB742" s="4" t="s">
        <v>47</v>
      </c>
      <c r="AC742" s="4" t="s">
        <v>7072</v>
      </c>
      <c r="AD742" s="4" t="s">
        <v>47</v>
      </c>
      <c r="AE742" s="4" t="s">
        <v>47</v>
      </c>
      <c r="AF742" s="4" t="s">
        <v>47</v>
      </c>
      <c r="AG742" s="4" t="s">
        <v>47</v>
      </c>
      <c r="AH742" s="4" t="s">
        <v>47</v>
      </c>
      <c r="AI742" s="4" t="s">
        <v>47</v>
      </c>
      <c r="AJ742" s="4" t="s">
        <v>47</v>
      </c>
      <c r="AK742" s="4" t="s">
        <v>47</v>
      </c>
      <c r="AL742" s="4" t="s">
        <v>47</v>
      </c>
      <c r="AM742" s="4" t="s">
        <v>47</v>
      </c>
      <c r="AN742" s="4" t="s">
        <v>47</v>
      </c>
      <c r="AO742" s="4" t="s">
        <v>7073</v>
      </c>
      <c r="AP742" s="4" t="s">
        <v>7074</v>
      </c>
      <c r="AQ742" s="4" t="s">
        <v>7075</v>
      </c>
      <c r="AR742" s="4" t="s">
        <v>7076</v>
      </c>
    </row>
    <row r="743" spans="1:44" x14ac:dyDescent="0.2">
      <c r="A743" s="4" t="s">
        <v>97</v>
      </c>
      <c r="B743" s="4" t="s">
        <v>270</v>
      </c>
      <c r="C743">
        <v>0</v>
      </c>
      <c r="F743">
        <v>0</v>
      </c>
      <c r="I743" s="4" t="s">
        <v>6811</v>
      </c>
      <c r="J743" s="4" t="s">
        <v>6812</v>
      </c>
      <c r="K743" s="4" t="s">
        <v>7077</v>
      </c>
      <c r="L743" s="4" t="s">
        <v>7078</v>
      </c>
      <c r="M743">
        <v>9890</v>
      </c>
      <c r="N743" s="4" t="s">
        <v>7040</v>
      </c>
      <c r="O743" s="4" t="s">
        <v>7079</v>
      </c>
      <c r="P743" s="4" t="s">
        <v>811</v>
      </c>
      <c r="Q743" s="9">
        <v>25730</v>
      </c>
      <c r="R743" s="4" t="s">
        <v>869</v>
      </c>
      <c r="S743" s="4" t="s">
        <v>7080</v>
      </c>
      <c r="T743" s="4" t="s">
        <v>47</v>
      </c>
      <c r="U743" s="4" t="s">
        <v>106</v>
      </c>
      <c r="V743">
        <v>1970</v>
      </c>
      <c r="W743" s="4" t="s">
        <v>47</v>
      </c>
      <c r="X743" s="4" t="s">
        <v>47</v>
      </c>
      <c r="Y743" s="4" t="s">
        <v>47</v>
      </c>
      <c r="Z743" s="4" t="s">
        <v>47</v>
      </c>
      <c r="AA743" s="4" t="s">
        <v>47</v>
      </c>
      <c r="AB743" s="4" t="s">
        <v>47</v>
      </c>
      <c r="AC743" s="4" t="s">
        <v>47</v>
      </c>
      <c r="AD743" s="4" t="s">
        <v>47</v>
      </c>
      <c r="AE743" s="4" t="s">
        <v>47</v>
      </c>
      <c r="AF743" s="4" t="s">
        <v>47</v>
      </c>
      <c r="AG743" s="4" t="s">
        <v>47</v>
      </c>
      <c r="AH743" s="4" t="s">
        <v>47</v>
      </c>
      <c r="AI743" s="4" t="s">
        <v>47</v>
      </c>
      <c r="AJ743" s="4" t="s">
        <v>47</v>
      </c>
      <c r="AK743" s="4" t="s">
        <v>47</v>
      </c>
      <c r="AL743" s="4" t="s">
        <v>47</v>
      </c>
      <c r="AM743" s="4" t="s">
        <v>47</v>
      </c>
      <c r="AN743" s="4" t="s">
        <v>47</v>
      </c>
      <c r="AO743" s="4" t="s">
        <v>7081</v>
      </c>
      <c r="AP743" s="4" t="s">
        <v>7082</v>
      </c>
      <c r="AQ743" s="4" t="s">
        <v>7083</v>
      </c>
      <c r="AR743" s="4" t="s">
        <v>7084</v>
      </c>
    </row>
    <row r="744" spans="1:44" x14ac:dyDescent="0.2">
      <c r="A744" s="4" t="s">
        <v>293</v>
      </c>
      <c r="B744" s="4" t="s">
        <v>144</v>
      </c>
      <c r="C744">
        <v>1</v>
      </c>
      <c r="F744">
        <v>1</v>
      </c>
      <c r="I744" s="4" t="s">
        <v>7085</v>
      </c>
      <c r="J744" s="4" t="s">
        <v>7086</v>
      </c>
      <c r="K744" s="4" t="s">
        <v>6865</v>
      </c>
      <c r="L744" s="4" t="s">
        <v>7087</v>
      </c>
      <c r="M744">
        <v>12299</v>
      </c>
      <c r="N744" s="4" t="s">
        <v>5576</v>
      </c>
      <c r="O744" s="4" t="s">
        <v>7088</v>
      </c>
      <c r="P744" s="4" t="s">
        <v>811</v>
      </c>
      <c r="Q744" s="9">
        <v>25730</v>
      </c>
      <c r="R744" s="4" t="s">
        <v>1046</v>
      </c>
      <c r="S744" s="4" t="s">
        <v>7089</v>
      </c>
      <c r="T744" s="4" t="s">
        <v>47</v>
      </c>
      <c r="U744" s="4" t="s">
        <v>106</v>
      </c>
      <c r="V744">
        <v>1970</v>
      </c>
      <c r="W744" s="4" t="s">
        <v>7090</v>
      </c>
      <c r="X744" s="4" t="s">
        <v>7091</v>
      </c>
      <c r="Y744" s="4" t="s">
        <v>7092</v>
      </c>
      <c r="Z744" s="4" t="s">
        <v>7093</v>
      </c>
      <c r="AA744" s="4" t="s">
        <v>47</v>
      </c>
      <c r="AB744" s="4" t="s">
        <v>47</v>
      </c>
      <c r="AC744" s="4" t="s">
        <v>47</v>
      </c>
      <c r="AD744" s="4" t="s">
        <v>47</v>
      </c>
      <c r="AE744" s="4" t="s">
        <v>47</v>
      </c>
      <c r="AF744" s="4" t="s">
        <v>47</v>
      </c>
      <c r="AG744" s="4" t="s">
        <v>47</v>
      </c>
      <c r="AH744" s="4" t="s">
        <v>47</v>
      </c>
      <c r="AI744" s="4" t="s">
        <v>47</v>
      </c>
      <c r="AJ744" s="4" t="s">
        <v>47</v>
      </c>
      <c r="AK744" s="4" t="s">
        <v>47</v>
      </c>
      <c r="AL744" s="4" t="s">
        <v>47</v>
      </c>
      <c r="AM744" s="4" t="s">
        <v>47</v>
      </c>
      <c r="AN744" s="4" t="s">
        <v>47</v>
      </c>
      <c r="AO744" s="4" t="s">
        <v>47</v>
      </c>
      <c r="AP744" s="4" t="s">
        <v>47</v>
      </c>
      <c r="AQ744" s="4" t="s">
        <v>7094</v>
      </c>
      <c r="AR744" s="4" t="s">
        <v>7095</v>
      </c>
    </row>
    <row r="745" spans="1:44" x14ac:dyDescent="0.2">
      <c r="A745" s="4" t="s">
        <v>52</v>
      </c>
      <c r="B745" s="4" t="s">
        <v>114</v>
      </c>
      <c r="C745">
        <v>1</v>
      </c>
      <c r="F745">
        <v>0</v>
      </c>
      <c r="I745" s="4" t="s">
        <v>7059</v>
      </c>
      <c r="J745" s="4" t="s">
        <v>7060</v>
      </c>
      <c r="K745" s="4" t="s">
        <v>7096</v>
      </c>
      <c r="L745" s="4" t="s">
        <v>7097</v>
      </c>
      <c r="M745">
        <v>49292</v>
      </c>
      <c r="N745" s="4" t="s">
        <v>5440</v>
      </c>
      <c r="O745" s="4" t="s">
        <v>7098</v>
      </c>
      <c r="P745" s="4" t="s">
        <v>811</v>
      </c>
      <c r="Q745" s="9">
        <v>25730</v>
      </c>
      <c r="R745" s="4" t="s">
        <v>652</v>
      </c>
      <c r="S745" s="4" t="s">
        <v>7099</v>
      </c>
      <c r="T745" s="4" t="s">
        <v>47</v>
      </c>
      <c r="U745" s="4" t="s">
        <v>106</v>
      </c>
      <c r="V745">
        <v>1970</v>
      </c>
      <c r="W745" s="4" t="s">
        <v>47</v>
      </c>
      <c r="X745" s="4" t="s">
        <v>47</v>
      </c>
      <c r="Y745" s="4" t="s">
        <v>47</v>
      </c>
      <c r="Z745" s="4" t="s">
        <v>47</v>
      </c>
      <c r="AA745" s="4" t="s">
        <v>47</v>
      </c>
      <c r="AB745" s="4" t="s">
        <v>47</v>
      </c>
      <c r="AC745" s="4" t="s">
        <v>7100</v>
      </c>
      <c r="AD745" s="4" t="s">
        <v>47</v>
      </c>
      <c r="AE745" s="4" t="s">
        <v>47</v>
      </c>
      <c r="AF745" s="4" t="s">
        <v>47</v>
      </c>
      <c r="AG745" s="4" t="s">
        <v>47</v>
      </c>
      <c r="AH745" s="4" t="s">
        <v>47</v>
      </c>
      <c r="AI745" s="4" t="s">
        <v>47</v>
      </c>
      <c r="AJ745" s="4" t="s">
        <v>47</v>
      </c>
      <c r="AK745" s="4" t="s">
        <v>47</v>
      </c>
      <c r="AL745" s="4" t="s">
        <v>47</v>
      </c>
      <c r="AM745" s="4" t="s">
        <v>47</v>
      </c>
      <c r="AN745" s="4" t="s">
        <v>47</v>
      </c>
      <c r="AO745" s="4" t="s">
        <v>47</v>
      </c>
      <c r="AP745" s="4" t="s">
        <v>7101</v>
      </c>
      <c r="AQ745" s="4" t="s">
        <v>7102</v>
      </c>
      <c r="AR745" s="4" t="s">
        <v>7103</v>
      </c>
    </row>
    <row r="746" spans="1:44" x14ac:dyDescent="0.2">
      <c r="A746" s="4" t="s">
        <v>104</v>
      </c>
      <c r="B746" s="4" t="s">
        <v>223</v>
      </c>
      <c r="C746">
        <v>3</v>
      </c>
      <c r="F746">
        <v>1</v>
      </c>
      <c r="I746" s="4" t="s">
        <v>6398</v>
      </c>
      <c r="J746" s="4" t="s">
        <v>7000</v>
      </c>
      <c r="K746" s="4" t="s">
        <v>7030</v>
      </c>
      <c r="L746" s="4" t="s">
        <v>6423</v>
      </c>
      <c r="M746">
        <v>17875</v>
      </c>
      <c r="N746" s="4" t="s">
        <v>5576</v>
      </c>
      <c r="O746" s="4" t="s">
        <v>7104</v>
      </c>
      <c r="P746" s="4" t="s">
        <v>811</v>
      </c>
      <c r="Q746" s="9">
        <v>25729</v>
      </c>
      <c r="R746" s="4" t="s">
        <v>770</v>
      </c>
      <c r="S746" s="4" t="s">
        <v>7105</v>
      </c>
      <c r="T746" s="4" t="s">
        <v>47</v>
      </c>
      <c r="U746" s="4" t="s">
        <v>106</v>
      </c>
      <c r="V746">
        <v>1970</v>
      </c>
      <c r="W746" s="4" t="s">
        <v>7106</v>
      </c>
      <c r="X746" s="4" t="s">
        <v>7107</v>
      </c>
      <c r="Y746" s="4" t="s">
        <v>7108</v>
      </c>
      <c r="Z746" s="4" t="s">
        <v>7109</v>
      </c>
      <c r="AA746" s="4" t="s">
        <v>47</v>
      </c>
      <c r="AB746" s="4" t="s">
        <v>47</v>
      </c>
      <c r="AC746" s="4" t="s">
        <v>47</v>
      </c>
      <c r="AD746" s="4" t="s">
        <v>47</v>
      </c>
      <c r="AE746" s="4" t="s">
        <v>47</v>
      </c>
      <c r="AF746" s="4" t="s">
        <v>47</v>
      </c>
      <c r="AG746" s="4" t="s">
        <v>47</v>
      </c>
      <c r="AH746" s="4" t="s">
        <v>47</v>
      </c>
      <c r="AI746" s="4" t="s">
        <v>47</v>
      </c>
      <c r="AJ746" s="4" t="s">
        <v>47</v>
      </c>
      <c r="AK746" s="4" t="s">
        <v>47</v>
      </c>
      <c r="AL746" s="4" t="s">
        <v>47</v>
      </c>
      <c r="AM746" s="4" t="s">
        <v>47</v>
      </c>
      <c r="AN746" s="4" t="s">
        <v>47</v>
      </c>
      <c r="AO746" s="4" t="s">
        <v>47</v>
      </c>
      <c r="AP746" s="4" t="s">
        <v>47</v>
      </c>
      <c r="AQ746" s="4" t="s">
        <v>7110</v>
      </c>
      <c r="AR746" s="4" t="s">
        <v>7111</v>
      </c>
    </row>
    <row r="747" spans="1:44" x14ac:dyDescent="0.2">
      <c r="A747" s="4" t="s">
        <v>12</v>
      </c>
      <c r="B747" s="4" t="s">
        <v>227</v>
      </c>
      <c r="C747">
        <v>3</v>
      </c>
      <c r="F747">
        <v>2</v>
      </c>
      <c r="I747" s="4" t="s">
        <v>6686</v>
      </c>
      <c r="J747" s="4" t="s">
        <v>6991</v>
      </c>
      <c r="K747" s="4" t="s">
        <v>7112</v>
      </c>
      <c r="L747" s="4" t="s">
        <v>7113</v>
      </c>
      <c r="M747">
        <v>50804</v>
      </c>
      <c r="N747" s="4" t="s">
        <v>5440</v>
      </c>
      <c r="O747" s="4" t="s">
        <v>7114</v>
      </c>
      <c r="P747" s="4" t="s">
        <v>811</v>
      </c>
      <c r="Q747" s="9">
        <v>25729</v>
      </c>
      <c r="R747" s="4" t="s">
        <v>1130</v>
      </c>
      <c r="S747" s="4" t="s">
        <v>7115</v>
      </c>
      <c r="T747" s="4" t="s">
        <v>47</v>
      </c>
      <c r="U747" s="4" t="s">
        <v>106</v>
      </c>
      <c r="V747">
        <v>1970</v>
      </c>
      <c r="W747" s="4" t="s">
        <v>7116</v>
      </c>
      <c r="X747" s="4" t="s">
        <v>7117</v>
      </c>
      <c r="Y747" s="4" t="s">
        <v>7118</v>
      </c>
      <c r="Z747" s="4" t="s">
        <v>7119</v>
      </c>
      <c r="AA747" s="4" t="s">
        <v>47</v>
      </c>
      <c r="AB747" s="4" t="s">
        <v>47</v>
      </c>
      <c r="AC747" s="4" t="s">
        <v>47</v>
      </c>
      <c r="AD747" s="4" t="s">
        <v>47</v>
      </c>
      <c r="AE747" s="4" t="s">
        <v>47</v>
      </c>
      <c r="AF747" s="4" t="s">
        <v>47</v>
      </c>
      <c r="AG747" s="4" t="s">
        <v>47</v>
      </c>
      <c r="AH747" s="4" t="s">
        <v>47</v>
      </c>
      <c r="AI747" s="4" t="s">
        <v>47</v>
      </c>
      <c r="AJ747" s="4" t="s">
        <v>47</v>
      </c>
      <c r="AK747" s="4" t="s">
        <v>47</v>
      </c>
      <c r="AL747" s="4" t="s">
        <v>47</v>
      </c>
      <c r="AM747" s="4" t="s">
        <v>47</v>
      </c>
      <c r="AN747" s="4" t="s">
        <v>47</v>
      </c>
      <c r="AO747" s="4" t="s">
        <v>47</v>
      </c>
      <c r="AP747" s="4" t="s">
        <v>7120</v>
      </c>
      <c r="AQ747" s="4" t="s">
        <v>7121</v>
      </c>
      <c r="AR747" s="4" t="s">
        <v>7122</v>
      </c>
    </row>
    <row r="748" spans="1:44" x14ac:dyDescent="0.2">
      <c r="A748" s="4" t="s">
        <v>116</v>
      </c>
      <c r="B748" s="4" t="s">
        <v>121</v>
      </c>
      <c r="C748">
        <v>1</v>
      </c>
      <c r="F748">
        <v>0</v>
      </c>
      <c r="I748" s="4" t="s">
        <v>7123</v>
      </c>
      <c r="J748" s="4" t="s">
        <v>6499</v>
      </c>
      <c r="K748" s="4" t="s">
        <v>7001</v>
      </c>
      <c r="L748" s="4" t="s">
        <v>7002</v>
      </c>
      <c r="M748">
        <v>18163</v>
      </c>
      <c r="N748" s="4" t="s">
        <v>5429</v>
      </c>
      <c r="O748" s="4" t="s">
        <v>7124</v>
      </c>
      <c r="P748" s="4" t="s">
        <v>811</v>
      </c>
      <c r="Q748" s="9">
        <v>25729</v>
      </c>
      <c r="R748" s="4" t="s">
        <v>652</v>
      </c>
      <c r="S748" s="4" t="s">
        <v>7125</v>
      </c>
      <c r="T748" s="4" t="s">
        <v>47</v>
      </c>
      <c r="U748" s="4" t="s">
        <v>106</v>
      </c>
      <c r="V748">
        <v>1970</v>
      </c>
      <c r="W748" s="4" t="s">
        <v>7126</v>
      </c>
      <c r="X748" s="4" t="s">
        <v>47</v>
      </c>
      <c r="Y748" s="4" t="s">
        <v>7127</v>
      </c>
      <c r="Z748" s="4" t="s">
        <v>47</v>
      </c>
      <c r="AA748" s="4" t="s">
        <v>47</v>
      </c>
      <c r="AB748" s="4" t="s">
        <v>47</v>
      </c>
      <c r="AC748" s="4" t="s">
        <v>47</v>
      </c>
      <c r="AD748" s="4" t="s">
        <v>47</v>
      </c>
      <c r="AE748" s="4" t="s">
        <v>47</v>
      </c>
      <c r="AF748" s="4" t="s">
        <v>47</v>
      </c>
      <c r="AG748" s="4" t="s">
        <v>47</v>
      </c>
      <c r="AH748" s="4" t="s">
        <v>47</v>
      </c>
      <c r="AI748" s="4" t="s">
        <v>47</v>
      </c>
      <c r="AJ748" s="4" t="s">
        <v>47</v>
      </c>
      <c r="AK748" s="4" t="s">
        <v>47</v>
      </c>
      <c r="AL748" s="4" t="s">
        <v>47</v>
      </c>
      <c r="AM748" s="4" t="s">
        <v>47</v>
      </c>
      <c r="AN748" s="4" t="s">
        <v>47</v>
      </c>
      <c r="AO748" s="4" t="s">
        <v>47</v>
      </c>
      <c r="AP748" s="4" t="s">
        <v>47</v>
      </c>
      <c r="AQ748" s="4" t="s">
        <v>7128</v>
      </c>
      <c r="AR748" s="4" t="s">
        <v>7129</v>
      </c>
    </row>
    <row r="749" spans="1:44" x14ac:dyDescent="0.2">
      <c r="A749" s="4" t="s">
        <v>5211</v>
      </c>
      <c r="B749" s="4" t="s">
        <v>319</v>
      </c>
      <c r="C749">
        <v>2</v>
      </c>
      <c r="F749">
        <v>0</v>
      </c>
      <c r="I749" s="4" t="s">
        <v>7050</v>
      </c>
      <c r="J749" s="4" t="s">
        <v>7051</v>
      </c>
      <c r="K749" s="4" t="s">
        <v>7130</v>
      </c>
      <c r="L749" s="4" t="s">
        <v>7131</v>
      </c>
      <c r="M749">
        <v>89979</v>
      </c>
      <c r="N749" s="4" t="s">
        <v>5417</v>
      </c>
      <c r="O749" s="4" t="s">
        <v>7132</v>
      </c>
      <c r="P749" s="4" t="s">
        <v>811</v>
      </c>
      <c r="Q749" s="9">
        <v>25729</v>
      </c>
      <c r="R749" s="4" t="s">
        <v>630</v>
      </c>
      <c r="S749" s="4" t="s">
        <v>7133</v>
      </c>
      <c r="T749" s="4" t="s">
        <v>47</v>
      </c>
      <c r="U749" s="4" t="s">
        <v>106</v>
      </c>
      <c r="V749">
        <v>1970</v>
      </c>
      <c r="W749" s="4" t="s">
        <v>7134</v>
      </c>
      <c r="X749" s="4" t="s">
        <v>47</v>
      </c>
      <c r="Y749" s="4" t="s">
        <v>7135</v>
      </c>
      <c r="Z749" s="4" t="s">
        <v>47</v>
      </c>
      <c r="AA749" s="4" t="s">
        <v>47</v>
      </c>
      <c r="AB749" s="4" t="s">
        <v>47</v>
      </c>
      <c r="AC749" s="4" t="s">
        <v>47</v>
      </c>
      <c r="AD749" s="4" t="s">
        <v>47</v>
      </c>
      <c r="AE749" s="4" t="s">
        <v>47</v>
      </c>
      <c r="AF749" s="4" t="s">
        <v>47</v>
      </c>
      <c r="AG749" s="4" t="s">
        <v>47</v>
      </c>
      <c r="AH749" s="4" t="s">
        <v>47</v>
      </c>
      <c r="AI749" s="4" t="s">
        <v>47</v>
      </c>
      <c r="AJ749" s="4" t="s">
        <v>47</v>
      </c>
      <c r="AK749" s="4" t="s">
        <v>47</v>
      </c>
      <c r="AL749" s="4" t="s">
        <v>47</v>
      </c>
      <c r="AM749" s="4" t="s">
        <v>47</v>
      </c>
      <c r="AN749" s="4" t="s">
        <v>47</v>
      </c>
      <c r="AO749" s="4" t="s">
        <v>7136</v>
      </c>
      <c r="AP749" s="4" t="s">
        <v>47</v>
      </c>
      <c r="AQ749" s="4" t="s">
        <v>7137</v>
      </c>
      <c r="AR749" s="4" t="s">
        <v>7138</v>
      </c>
    </row>
    <row r="750" spans="1:44" x14ac:dyDescent="0.2">
      <c r="A750" s="4" t="s">
        <v>106</v>
      </c>
      <c r="B750" s="4" t="s">
        <v>319</v>
      </c>
      <c r="C750">
        <v>4</v>
      </c>
      <c r="F750">
        <v>0</v>
      </c>
      <c r="I750" s="4" t="s">
        <v>7038</v>
      </c>
      <c r="J750" s="4" t="s">
        <v>7039</v>
      </c>
      <c r="K750" s="4" t="s">
        <v>7130</v>
      </c>
      <c r="L750" s="4" t="s">
        <v>7131</v>
      </c>
      <c r="M750">
        <v>103058</v>
      </c>
      <c r="N750" s="4" t="s">
        <v>5417</v>
      </c>
      <c r="O750" s="4" t="s">
        <v>7139</v>
      </c>
      <c r="P750" s="4" t="s">
        <v>811</v>
      </c>
      <c r="Q750" s="9">
        <v>25726</v>
      </c>
      <c r="R750" s="4" t="s">
        <v>2300</v>
      </c>
      <c r="S750" s="4" t="s">
        <v>7140</v>
      </c>
      <c r="T750" s="4" t="s">
        <v>47</v>
      </c>
      <c r="U750" s="4" t="s">
        <v>106</v>
      </c>
      <c r="V750">
        <v>1970</v>
      </c>
      <c r="W750" s="4" t="s">
        <v>7141</v>
      </c>
      <c r="X750" s="4" t="s">
        <v>47</v>
      </c>
      <c r="Y750" s="4" t="s">
        <v>7142</v>
      </c>
      <c r="Z750" s="4" t="s">
        <v>47</v>
      </c>
      <c r="AA750" s="4" t="s">
        <v>47</v>
      </c>
      <c r="AB750" s="4" t="s">
        <v>47</v>
      </c>
      <c r="AC750" s="4" t="s">
        <v>47</v>
      </c>
      <c r="AD750" s="4" t="s">
        <v>47</v>
      </c>
      <c r="AE750" s="4" t="s">
        <v>47</v>
      </c>
      <c r="AF750" s="4" t="s">
        <v>47</v>
      </c>
      <c r="AG750" s="4" t="s">
        <v>47</v>
      </c>
      <c r="AH750" s="4" t="s">
        <v>47</v>
      </c>
      <c r="AI750" s="4" t="s">
        <v>47</v>
      </c>
      <c r="AJ750" s="4" t="s">
        <v>47</v>
      </c>
      <c r="AK750" s="4" t="s">
        <v>47</v>
      </c>
      <c r="AL750" s="4" t="s">
        <v>47</v>
      </c>
      <c r="AM750" s="4" t="s">
        <v>47</v>
      </c>
      <c r="AN750" s="4" t="s">
        <v>47</v>
      </c>
      <c r="AO750" s="4" t="s">
        <v>47</v>
      </c>
      <c r="AP750" s="4" t="s">
        <v>7143</v>
      </c>
      <c r="AQ750" s="4" t="s">
        <v>7144</v>
      </c>
      <c r="AR750" s="4" t="s">
        <v>7145</v>
      </c>
    </row>
    <row r="751" spans="1:44" x14ac:dyDescent="0.2">
      <c r="A751" s="4" t="s">
        <v>12</v>
      </c>
      <c r="B751" s="4" t="s">
        <v>52</v>
      </c>
      <c r="C751">
        <v>1</v>
      </c>
      <c r="F751">
        <v>0</v>
      </c>
      <c r="I751" s="4" t="s">
        <v>6686</v>
      </c>
      <c r="J751" s="4" t="s">
        <v>6991</v>
      </c>
      <c r="K751" s="4" t="s">
        <v>7059</v>
      </c>
      <c r="L751" s="4" t="s">
        <v>7060</v>
      </c>
      <c r="M751">
        <v>66843</v>
      </c>
      <c r="N751" s="4" t="s">
        <v>5440</v>
      </c>
      <c r="O751" s="4" t="s">
        <v>7146</v>
      </c>
      <c r="P751" s="4" t="s">
        <v>811</v>
      </c>
      <c r="Q751" s="9">
        <v>25726</v>
      </c>
      <c r="R751" s="4" t="s">
        <v>652</v>
      </c>
      <c r="S751" s="4" t="s">
        <v>5954</v>
      </c>
      <c r="T751" s="4" t="s">
        <v>47</v>
      </c>
      <c r="U751" s="4" t="s">
        <v>106</v>
      </c>
      <c r="V751">
        <v>1970</v>
      </c>
      <c r="W751" s="4" t="s">
        <v>7147</v>
      </c>
      <c r="X751" s="4" t="s">
        <v>47</v>
      </c>
      <c r="Y751" s="4" t="s">
        <v>7148</v>
      </c>
      <c r="Z751" s="4" t="s">
        <v>47</v>
      </c>
      <c r="AA751" s="4" t="s">
        <v>47</v>
      </c>
      <c r="AB751" s="4" t="s">
        <v>47</v>
      </c>
      <c r="AC751" s="4" t="s">
        <v>47</v>
      </c>
      <c r="AD751" s="4" t="s">
        <v>47</v>
      </c>
      <c r="AE751" s="4" t="s">
        <v>47</v>
      </c>
      <c r="AF751" s="4" t="s">
        <v>47</v>
      </c>
      <c r="AG751" s="4" t="s">
        <v>47</v>
      </c>
      <c r="AH751" s="4" t="s">
        <v>47</v>
      </c>
      <c r="AI751" s="4" t="s">
        <v>47</v>
      </c>
      <c r="AJ751" s="4" t="s">
        <v>47</v>
      </c>
      <c r="AK751" s="4" t="s">
        <v>47</v>
      </c>
      <c r="AL751" s="4" t="s">
        <v>47</v>
      </c>
      <c r="AM751" s="4" t="s">
        <v>47</v>
      </c>
      <c r="AN751" s="4" t="s">
        <v>47</v>
      </c>
      <c r="AO751" s="4" t="s">
        <v>47</v>
      </c>
      <c r="AP751" s="4" t="s">
        <v>7067</v>
      </c>
      <c r="AQ751" s="4" t="s">
        <v>7149</v>
      </c>
      <c r="AR751" s="4" t="s">
        <v>7150</v>
      </c>
    </row>
    <row r="752" spans="1:44" x14ac:dyDescent="0.2">
      <c r="A752" s="4" t="s">
        <v>104</v>
      </c>
      <c r="B752" s="4" t="s">
        <v>293</v>
      </c>
      <c r="C752">
        <v>5</v>
      </c>
      <c r="F752">
        <v>2</v>
      </c>
      <c r="I752" s="4" t="s">
        <v>6398</v>
      </c>
      <c r="J752" s="4" t="s">
        <v>7000</v>
      </c>
      <c r="K752" s="4" t="s">
        <v>7085</v>
      </c>
      <c r="L752" s="4" t="s">
        <v>7151</v>
      </c>
      <c r="M752">
        <v>12710</v>
      </c>
      <c r="N752" s="4" t="s">
        <v>5576</v>
      </c>
      <c r="O752" s="4" t="s">
        <v>7152</v>
      </c>
      <c r="P752" s="4" t="s">
        <v>811</v>
      </c>
      <c r="Q752" s="9">
        <v>25726</v>
      </c>
      <c r="R752" s="4" t="s">
        <v>1614</v>
      </c>
      <c r="S752" s="4" t="s">
        <v>7022</v>
      </c>
      <c r="T752" s="4" t="s">
        <v>47</v>
      </c>
      <c r="U752" s="4" t="s">
        <v>106</v>
      </c>
      <c r="V752">
        <v>1970</v>
      </c>
      <c r="W752" s="4" t="s">
        <v>7153</v>
      </c>
      <c r="X752" s="4" t="s">
        <v>7154</v>
      </c>
      <c r="Y752" s="4" t="s">
        <v>7155</v>
      </c>
      <c r="Z752" s="4" t="s">
        <v>7156</v>
      </c>
      <c r="AA752" s="4" t="s">
        <v>47</v>
      </c>
      <c r="AB752" s="4" t="s">
        <v>47</v>
      </c>
      <c r="AC752" s="4" t="s">
        <v>7157</v>
      </c>
      <c r="AD752" s="4" t="s">
        <v>47</v>
      </c>
      <c r="AE752" s="4" t="s">
        <v>47</v>
      </c>
      <c r="AF752" s="4" t="s">
        <v>47</v>
      </c>
      <c r="AG752" s="4" t="s">
        <v>47</v>
      </c>
      <c r="AH752" s="4" t="s">
        <v>47</v>
      </c>
      <c r="AI752" s="4" t="s">
        <v>47</v>
      </c>
      <c r="AJ752" s="4" t="s">
        <v>47</v>
      </c>
      <c r="AK752" s="4" t="s">
        <v>47</v>
      </c>
      <c r="AL752" s="4" t="s">
        <v>47</v>
      </c>
      <c r="AM752" s="4" t="s">
        <v>47</v>
      </c>
      <c r="AN752" s="4" t="s">
        <v>47</v>
      </c>
      <c r="AO752" s="4" t="s">
        <v>47</v>
      </c>
      <c r="AP752" s="4" t="s">
        <v>47</v>
      </c>
      <c r="AQ752" s="4" t="s">
        <v>7158</v>
      </c>
      <c r="AR752" s="4" t="s">
        <v>7159</v>
      </c>
    </row>
    <row r="753" spans="1:44" x14ac:dyDescent="0.2">
      <c r="A753" s="4" t="s">
        <v>116</v>
      </c>
      <c r="B753" s="4" t="s">
        <v>270</v>
      </c>
      <c r="C753">
        <v>1</v>
      </c>
      <c r="F753">
        <v>1</v>
      </c>
      <c r="I753" s="4" t="s">
        <v>7123</v>
      </c>
      <c r="J753" s="4" t="s">
        <v>4398</v>
      </c>
      <c r="K753" s="4" t="s">
        <v>7077</v>
      </c>
      <c r="L753" s="4" t="s">
        <v>7078</v>
      </c>
      <c r="M753">
        <v>9624</v>
      </c>
      <c r="N753" s="4" t="s">
        <v>7040</v>
      </c>
      <c r="O753" s="4" t="s">
        <v>7160</v>
      </c>
      <c r="P753" s="4" t="s">
        <v>811</v>
      </c>
      <c r="Q753" s="9">
        <v>25726</v>
      </c>
      <c r="R753" s="4" t="s">
        <v>1046</v>
      </c>
      <c r="S753" s="4" t="s">
        <v>7161</v>
      </c>
      <c r="T753" s="4" t="s">
        <v>47</v>
      </c>
      <c r="U753" s="4" t="s">
        <v>106</v>
      </c>
      <c r="V753">
        <v>1970</v>
      </c>
      <c r="W753" s="4" t="s">
        <v>7162</v>
      </c>
      <c r="X753" s="4" t="s">
        <v>7163</v>
      </c>
      <c r="Y753" s="4" t="s">
        <v>7164</v>
      </c>
      <c r="Z753" s="4" t="s">
        <v>7165</v>
      </c>
      <c r="AA753" s="4" t="s">
        <v>47</v>
      </c>
      <c r="AB753" s="4" t="s">
        <v>47</v>
      </c>
      <c r="AC753" s="4" t="s">
        <v>47</v>
      </c>
      <c r="AD753" s="4" t="s">
        <v>47</v>
      </c>
      <c r="AE753" s="4" t="s">
        <v>47</v>
      </c>
      <c r="AF753" s="4" t="s">
        <v>47</v>
      </c>
      <c r="AG753" s="4" t="s">
        <v>47</v>
      </c>
      <c r="AH753" s="4" t="s">
        <v>47</v>
      </c>
      <c r="AI753" s="4" t="s">
        <v>47</v>
      </c>
      <c r="AJ753" s="4" t="s">
        <v>47</v>
      </c>
      <c r="AK753" s="4" t="s">
        <v>47</v>
      </c>
      <c r="AL753" s="4" t="s">
        <v>47</v>
      </c>
      <c r="AM753" s="4" t="s">
        <v>47</v>
      </c>
      <c r="AN753" s="4" t="s">
        <v>47</v>
      </c>
      <c r="AO753" s="4" t="s">
        <v>7166</v>
      </c>
      <c r="AP753" s="4" t="s">
        <v>7167</v>
      </c>
      <c r="AQ753" s="4" t="s">
        <v>7168</v>
      </c>
      <c r="AR753" s="4" t="s">
        <v>7169</v>
      </c>
    </row>
    <row r="754" spans="1:44" x14ac:dyDescent="0.2">
      <c r="A754" s="4" t="s">
        <v>227</v>
      </c>
      <c r="B754" s="4" t="s">
        <v>114</v>
      </c>
      <c r="C754">
        <v>2</v>
      </c>
      <c r="F754">
        <v>1</v>
      </c>
      <c r="I754" s="4" t="s">
        <v>7112</v>
      </c>
      <c r="J754" s="4" t="s">
        <v>7113</v>
      </c>
      <c r="K754" s="4" t="s">
        <v>7096</v>
      </c>
      <c r="L754" s="4" t="s">
        <v>7170</v>
      </c>
      <c r="M754">
        <v>56818</v>
      </c>
      <c r="N754" s="4" t="s">
        <v>5440</v>
      </c>
      <c r="O754" s="4" t="s">
        <v>7171</v>
      </c>
      <c r="P754" s="4" t="s">
        <v>811</v>
      </c>
      <c r="Q754" s="9">
        <v>25725</v>
      </c>
      <c r="R754" s="4" t="s">
        <v>617</v>
      </c>
      <c r="S754" s="4" t="s">
        <v>7172</v>
      </c>
      <c r="T754" s="4" t="s">
        <v>47</v>
      </c>
      <c r="U754" s="4" t="s">
        <v>106</v>
      </c>
      <c r="V754">
        <v>1970</v>
      </c>
      <c r="W754" s="4" t="s">
        <v>7173</v>
      </c>
      <c r="X754" s="4" t="s">
        <v>7174</v>
      </c>
      <c r="Y754" s="4" t="s">
        <v>7175</v>
      </c>
      <c r="Z754" s="4" t="s">
        <v>7176</v>
      </c>
      <c r="AA754" s="4" t="s">
        <v>47</v>
      </c>
      <c r="AB754" s="4" t="s">
        <v>47</v>
      </c>
      <c r="AC754" s="4" t="s">
        <v>7177</v>
      </c>
      <c r="AD754" s="4" t="s">
        <v>47</v>
      </c>
      <c r="AE754" s="4" t="s">
        <v>47</v>
      </c>
      <c r="AF754" s="4" t="s">
        <v>47</v>
      </c>
      <c r="AG754" s="4" t="s">
        <v>47</v>
      </c>
      <c r="AH754" s="4" t="s">
        <v>47</v>
      </c>
      <c r="AI754" s="4" t="s">
        <v>47</v>
      </c>
      <c r="AJ754" s="4" t="s">
        <v>47</v>
      </c>
      <c r="AK754" s="4" t="s">
        <v>47</v>
      </c>
      <c r="AL754" s="4" t="s">
        <v>47</v>
      </c>
      <c r="AM754" s="4" t="s">
        <v>47</v>
      </c>
      <c r="AN754" s="4" t="s">
        <v>47</v>
      </c>
      <c r="AO754" s="4" t="s">
        <v>7178</v>
      </c>
      <c r="AP754" s="4" t="s">
        <v>7179</v>
      </c>
      <c r="AQ754" s="4" t="s">
        <v>7180</v>
      </c>
      <c r="AR754" s="4" t="s">
        <v>7181</v>
      </c>
    </row>
    <row r="755" spans="1:44" x14ac:dyDescent="0.2">
      <c r="A755" s="4" t="s">
        <v>121</v>
      </c>
      <c r="B755" s="4" t="s">
        <v>97</v>
      </c>
      <c r="C755">
        <v>0</v>
      </c>
      <c r="F755">
        <v>0</v>
      </c>
      <c r="I755" s="4" t="s">
        <v>7001</v>
      </c>
      <c r="J755" s="4" t="s">
        <v>7002</v>
      </c>
      <c r="K755" s="4" t="s">
        <v>6811</v>
      </c>
      <c r="L755" s="4" t="s">
        <v>6812</v>
      </c>
      <c r="M755">
        <v>29968</v>
      </c>
      <c r="N755" s="4" t="s">
        <v>5429</v>
      </c>
      <c r="O755" s="4" t="s">
        <v>7182</v>
      </c>
      <c r="P755" s="4" t="s">
        <v>811</v>
      </c>
      <c r="Q755" s="9">
        <v>25725</v>
      </c>
      <c r="R755" s="4" t="s">
        <v>869</v>
      </c>
      <c r="S755" s="4" t="s">
        <v>6738</v>
      </c>
      <c r="T755" s="4" t="s">
        <v>47</v>
      </c>
      <c r="U755" s="4" t="s">
        <v>106</v>
      </c>
      <c r="V755">
        <v>1970</v>
      </c>
      <c r="W755" s="4" t="s">
        <v>47</v>
      </c>
      <c r="X755" s="4" t="s">
        <v>47</v>
      </c>
      <c r="Y755" s="4" t="s">
        <v>47</v>
      </c>
      <c r="Z755" s="4" t="s">
        <v>47</v>
      </c>
      <c r="AA755" s="4" t="s">
        <v>47</v>
      </c>
      <c r="AB755" s="4" t="s">
        <v>47</v>
      </c>
      <c r="AC755" s="4" t="s">
        <v>47</v>
      </c>
      <c r="AD755" s="4" t="s">
        <v>47</v>
      </c>
      <c r="AE755" s="4" t="s">
        <v>47</v>
      </c>
      <c r="AF755" s="4" t="s">
        <v>47</v>
      </c>
      <c r="AG755" s="4" t="s">
        <v>47</v>
      </c>
      <c r="AH755" s="4" t="s">
        <v>47</v>
      </c>
      <c r="AI755" s="4" t="s">
        <v>47</v>
      </c>
      <c r="AJ755" s="4" t="s">
        <v>47</v>
      </c>
      <c r="AK755" s="4" t="s">
        <v>47</v>
      </c>
      <c r="AL755" s="4" t="s">
        <v>47</v>
      </c>
      <c r="AM755" s="4" t="s">
        <v>47</v>
      </c>
      <c r="AN755" s="4" t="s">
        <v>47</v>
      </c>
      <c r="AO755" s="4" t="s">
        <v>7183</v>
      </c>
      <c r="AP755" s="4" t="s">
        <v>47</v>
      </c>
      <c r="AQ755" s="4" t="s">
        <v>7184</v>
      </c>
      <c r="AR755" s="4" t="s">
        <v>7185</v>
      </c>
    </row>
    <row r="756" spans="1:44" x14ac:dyDescent="0.2">
      <c r="A756" s="4" t="s">
        <v>5211</v>
      </c>
      <c r="B756" s="4" t="s">
        <v>148</v>
      </c>
      <c r="C756">
        <v>4</v>
      </c>
      <c r="F756">
        <v>1</v>
      </c>
      <c r="I756" s="4" t="s">
        <v>7050</v>
      </c>
      <c r="J756" s="4" t="s">
        <v>7051</v>
      </c>
      <c r="K756" s="4" t="s">
        <v>7070</v>
      </c>
      <c r="L756" s="4" t="s">
        <v>4559</v>
      </c>
      <c r="M756">
        <v>95261</v>
      </c>
      <c r="N756" s="4" t="s">
        <v>5417</v>
      </c>
      <c r="O756" s="4" t="s">
        <v>7186</v>
      </c>
      <c r="P756" s="4" t="s">
        <v>811</v>
      </c>
      <c r="Q756" s="9">
        <v>25725</v>
      </c>
      <c r="R756" s="4" t="s">
        <v>757</v>
      </c>
      <c r="S756" s="4" t="s">
        <v>6757</v>
      </c>
      <c r="T756" s="4" t="s">
        <v>47</v>
      </c>
      <c r="U756" s="4" t="s">
        <v>106</v>
      </c>
      <c r="V756">
        <v>1970</v>
      </c>
      <c r="W756" s="4" t="s">
        <v>7187</v>
      </c>
      <c r="X756" s="4" t="s">
        <v>7188</v>
      </c>
      <c r="Y756" s="4" t="s">
        <v>7189</v>
      </c>
      <c r="Z756" s="4" t="s">
        <v>7190</v>
      </c>
      <c r="AA756" s="4" t="s">
        <v>47</v>
      </c>
      <c r="AB756" s="4" t="s">
        <v>47</v>
      </c>
      <c r="AC756" s="4" t="s">
        <v>47</v>
      </c>
      <c r="AD756" s="4" t="s">
        <v>47</v>
      </c>
      <c r="AE756" s="4" t="s">
        <v>47</v>
      </c>
      <c r="AF756" s="4" t="s">
        <v>47</v>
      </c>
      <c r="AG756" s="4" t="s">
        <v>47</v>
      </c>
      <c r="AH756" s="4" t="s">
        <v>47</v>
      </c>
      <c r="AI756" s="4" t="s">
        <v>47</v>
      </c>
      <c r="AJ756" s="4" t="s">
        <v>47</v>
      </c>
      <c r="AK756" s="4" t="s">
        <v>47</v>
      </c>
      <c r="AL756" s="4" t="s">
        <v>47</v>
      </c>
      <c r="AM756" s="4" t="s">
        <v>47</v>
      </c>
      <c r="AN756" s="4" t="s">
        <v>47</v>
      </c>
      <c r="AO756" s="4" t="s">
        <v>47</v>
      </c>
      <c r="AP756" s="4" t="s">
        <v>47</v>
      </c>
      <c r="AQ756" s="4" t="s">
        <v>7191</v>
      </c>
      <c r="AR756" s="4" t="s">
        <v>47</v>
      </c>
    </row>
    <row r="757" spans="1:44" x14ac:dyDescent="0.2">
      <c r="A757" s="4" t="s">
        <v>223</v>
      </c>
      <c r="B757" s="4" t="s">
        <v>144</v>
      </c>
      <c r="C757">
        <v>3</v>
      </c>
      <c r="F757">
        <v>0</v>
      </c>
      <c r="I757" s="4" t="s">
        <v>7030</v>
      </c>
      <c r="J757" s="4" t="s">
        <v>6423</v>
      </c>
      <c r="K757" s="4" t="s">
        <v>6865</v>
      </c>
      <c r="L757" s="4" t="s">
        <v>7087</v>
      </c>
      <c r="M757">
        <v>13537</v>
      </c>
      <c r="N757" s="4" t="s">
        <v>5576</v>
      </c>
      <c r="O757" s="4" t="s">
        <v>7192</v>
      </c>
      <c r="P757" s="4" t="s">
        <v>811</v>
      </c>
      <c r="Q757" s="9">
        <v>25725</v>
      </c>
      <c r="R757" s="4" t="s">
        <v>638</v>
      </c>
      <c r="S757" s="4" t="s">
        <v>7193</v>
      </c>
      <c r="T757" s="4" t="s">
        <v>47</v>
      </c>
      <c r="U757" s="4" t="s">
        <v>106</v>
      </c>
      <c r="V757">
        <v>1970</v>
      </c>
      <c r="W757" s="4" t="s">
        <v>7194</v>
      </c>
      <c r="X757" s="4" t="s">
        <v>47</v>
      </c>
      <c r="Y757" s="4" t="s">
        <v>7195</v>
      </c>
      <c r="Z757" s="4" t="s">
        <v>47</v>
      </c>
      <c r="AA757" s="4" t="s">
        <v>47</v>
      </c>
      <c r="AB757" s="4" t="s">
        <v>47</v>
      </c>
      <c r="AC757" s="4" t="s">
        <v>47</v>
      </c>
      <c r="AD757" s="4" t="s">
        <v>47</v>
      </c>
      <c r="AE757" s="4" t="s">
        <v>47</v>
      </c>
      <c r="AF757" s="4" t="s">
        <v>47</v>
      </c>
      <c r="AG757" s="4" t="s">
        <v>47</v>
      </c>
      <c r="AH757" s="4" t="s">
        <v>47</v>
      </c>
      <c r="AI757" s="4" t="s">
        <v>47</v>
      </c>
      <c r="AJ757" s="4" t="s">
        <v>47</v>
      </c>
      <c r="AK757" s="4" t="s">
        <v>47</v>
      </c>
      <c r="AL757" s="4" t="s">
        <v>47</v>
      </c>
      <c r="AM757" s="4" t="s">
        <v>47</v>
      </c>
      <c r="AN757" s="4" t="s">
        <v>47</v>
      </c>
      <c r="AO757" s="4" t="s">
        <v>47</v>
      </c>
      <c r="AP757" s="4" t="s">
        <v>47</v>
      </c>
      <c r="AQ757" s="4" t="s">
        <v>7196</v>
      </c>
      <c r="AR757" s="4" t="s">
        <v>7197</v>
      </c>
    </row>
    <row r="758" spans="1:44" x14ac:dyDescent="0.2">
      <c r="A758" s="4" t="s">
        <v>148</v>
      </c>
      <c r="B758" s="4" t="s">
        <v>319</v>
      </c>
      <c r="C758">
        <v>3</v>
      </c>
      <c r="F758">
        <v>0</v>
      </c>
      <c r="I758" s="4" t="s">
        <v>7070</v>
      </c>
      <c r="J758" s="4" t="s">
        <v>4559</v>
      </c>
      <c r="K758" s="4" t="s">
        <v>7130</v>
      </c>
      <c r="L758" s="4" t="s">
        <v>7131</v>
      </c>
      <c r="M758">
        <v>92205</v>
      </c>
      <c r="N758" s="4" t="s">
        <v>5417</v>
      </c>
      <c r="O758" s="4" t="s">
        <v>7198</v>
      </c>
      <c r="P758" s="4" t="s">
        <v>811</v>
      </c>
      <c r="Q758" s="9">
        <v>25722</v>
      </c>
      <c r="R758" s="4" t="s">
        <v>638</v>
      </c>
      <c r="S758" s="4" t="s">
        <v>7199</v>
      </c>
      <c r="T758" s="4" t="s">
        <v>47</v>
      </c>
      <c r="U758" s="4" t="s">
        <v>106</v>
      </c>
      <c r="V758">
        <v>1970</v>
      </c>
      <c r="W758" s="4" t="s">
        <v>7200</v>
      </c>
      <c r="X758" s="4" t="s">
        <v>47</v>
      </c>
      <c r="Y758" s="4" t="s">
        <v>7201</v>
      </c>
      <c r="Z758" s="4" t="s">
        <v>47</v>
      </c>
      <c r="AA758" s="4" t="s">
        <v>47</v>
      </c>
      <c r="AB758" s="4" t="s">
        <v>47</v>
      </c>
      <c r="AC758" s="4" t="s">
        <v>7202</v>
      </c>
      <c r="AD758" s="4" t="s">
        <v>47</v>
      </c>
      <c r="AE758" s="4" t="s">
        <v>47</v>
      </c>
      <c r="AF758" s="4" t="s">
        <v>47</v>
      </c>
      <c r="AG758" s="4" t="s">
        <v>47</v>
      </c>
      <c r="AH758" s="4" t="s">
        <v>47</v>
      </c>
      <c r="AI758" s="4" t="s">
        <v>47</v>
      </c>
      <c r="AJ758" s="4" t="s">
        <v>47</v>
      </c>
      <c r="AK758" s="4" t="s">
        <v>47</v>
      </c>
      <c r="AL758" s="4" t="s">
        <v>47</v>
      </c>
      <c r="AM758" s="4" t="s">
        <v>47</v>
      </c>
      <c r="AN758" s="4" t="s">
        <v>47</v>
      </c>
      <c r="AO758" s="4" t="s">
        <v>47</v>
      </c>
      <c r="AP758" s="4" t="s">
        <v>47</v>
      </c>
      <c r="AQ758" s="4" t="s">
        <v>7203</v>
      </c>
      <c r="AR758" s="4" t="s">
        <v>7204</v>
      </c>
    </row>
    <row r="759" spans="1:44" x14ac:dyDescent="0.2">
      <c r="A759" s="4" t="s">
        <v>12</v>
      </c>
      <c r="B759" s="4" t="s">
        <v>114</v>
      </c>
      <c r="C759">
        <v>4</v>
      </c>
      <c r="F759">
        <v>1</v>
      </c>
      <c r="I759" s="4" t="s">
        <v>6686</v>
      </c>
      <c r="J759" s="4" t="s">
        <v>6991</v>
      </c>
      <c r="K759" s="4" t="s">
        <v>7096</v>
      </c>
      <c r="L759" s="4" t="s">
        <v>7170</v>
      </c>
      <c r="M759">
        <v>52897</v>
      </c>
      <c r="N759" s="4" t="s">
        <v>5440</v>
      </c>
      <c r="O759" s="4" t="s">
        <v>7205</v>
      </c>
      <c r="P759" s="4" t="s">
        <v>811</v>
      </c>
      <c r="Q759" s="9">
        <v>25722</v>
      </c>
      <c r="R759" s="4" t="s">
        <v>757</v>
      </c>
      <c r="S759" s="4" t="s">
        <v>6441</v>
      </c>
      <c r="T759" s="4" t="s">
        <v>47</v>
      </c>
      <c r="U759" s="4" t="s">
        <v>106</v>
      </c>
      <c r="V759">
        <v>1970</v>
      </c>
      <c r="W759" s="4" t="s">
        <v>7206</v>
      </c>
      <c r="X759" s="4" t="s">
        <v>7207</v>
      </c>
      <c r="Y759" s="4" t="s">
        <v>7208</v>
      </c>
      <c r="Z759" s="4" t="s">
        <v>7209</v>
      </c>
      <c r="AA759" s="4" t="s">
        <v>47</v>
      </c>
      <c r="AB759" s="4" t="s">
        <v>47</v>
      </c>
      <c r="AC759" s="4" t="s">
        <v>47</v>
      </c>
      <c r="AD759" s="4" t="s">
        <v>47</v>
      </c>
      <c r="AE759" s="4" t="s">
        <v>47</v>
      </c>
      <c r="AF759" s="4" t="s">
        <v>47</v>
      </c>
      <c r="AG759" s="4" t="s">
        <v>47</v>
      </c>
      <c r="AH759" s="4" t="s">
        <v>47</v>
      </c>
      <c r="AI759" s="4" t="s">
        <v>47</v>
      </c>
      <c r="AJ759" s="4" t="s">
        <v>47</v>
      </c>
      <c r="AK759" s="4" t="s">
        <v>47</v>
      </c>
      <c r="AL759" s="4" t="s">
        <v>47</v>
      </c>
      <c r="AM759" s="4" t="s">
        <v>47</v>
      </c>
      <c r="AN759" s="4" t="s">
        <v>47</v>
      </c>
      <c r="AO759" s="4" t="s">
        <v>7210</v>
      </c>
      <c r="AP759" s="4" t="s">
        <v>7211</v>
      </c>
      <c r="AQ759" s="4" t="s">
        <v>7212</v>
      </c>
      <c r="AR759" s="4" t="s">
        <v>7213</v>
      </c>
    </row>
    <row r="760" spans="1:44" x14ac:dyDescent="0.2">
      <c r="A760" s="4" t="s">
        <v>97</v>
      </c>
      <c r="B760" s="4" t="s">
        <v>116</v>
      </c>
      <c r="C760">
        <v>1</v>
      </c>
      <c r="F760">
        <v>0</v>
      </c>
      <c r="I760" s="4" t="s">
        <v>6811</v>
      </c>
      <c r="J760" s="4" t="s">
        <v>6812</v>
      </c>
      <c r="K760" s="4" t="s">
        <v>7123</v>
      </c>
      <c r="L760" s="4" t="s">
        <v>6499</v>
      </c>
      <c r="M760">
        <v>13433</v>
      </c>
      <c r="N760" s="4" t="s">
        <v>7040</v>
      </c>
      <c r="O760" s="4" t="s">
        <v>7214</v>
      </c>
      <c r="P760" s="4" t="s">
        <v>811</v>
      </c>
      <c r="Q760" s="9">
        <v>25722</v>
      </c>
      <c r="R760" s="4" t="s">
        <v>652</v>
      </c>
      <c r="S760" s="4" t="s">
        <v>6678</v>
      </c>
      <c r="T760" s="4" t="s">
        <v>47</v>
      </c>
      <c r="U760" s="4" t="s">
        <v>106</v>
      </c>
      <c r="V760">
        <v>1970</v>
      </c>
      <c r="W760" s="4" t="s">
        <v>7215</v>
      </c>
      <c r="X760" s="4" t="s">
        <v>47</v>
      </c>
      <c r="Y760" s="4" t="s">
        <v>7216</v>
      </c>
      <c r="Z760" s="4" t="s">
        <v>47</v>
      </c>
      <c r="AA760" s="4" t="s">
        <v>47</v>
      </c>
      <c r="AB760" s="4" t="s">
        <v>47</v>
      </c>
      <c r="AC760" s="4" t="s">
        <v>47</v>
      </c>
      <c r="AD760" s="4" t="s">
        <v>47</v>
      </c>
      <c r="AE760" s="4" t="s">
        <v>47</v>
      </c>
      <c r="AF760" s="4" t="s">
        <v>47</v>
      </c>
      <c r="AG760" s="4" t="s">
        <v>47</v>
      </c>
      <c r="AH760" s="4" t="s">
        <v>47</v>
      </c>
      <c r="AI760" s="4" t="s">
        <v>47</v>
      </c>
      <c r="AJ760" s="4" t="s">
        <v>47</v>
      </c>
      <c r="AK760" s="4" t="s">
        <v>47</v>
      </c>
      <c r="AL760" s="4" t="s">
        <v>47</v>
      </c>
      <c r="AM760" s="4" t="s">
        <v>47</v>
      </c>
      <c r="AN760" s="4" t="s">
        <v>47</v>
      </c>
      <c r="AO760" s="4" t="s">
        <v>47</v>
      </c>
      <c r="AP760" s="4" t="s">
        <v>7217</v>
      </c>
      <c r="AQ760" s="4" t="s">
        <v>7218</v>
      </c>
      <c r="AR760" s="4" t="s">
        <v>7219</v>
      </c>
    </row>
    <row r="761" spans="1:44" x14ac:dyDescent="0.2">
      <c r="A761" s="4" t="s">
        <v>104</v>
      </c>
      <c r="B761" s="4" t="s">
        <v>144</v>
      </c>
      <c r="C761">
        <v>2</v>
      </c>
      <c r="F761">
        <v>1</v>
      </c>
      <c r="I761" s="4" t="s">
        <v>6398</v>
      </c>
      <c r="J761" s="4" t="s">
        <v>7000</v>
      </c>
      <c r="K761" s="4" t="s">
        <v>6865</v>
      </c>
      <c r="L761" s="4" t="s">
        <v>7087</v>
      </c>
      <c r="M761">
        <v>12942</v>
      </c>
      <c r="N761" s="4" t="s">
        <v>5576</v>
      </c>
      <c r="O761" s="4" t="s">
        <v>7220</v>
      </c>
      <c r="P761" s="4" t="s">
        <v>811</v>
      </c>
      <c r="Q761" s="9">
        <v>25722</v>
      </c>
      <c r="R761" s="4" t="s">
        <v>617</v>
      </c>
      <c r="S761" s="4" t="s">
        <v>7053</v>
      </c>
      <c r="T761" s="4" t="s">
        <v>47</v>
      </c>
      <c r="U761" s="4" t="s">
        <v>106</v>
      </c>
      <c r="V761">
        <v>1970</v>
      </c>
      <c r="W761" s="4" t="s">
        <v>7221</v>
      </c>
      <c r="X761" s="4" t="s">
        <v>7222</v>
      </c>
      <c r="Y761" s="4" t="s">
        <v>7223</v>
      </c>
      <c r="Z761" s="4" t="s">
        <v>7224</v>
      </c>
      <c r="AA761" s="4" t="s">
        <v>47</v>
      </c>
      <c r="AB761" s="4" t="s">
        <v>47</v>
      </c>
      <c r="AC761" s="4" t="s">
        <v>47</v>
      </c>
      <c r="AD761" s="4" t="s">
        <v>47</v>
      </c>
      <c r="AE761" s="4" t="s">
        <v>47</v>
      </c>
      <c r="AF761" s="4" t="s">
        <v>47</v>
      </c>
      <c r="AG761" s="4" t="s">
        <v>47</v>
      </c>
      <c r="AH761" s="4" t="s">
        <v>47</v>
      </c>
      <c r="AI761" s="4" t="s">
        <v>47</v>
      </c>
      <c r="AJ761" s="4" t="s">
        <v>47</v>
      </c>
      <c r="AK761" s="4" t="s">
        <v>47</v>
      </c>
      <c r="AL761" s="4" t="s">
        <v>47</v>
      </c>
      <c r="AM761" s="4" t="s">
        <v>47</v>
      </c>
      <c r="AN761" s="4" t="s">
        <v>47</v>
      </c>
      <c r="AO761" s="4" t="s">
        <v>47</v>
      </c>
      <c r="AP761" s="4" t="s">
        <v>47</v>
      </c>
      <c r="AQ761" s="4" t="s">
        <v>7225</v>
      </c>
      <c r="AR761" s="4" t="s">
        <v>7226</v>
      </c>
    </row>
    <row r="762" spans="1:44" x14ac:dyDescent="0.2">
      <c r="A762" s="4" t="s">
        <v>52</v>
      </c>
      <c r="B762" s="4" t="s">
        <v>227</v>
      </c>
      <c r="C762">
        <v>1</v>
      </c>
      <c r="F762">
        <v>0</v>
      </c>
      <c r="I762" s="4" t="s">
        <v>7059</v>
      </c>
      <c r="J762" s="4" t="s">
        <v>7060</v>
      </c>
      <c r="K762" s="4" t="s">
        <v>7112</v>
      </c>
      <c r="L762" s="4" t="s">
        <v>7113</v>
      </c>
      <c r="M762">
        <v>50560</v>
      </c>
      <c r="N762" s="4" t="s">
        <v>5440</v>
      </c>
      <c r="O762" s="4" t="s">
        <v>7227</v>
      </c>
      <c r="P762" s="4" t="s">
        <v>811</v>
      </c>
      <c r="Q762" s="9">
        <v>25721</v>
      </c>
      <c r="R762" s="4" t="s">
        <v>652</v>
      </c>
      <c r="S762" s="4" t="s">
        <v>6749</v>
      </c>
      <c r="T762" s="4" t="s">
        <v>47</v>
      </c>
      <c r="U762" s="4" t="s">
        <v>106</v>
      </c>
      <c r="V762">
        <v>1970</v>
      </c>
      <c r="W762" s="4" t="s">
        <v>7228</v>
      </c>
      <c r="X762" s="4" t="s">
        <v>47</v>
      </c>
      <c r="Y762" s="4" t="s">
        <v>7229</v>
      </c>
      <c r="Z762" s="4" t="s">
        <v>47</v>
      </c>
      <c r="AA762" s="4" t="s">
        <v>47</v>
      </c>
      <c r="AB762" s="4" t="s">
        <v>47</v>
      </c>
      <c r="AC762" s="4" t="s">
        <v>47</v>
      </c>
      <c r="AD762" s="4" t="s">
        <v>47</v>
      </c>
      <c r="AE762" s="4" t="s">
        <v>47</v>
      </c>
      <c r="AF762" s="4" t="s">
        <v>47</v>
      </c>
      <c r="AG762" s="4" t="s">
        <v>47</v>
      </c>
      <c r="AH762" s="4" t="s">
        <v>47</v>
      </c>
      <c r="AI762" s="4" t="s">
        <v>47</v>
      </c>
      <c r="AJ762" s="4" t="s">
        <v>47</v>
      </c>
      <c r="AK762" s="4" t="s">
        <v>47</v>
      </c>
      <c r="AL762" s="4" t="s">
        <v>47</v>
      </c>
      <c r="AM762" s="4" t="s">
        <v>47</v>
      </c>
      <c r="AN762" s="4" t="s">
        <v>47</v>
      </c>
      <c r="AO762" s="4" t="s">
        <v>47</v>
      </c>
      <c r="AP762" s="4" t="s">
        <v>47</v>
      </c>
      <c r="AQ762" s="4" t="s">
        <v>7230</v>
      </c>
      <c r="AR762" s="4" t="s">
        <v>7231</v>
      </c>
    </row>
    <row r="763" spans="1:44" x14ac:dyDescent="0.2">
      <c r="A763" s="4" t="s">
        <v>223</v>
      </c>
      <c r="B763" s="4" t="s">
        <v>293</v>
      </c>
      <c r="C763">
        <v>3</v>
      </c>
      <c r="F763">
        <v>2</v>
      </c>
      <c r="I763" s="4" t="s">
        <v>7030</v>
      </c>
      <c r="J763" s="4" t="s">
        <v>6423</v>
      </c>
      <c r="K763" s="4" t="s">
        <v>7085</v>
      </c>
      <c r="L763" s="4" t="s">
        <v>7232</v>
      </c>
      <c r="M763">
        <v>13765</v>
      </c>
      <c r="N763" s="4" t="s">
        <v>5576</v>
      </c>
      <c r="O763" s="4" t="s">
        <v>7233</v>
      </c>
      <c r="P763" s="4" t="s">
        <v>811</v>
      </c>
      <c r="Q763" s="9">
        <v>25721</v>
      </c>
      <c r="R763" s="4" t="s">
        <v>1130</v>
      </c>
      <c r="S763" s="4" t="s">
        <v>7004</v>
      </c>
      <c r="T763" s="4" t="s">
        <v>47</v>
      </c>
      <c r="U763" s="4" t="s">
        <v>106</v>
      </c>
      <c r="V763">
        <v>1970</v>
      </c>
      <c r="W763" s="4" t="s">
        <v>7234</v>
      </c>
      <c r="X763" s="4" t="s">
        <v>7235</v>
      </c>
      <c r="Y763" s="4" t="s">
        <v>7236</v>
      </c>
      <c r="Z763" s="4" t="s">
        <v>7237</v>
      </c>
      <c r="AA763" s="4" t="s">
        <v>47</v>
      </c>
      <c r="AB763" s="4" t="s">
        <v>47</v>
      </c>
      <c r="AC763" s="4" t="s">
        <v>47</v>
      </c>
      <c r="AD763" s="4" t="s">
        <v>47</v>
      </c>
      <c r="AE763" s="4" t="s">
        <v>47</v>
      </c>
      <c r="AF763" s="4" t="s">
        <v>47</v>
      </c>
      <c r="AG763" s="4" t="s">
        <v>47</v>
      </c>
      <c r="AH763" s="4" t="s">
        <v>47</v>
      </c>
      <c r="AI763" s="4" t="s">
        <v>47</v>
      </c>
      <c r="AJ763" s="4" t="s">
        <v>47</v>
      </c>
      <c r="AK763" s="4" t="s">
        <v>47</v>
      </c>
      <c r="AL763" s="4" t="s">
        <v>47</v>
      </c>
      <c r="AM763" s="4" t="s">
        <v>47</v>
      </c>
      <c r="AN763" s="4" t="s">
        <v>47</v>
      </c>
      <c r="AO763" s="4" t="s">
        <v>47</v>
      </c>
      <c r="AP763" s="4" t="s">
        <v>47</v>
      </c>
      <c r="AQ763" s="4" t="s">
        <v>7238</v>
      </c>
      <c r="AR763" s="4" t="s">
        <v>7239</v>
      </c>
    </row>
    <row r="764" spans="1:44" x14ac:dyDescent="0.2">
      <c r="A764" s="4" t="s">
        <v>121</v>
      </c>
      <c r="B764" s="4" t="s">
        <v>270</v>
      </c>
      <c r="C764">
        <v>2</v>
      </c>
      <c r="F764">
        <v>0</v>
      </c>
      <c r="I764" s="4" t="s">
        <v>7001</v>
      </c>
      <c r="J764" s="4" t="s">
        <v>7240</v>
      </c>
      <c r="K764" s="4" t="s">
        <v>7077</v>
      </c>
      <c r="L764" s="4" t="s">
        <v>7078</v>
      </c>
      <c r="M764">
        <v>20654</v>
      </c>
      <c r="N764" s="4" t="s">
        <v>5429</v>
      </c>
      <c r="O764" s="4" t="s">
        <v>7241</v>
      </c>
      <c r="P764" s="4" t="s">
        <v>811</v>
      </c>
      <c r="Q764" s="9">
        <v>25721</v>
      </c>
      <c r="R764" s="4" t="s">
        <v>630</v>
      </c>
      <c r="S764" s="4" t="s">
        <v>6794</v>
      </c>
      <c r="T764" s="4" t="s">
        <v>47</v>
      </c>
      <c r="U764" s="4" t="s">
        <v>106</v>
      </c>
      <c r="V764">
        <v>1970</v>
      </c>
      <c r="W764" s="4" t="s">
        <v>7242</v>
      </c>
      <c r="X764" s="4" t="s">
        <v>47</v>
      </c>
      <c r="Y764" s="4" t="s">
        <v>7243</v>
      </c>
      <c r="Z764" s="4" t="s">
        <v>47</v>
      </c>
      <c r="AA764" s="4" t="s">
        <v>47</v>
      </c>
      <c r="AB764" s="4" t="s">
        <v>47</v>
      </c>
      <c r="AC764" s="4" t="s">
        <v>47</v>
      </c>
      <c r="AD764" s="4" t="s">
        <v>47</v>
      </c>
      <c r="AE764" s="4" t="s">
        <v>47</v>
      </c>
      <c r="AF764" s="4" t="s">
        <v>47</v>
      </c>
      <c r="AG764" s="4" t="s">
        <v>47</v>
      </c>
      <c r="AH764" s="4" t="s">
        <v>47</v>
      </c>
      <c r="AI764" s="4" t="s">
        <v>47</v>
      </c>
      <c r="AJ764" s="4" t="s">
        <v>47</v>
      </c>
      <c r="AK764" s="4" t="s">
        <v>47</v>
      </c>
      <c r="AL764" s="4" t="s">
        <v>47</v>
      </c>
      <c r="AM764" s="4" t="s">
        <v>47</v>
      </c>
      <c r="AN764" s="4" t="s">
        <v>47</v>
      </c>
      <c r="AO764" s="4" t="s">
        <v>47</v>
      </c>
      <c r="AP764" s="4" t="s">
        <v>47</v>
      </c>
      <c r="AQ764" s="4" t="s">
        <v>7244</v>
      </c>
      <c r="AR764" s="4" t="s">
        <v>7245</v>
      </c>
    </row>
    <row r="765" spans="1:44" x14ac:dyDescent="0.2">
      <c r="A765" s="4" t="s">
        <v>106</v>
      </c>
      <c r="B765" s="4" t="s">
        <v>5211</v>
      </c>
      <c r="C765">
        <v>0</v>
      </c>
      <c r="F765">
        <v>0</v>
      </c>
      <c r="I765" s="4" t="s">
        <v>7038</v>
      </c>
      <c r="J765" s="4" t="s">
        <v>7039</v>
      </c>
      <c r="K765" s="4" t="s">
        <v>7050</v>
      </c>
      <c r="L765" s="4" t="s">
        <v>7051</v>
      </c>
      <c r="M765">
        <v>107160</v>
      </c>
      <c r="N765" s="4" t="s">
        <v>5417</v>
      </c>
      <c r="O765" s="4" t="s">
        <v>7246</v>
      </c>
      <c r="P765" s="4" t="s">
        <v>811</v>
      </c>
      <c r="Q765" s="9">
        <v>25719</v>
      </c>
      <c r="R765" s="4" t="s">
        <v>869</v>
      </c>
      <c r="S765" s="4" t="s">
        <v>6704</v>
      </c>
      <c r="T765" s="4" t="s">
        <v>47</v>
      </c>
      <c r="U765" s="4" t="s">
        <v>106</v>
      </c>
      <c r="V765">
        <v>1970</v>
      </c>
      <c r="W765" s="4" t="s">
        <v>47</v>
      </c>
      <c r="X765" s="4" t="s">
        <v>47</v>
      </c>
      <c r="Y765" s="4" t="s">
        <v>47</v>
      </c>
      <c r="Z765" s="4" t="s">
        <v>47</v>
      </c>
      <c r="AA765" s="4" t="s">
        <v>47</v>
      </c>
      <c r="AB765" s="4" t="s">
        <v>47</v>
      </c>
      <c r="AC765" s="4" t="s">
        <v>47</v>
      </c>
      <c r="AD765" s="4" t="s">
        <v>47</v>
      </c>
      <c r="AE765" s="4" t="s">
        <v>47</v>
      </c>
      <c r="AF765" s="4" t="s">
        <v>47</v>
      </c>
      <c r="AG765" s="4" t="s">
        <v>47</v>
      </c>
      <c r="AH765" s="4" t="s">
        <v>47</v>
      </c>
      <c r="AI765" s="4" t="s">
        <v>47</v>
      </c>
      <c r="AJ765" s="4" t="s">
        <v>47</v>
      </c>
      <c r="AK765" s="4" t="s">
        <v>47</v>
      </c>
      <c r="AL765" s="4" t="s">
        <v>47</v>
      </c>
      <c r="AM765" s="4" t="s">
        <v>47</v>
      </c>
      <c r="AN765" s="4" t="s">
        <v>47</v>
      </c>
      <c r="AO765" s="4" t="s">
        <v>7247</v>
      </c>
      <c r="AP765" s="4" t="s">
        <v>7248</v>
      </c>
      <c r="AQ765" s="4" t="s">
        <v>7249</v>
      </c>
      <c r="AR765" s="4" t="s">
        <v>7250</v>
      </c>
    </row>
    <row r="766" spans="1:44" x14ac:dyDescent="0.2">
      <c r="A766" s="4" t="s">
        <v>52</v>
      </c>
      <c r="B766" s="4" t="s">
        <v>104</v>
      </c>
      <c r="C766">
        <v>4</v>
      </c>
      <c r="F766">
        <v>2</v>
      </c>
      <c r="I766" s="4" t="s">
        <v>7059</v>
      </c>
      <c r="J766" s="4" t="s">
        <v>7060</v>
      </c>
      <c r="K766" s="4" t="s">
        <v>6398</v>
      </c>
      <c r="L766" s="4" t="s">
        <v>7000</v>
      </c>
      <c r="M766">
        <v>96924</v>
      </c>
      <c r="N766" s="4" t="s">
        <v>7251</v>
      </c>
      <c r="O766" s="4" t="s">
        <v>7252</v>
      </c>
      <c r="P766" s="4" t="s">
        <v>593</v>
      </c>
      <c r="Q766" s="9">
        <v>24318</v>
      </c>
      <c r="R766" s="4" t="s">
        <v>1236</v>
      </c>
      <c r="S766" s="4" t="s">
        <v>7253</v>
      </c>
      <c r="T766" s="4" t="s">
        <v>1258</v>
      </c>
      <c r="U766" s="4" t="s">
        <v>52</v>
      </c>
      <c r="V766">
        <v>1966</v>
      </c>
      <c r="W766" s="4" t="s">
        <v>7254</v>
      </c>
      <c r="X766" s="4" t="s">
        <v>7255</v>
      </c>
      <c r="Y766" s="4" t="s">
        <v>7256</v>
      </c>
      <c r="Z766" s="4" t="s">
        <v>7257</v>
      </c>
      <c r="AA766" s="4" t="s">
        <v>47</v>
      </c>
      <c r="AB766" s="4" t="s">
        <v>47</v>
      </c>
      <c r="AC766" s="4" t="s">
        <v>47</v>
      </c>
      <c r="AD766" s="4" t="s">
        <v>47</v>
      </c>
      <c r="AE766" s="4" t="s">
        <v>47</v>
      </c>
      <c r="AF766" s="4" t="s">
        <v>47</v>
      </c>
      <c r="AG766" s="4" t="s">
        <v>47</v>
      </c>
      <c r="AH766" s="4" t="s">
        <v>47</v>
      </c>
      <c r="AI766" s="4" t="s">
        <v>47</v>
      </c>
      <c r="AJ766" s="4" t="s">
        <v>47</v>
      </c>
      <c r="AK766" s="4" t="s">
        <v>47</v>
      </c>
      <c r="AL766" s="4" t="s">
        <v>47</v>
      </c>
      <c r="AM766" s="4" t="s">
        <v>47</v>
      </c>
      <c r="AN766" s="4" t="s">
        <v>47</v>
      </c>
      <c r="AO766" s="4" t="s">
        <v>7258</v>
      </c>
      <c r="AP766" s="4" t="s">
        <v>47</v>
      </c>
      <c r="AQ766" s="4" t="s">
        <v>47</v>
      </c>
      <c r="AR766" s="4" t="s">
        <v>47</v>
      </c>
    </row>
    <row r="767" spans="1:44" x14ac:dyDescent="0.2">
      <c r="A767" s="4" t="s">
        <v>141</v>
      </c>
      <c r="B767" s="4" t="s">
        <v>5211</v>
      </c>
      <c r="C767">
        <v>2</v>
      </c>
      <c r="F767">
        <v>1</v>
      </c>
      <c r="I767" s="4" t="s">
        <v>7259</v>
      </c>
      <c r="J767" s="4" t="s">
        <v>7260</v>
      </c>
      <c r="K767" s="4" t="s">
        <v>7261</v>
      </c>
      <c r="L767" s="4" t="s">
        <v>7262</v>
      </c>
      <c r="M767">
        <v>87696</v>
      </c>
      <c r="N767" s="4" t="s">
        <v>7251</v>
      </c>
      <c r="O767" s="4" t="s">
        <v>7263</v>
      </c>
      <c r="P767" s="4" t="s">
        <v>616</v>
      </c>
      <c r="Q767" s="9">
        <v>24316</v>
      </c>
      <c r="R767" s="4" t="s">
        <v>617</v>
      </c>
      <c r="S767" s="4" t="s">
        <v>7264</v>
      </c>
      <c r="T767" s="4" t="s">
        <v>47</v>
      </c>
      <c r="U767" s="4" t="s">
        <v>52</v>
      </c>
      <c r="V767">
        <v>1966</v>
      </c>
      <c r="W767" s="4" t="s">
        <v>7265</v>
      </c>
      <c r="X767" s="4" t="s">
        <v>7266</v>
      </c>
      <c r="Y767" s="4" t="s">
        <v>7267</v>
      </c>
      <c r="Z767" s="4" t="s">
        <v>7268</v>
      </c>
      <c r="AA767" s="4" t="s">
        <v>47</v>
      </c>
      <c r="AB767" s="4" t="s">
        <v>47</v>
      </c>
      <c r="AC767" s="4" t="s">
        <v>7269</v>
      </c>
      <c r="AD767" s="4" t="s">
        <v>47</v>
      </c>
      <c r="AE767" s="4" t="s">
        <v>47</v>
      </c>
      <c r="AF767" s="4" t="s">
        <v>47</v>
      </c>
      <c r="AG767" s="4" t="s">
        <v>47</v>
      </c>
      <c r="AH767" s="4" t="s">
        <v>47</v>
      </c>
      <c r="AI767" s="4" t="s">
        <v>47</v>
      </c>
      <c r="AJ767" s="4" t="s">
        <v>47</v>
      </c>
      <c r="AK767" s="4" t="s">
        <v>47</v>
      </c>
      <c r="AL767" s="4" t="s">
        <v>47</v>
      </c>
      <c r="AM767" s="4" t="s">
        <v>47</v>
      </c>
      <c r="AN767" s="4" t="s">
        <v>47</v>
      </c>
      <c r="AO767" s="4" t="s">
        <v>47</v>
      </c>
      <c r="AP767" s="4" t="s">
        <v>47</v>
      </c>
      <c r="AQ767" s="4" t="s">
        <v>47</v>
      </c>
      <c r="AR767" s="4" t="s">
        <v>47</v>
      </c>
    </row>
    <row r="768" spans="1:44" x14ac:dyDescent="0.2">
      <c r="A768" s="4" t="s">
        <v>52</v>
      </c>
      <c r="B768" s="4" t="s">
        <v>141</v>
      </c>
      <c r="C768">
        <v>2</v>
      </c>
      <c r="F768">
        <v>1</v>
      </c>
      <c r="I768" s="4" t="s">
        <v>7059</v>
      </c>
      <c r="J768" s="4" t="s">
        <v>7060</v>
      </c>
      <c r="K768" s="4" t="s">
        <v>7259</v>
      </c>
      <c r="L768" s="4" t="s">
        <v>7260</v>
      </c>
      <c r="M768">
        <v>94493</v>
      </c>
      <c r="N768" s="4" t="s">
        <v>7251</v>
      </c>
      <c r="O768" s="4" t="s">
        <v>7270</v>
      </c>
      <c r="P768" s="4" t="s">
        <v>629</v>
      </c>
      <c r="Q768" s="9">
        <v>24314</v>
      </c>
      <c r="R768" s="4" t="s">
        <v>617</v>
      </c>
      <c r="S768" s="4" t="s">
        <v>7271</v>
      </c>
      <c r="T768" s="4" t="s">
        <v>47</v>
      </c>
      <c r="U768" s="4" t="s">
        <v>52</v>
      </c>
      <c r="V768">
        <v>1966</v>
      </c>
      <c r="W768" s="4" t="s">
        <v>7272</v>
      </c>
      <c r="X768" s="4" t="s">
        <v>47</v>
      </c>
      <c r="Y768" s="4" t="s">
        <v>7273</v>
      </c>
      <c r="Z768" s="4" t="s">
        <v>47</v>
      </c>
      <c r="AA768" s="4" t="s">
        <v>47</v>
      </c>
      <c r="AB768" s="4" t="s">
        <v>47</v>
      </c>
      <c r="AC768" s="4" t="s">
        <v>47</v>
      </c>
      <c r="AD768" s="4" t="s">
        <v>7274</v>
      </c>
      <c r="AE768" s="4" t="s">
        <v>47</v>
      </c>
      <c r="AF768" s="4" t="s">
        <v>47</v>
      </c>
      <c r="AG768" s="4" t="s">
        <v>47</v>
      </c>
      <c r="AH768" s="4" t="s">
        <v>47</v>
      </c>
      <c r="AI768" s="4" t="s">
        <v>47</v>
      </c>
      <c r="AJ768" s="4" t="s">
        <v>47</v>
      </c>
      <c r="AK768" s="4" t="s">
        <v>47</v>
      </c>
      <c r="AL768" s="4" t="s">
        <v>47</v>
      </c>
      <c r="AM768" s="4" t="s">
        <v>47</v>
      </c>
      <c r="AN768" s="4" t="s">
        <v>47</v>
      </c>
      <c r="AO768" s="4" t="s">
        <v>47</v>
      </c>
      <c r="AP768" s="4" t="s">
        <v>47</v>
      </c>
      <c r="AQ768" s="4" t="s">
        <v>47</v>
      </c>
      <c r="AR768" s="4" t="s">
        <v>47</v>
      </c>
    </row>
    <row r="769" spans="1:44" x14ac:dyDescent="0.2">
      <c r="A769" s="4" t="s">
        <v>104</v>
      </c>
      <c r="B769" s="4" t="s">
        <v>5211</v>
      </c>
      <c r="C769">
        <v>2</v>
      </c>
      <c r="F769">
        <v>1</v>
      </c>
      <c r="I769" s="4" t="s">
        <v>6398</v>
      </c>
      <c r="J769" s="4" t="s">
        <v>7000</v>
      </c>
      <c r="K769" s="4" t="s">
        <v>7261</v>
      </c>
      <c r="L769" s="4" t="s">
        <v>7051</v>
      </c>
      <c r="M769">
        <v>38273</v>
      </c>
      <c r="N769" s="4" t="s">
        <v>7275</v>
      </c>
      <c r="O769" s="4" t="s">
        <v>7276</v>
      </c>
      <c r="P769" s="4" t="s">
        <v>629</v>
      </c>
      <c r="Q769" s="9">
        <v>24313</v>
      </c>
      <c r="R769" s="4" t="s">
        <v>617</v>
      </c>
      <c r="S769" s="4" t="s">
        <v>7277</v>
      </c>
      <c r="T769" s="4" t="s">
        <v>47</v>
      </c>
      <c r="U769" s="4" t="s">
        <v>52</v>
      </c>
      <c r="V769">
        <v>1966</v>
      </c>
      <c r="W769" s="4" t="s">
        <v>7278</v>
      </c>
      <c r="X769" s="4" t="s">
        <v>7279</v>
      </c>
      <c r="Y769" s="4" t="s">
        <v>7280</v>
      </c>
      <c r="Z769" s="4" t="s">
        <v>7281</v>
      </c>
      <c r="AA769" s="4" t="s">
        <v>47</v>
      </c>
      <c r="AB769" s="4" t="s">
        <v>47</v>
      </c>
      <c r="AC769" s="4" t="s">
        <v>47</v>
      </c>
      <c r="AD769" s="4" t="s">
        <v>47</v>
      </c>
      <c r="AE769" s="4" t="s">
        <v>47</v>
      </c>
      <c r="AF769" s="4" t="s">
        <v>47</v>
      </c>
      <c r="AG769" s="4" t="s">
        <v>47</v>
      </c>
      <c r="AH769" s="4" t="s">
        <v>47</v>
      </c>
      <c r="AI769" s="4" t="s">
        <v>47</v>
      </c>
      <c r="AJ769" s="4" t="s">
        <v>47</v>
      </c>
      <c r="AK769" s="4" t="s">
        <v>47</v>
      </c>
      <c r="AL769" s="4" t="s">
        <v>7282</v>
      </c>
      <c r="AM769" s="4" t="s">
        <v>47</v>
      </c>
      <c r="AN769" s="4" t="s">
        <v>47</v>
      </c>
      <c r="AO769" s="4" t="s">
        <v>7283</v>
      </c>
      <c r="AP769" s="4" t="s">
        <v>7284</v>
      </c>
      <c r="AQ769" s="4" t="s">
        <v>47</v>
      </c>
      <c r="AR769" s="4" t="s">
        <v>47</v>
      </c>
    </row>
    <row r="770" spans="1:44" x14ac:dyDescent="0.2">
      <c r="A770" s="4" t="s">
        <v>141</v>
      </c>
      <c r="B770" s="4" t="s">
        <v>357</v>
      </c>
      <c r="C770">
        <v>5</v>
      </c>
      <c r="F770">
        <v>3</v>
      </c>
      <c r="I770" s="4" t="s">
        <v>7259</v>
      </c>
      <c r="J770" s="4" t="s">
        <v>7260</v>
      </c>
      <c r="K770" s="4" t="s">
        <v>7285</v>
      </c>
      <c r="L770" s="4" t="s">
        <v>7286</v>
      </c>
      <c r="M770">
        <v>40248</v>
      </c>
      <c r="N770" s="4" t="s">
        <v>7275</v>
      </c>
      <c r="O770" s="4" t="s">
        <v>7287</v>
      </c>
      <c r="P770" s="4" t="s">
        <v>651</v>
      </c>
      <c r="Q770" s="9">
        <v>24311</v>
      </c>
      <c r="R770" s="4" t="s">
        <v>7288</v>
      </c>
      <c r="S770" s="4" t="s">
        <v>7289</v>
      </c>
      <c r="T770" s="4" t="s">
        <v>47</v>
      </c>
      <c r="U770" s="4" t="s">
        <v>52</v>
      </c>
      <c r="V770">
        <v>1966</v>
      </c>
      <c r="W770" s="4" t="s">
        <v>7290</v>
      </c>
      <c r="X770" s="4" t="s">
        <v>7291</v>
      </c>
      <c r="Y770" s="4" t="s">
        <v>7292</v>
      </c>
      <c r="Z770" s="4" t="s">
        <v>7293</v>
      </c>
      <c r="AA770" s="4" t="s">
        <v>47</v>
      </c>
      <c r="AB770" s="4" t="s">
        <v>47</v>
      </c>
      <c r="AC770" s="4" t="s">
        <v>7294</v>
      </c>
      <c r="AD770" s="4" t="s">
        <v>47</v>
      </c>
      <c r="AE770" s="4" t="s">
        <v>47</v>
      </c>
      <c r="AF770" s="4" t="s">
        <v>47</v>
      </c>
      <c r="AG770" s="4" t="s">
        <v>47</v>
      </c>
      <c r="AH770" s="4" t="s">
        <v>47</v>
      </c>
      <c r="AI770" s="4" t="s">
        <v>47</v>
      </c>
      <c r="AJ770" s="4" t="s">
        <v>47</v>
      </c>
      <c r="AK770" s="4" t="s">
        <v>47</v>
      </c>
      <c r="AL770" s="4" t="s">
        <v>47</v>
      </c>
      <c r="AM770" s="4" t="s">
        <v>47</v>
      </c>
      <c r="AN770" s="4" t="s">
        <v>47</v>
      </c>
      <c r="AO770" s="4" t="s">
        <v>7295</v>
      </c>
      <c r="AP770" s="4" t="s">
        <v>47</v>
      </c>
      <c r="AQ770" s="4" t="s">
        <v>47</v>
      </c>
      <c r="AR770" s="4" t="s">
        <v>47</v>
      </c>
    </row>
    <row r="771" spans="1:44" x14ac:dyDescent="0.2">
      <c r="A771" s="4" t="s">
        <v>52</v>
      </c>
      <c r="B771" s="4" t="s">
        <v>26</v>
      </c>
      <c r="C771">
        <v>1</v>
      </c>
      <c r="F771">
        <v>0</v>
      </c>
      <c r="I771" s="4" t="s">
        <v>7059</v>
      </c>
      <c r="J771" s="4" t="s">
        <v>7060</v>
      </c>
      <c r="K771" s="4" t="s">
        <v>7296</v>
      </c>
      <c r="L771" s="4" t="s">
        <v>7297</v>
      </c>
      <c r="M771">
        <v>90584</v>
      </c>
      <c r="N771" s="4" t="s">
        <v>7251</v>
      </c>
      <c r="O771" s="4" t="s">
        <v>7298</v>
      </c>
      <c r="P771" s="4" t="s">
        <v>651</v>
      </c>
      <c r="Q771" s="9">
        <v>24311</v>
      </c>
      <c r="R771" s="4" t="s">
        <v>652</v>
      </c>
      <c r="S771" s="4" t="s">
        <v>7299</v>
      </c>
      <c r="T771" s="4" t="s">
        <v>47</v>
      </c>
      <c r="U771" s="4" t="s">
        <v>52</v>
      </c>
      <c r="V771">
        <v>1966</v>
      </c>
      <c r="W771" s="4" t="s">
        <v>7300</v>
      </c>
      <c r="X771" s="4" t="s">
        <v>47</v>
      </c>
      <c r="Y771" s="4" t="s">
        <v>7301</v>
      </c>
      <c r="Z771" s="4" t="s">
        <v>47</v>
      </c>
      <c r="AA771" s="4" t="s">
        <v>47</v>
      </c>
      <c r="AB771" s="4" t="s">
        <v>47</v>
      </c>
      <c r="AC771" s="4" t="s">
        <v>47</v>
      </c>
      <c r="AD771" s="4" t="s">
        <v>47</v>
      </c>
      <c r="AE771" s="4" t="s">
        <v>47</v>
      </c>
      <c r="AF771" s="4" t="s">
        <v>47</v>
      </c>
      <c r="AG771" s="4" t="s">
        <v>47</v>
      </c>
      <c r="AH771" s="4" t="s">
        <v>47</v>
      </c>
      <c r="AI771" s="4" t="s">
        <v>47</v>
      </c>
      <c r="AJ771" s="4" t="s">
        <v>47</v>
      </c>
      <c r="AK771" s="4" t="s">
        <v>47</v>
      </c>
      <c r="AL771" s="4" t="s">
        <v>7302</v>
      </c>
      <c r="AM771" s="4" t="s">
        <v>47</v>
      </c>
      <c r="AN771" s="4" t="s">
        <v>47</v>
      </c>
      <c r="AO771" s="4" t="s">
        <v>47</v>
      </c>
      <c r="AP771" s="4" t="s">
        <v>7303</v>
      </c>
      <c r="AQ771" s="4" t="s">
        <v>47</v>
      </c>
      <c r="AR771" s="4" t="s">
        <v>47</v>
      </c>
    </row>
    <row r="772" spans="1:44" x14ac:dyDescent="0.2">
      <c r="A772" s="4" t="s">
        <v>5211</v>
      </c>
      <c r="B772" s="4" t="s">
        <v>119</v>
      </c>
      <c r="C772">
        <v>2</v>
      </c>
      <c r="F772">
        <v>1</v>
      </c>
      <c r="I772" s="4" t="s">
        <v>7261</v>
      </c>
      <c r="J772" s="4" t="s">
        <v>7051</v>
      </c>
      <c r="K772" s="4" t="s">
        <v>6531</v>
      </c>
      <c r="L772" s="4" t="s">
        <v>7304</v>
      </c>
      <c r="M772">
        <v>26844</v>
      </c>
      <c r="N772" s="4" t="s">
        <v>7305</v>
      </c>
      <c r="O772" s="4" t="s">
        <v>7306</v>
      </c>
      <c r="P772" s="4" t="s">
        <v>651</v>
      </c>
      <c r="Q772" s="9">
        <v>24311</v>
      </c>
      <c r="R772" s="4" t="s">
        <v>617</v>
      </c>
      <c r="S772" s="4" t="s">
        <v>7307</v>
      </c>
      <c r="T772" s="4" t="s">
        <v>47</v>
      </c>
      <c r="U772" s="4" t="s">
        <v>52</v>
      </c>
      <c r="V772">
        <v>1966</v>
      </c>
      <c r="W772" s="4" t="s">
        <v>7308</v>
      </c>
      <c r="X772" s="4" t="s">
        <v>7309</v>
      </c>
      <c r="Y772" s="4" t="s">
        <v>7310</v>
      </c>
      <c r="Z772" s="4" t="s">
        <v>7311</v>
      </c>
      <c r="AA772" s="4" t="s">
        <v>47</v>
      </c>
      <c r="AB772" s="4" t="s">
        <v>47</v>
      </c>
      <c r="AC772" s="4" t="s">
        <v>47</v>
      </c>
      <c r="AD772" s="4" t="s">
        <v>47</v>
      </c>
      <c r="AE772" s="4" t="s">
        <v>47</v>
      </c>
      <c r="AF772" s="4" t="s">
        <v>47</v>
      </c>
      <c r="AG772" s="4" t="s">
        <v>47</v>
      </c>
      <c r="AH772" s="4" t="s">
        <v>47</v>
      </c>
      <c r="AI772" s="4" t="s">
        <v>47</v>
      </c>
      <c r="AJ772" s="4" t="s">
        <v>47</v>
      </c>
      <c r="AK772" s="4" t="s">
        <v>47</v>
      </c>
      <c r="AL772" s="4" t="s">
        <v>47</v>
      </c>
      <c r="AM772" s="4" t="s">
        <v>47</v>
      </c>
      <c r="AN772" s="4" t="s">
        <v>47</v>
      </c>
      <c r="AO772" s="4" t="s">
        <v>47</v>
      </c>
      <c r="AP772" s="4" t="s">
        <v>47</v>
      </c>
      <c r="AQ772" s="4" t="s">
        <v>47</v>
      </c>
      <c r="AR772" s="4" t="s">
        <v>47</v>
      </c>
    </row>
    <row r="773" spans="1:44" x14ac:dyDescent="0.2">
      <c r="A773" s="4" t="s">
        <v>104</v>
      </c>
      <c r="B773" s="4" t="s">
        <v>121</v>
      </c>
      <c r="C773">
        <v>4</v>
      </c>
      <c r="F773">
        <v>0</v>
      </c>
      <c r="I773" s="4" t="s">
        <v>6398</v>
      </c>
      <c r="J773" s="4" t="s">
        <v>7000</v>
      </c>
      <c r="K773" s="4" t="s">
        <v>7312</v>
      </c>
      <c r="L773" s="4" t="s">
        <v>7313</v>
      </c>
      <c r="M773">
        <v>40007</v>
      </c>
      <c r="N773" s="4" t="s">
        <v>7314</v>
      </c>
      <c r="O773" s="4" t="s">
        <v>7315</v>
      </c>
      <c r="P773" s="4" t="s">
        <v>651</v>
      </c>
      <c r="Q773" s="9">
        <v>24311</v>
      </c>
      <c r="R773" s="4" t="s">
        <v>2300</v>
      </c>
      <c r="S773" s="4" t="s">
        <v>7316</v>
      </c>
      <c r="T773" s="4" t="s">
        <v>47</v>
      </c>
      <c r="U773" s="4" t="s">
        <v>52</v>
      </c>
      <c r="V773">
        <v>1966</v>
      </c>
      <c r="W773" s="4" t="s">
        <v>7317</v>
      </c>
      <c r="X773" s="4" t="s">
        <v>47</v>
      </c>
      <c r="Y773" s="4" t="s">
        <v>7318</v>
      </c>
      <c r="Z773" s="4" t="s">
        <v>47</v>
      </c>
      <c r="AA773" s="4" t="s">
        <v>47</v>
      </c>
      <c r="AB773" s="4" t="s">
        <v>47</v>
      </c>
      <c r="AC773" s="4" t="s">
        <v>47</v>
      </c>
      <c r="AD773" s="4" t="s">
        <v>47</v>
      </c>
      <c r="AE773" s="4" t="s">
        <v>47</v>
      </c>
      <c r="AF773" s="4" t="s">
        <v>47</v>
      </c>
      <c r="AG773" s="4" t="s">
        <v>47</v>
      </c>
      <c r="AH773" s="4" t="s">
        <v>47</v>
      </c>
      <c r="AI773" s="4" t="s">
        <v>47</v>
      </c>
      <c r="AJ773" s="4" t="s">
        <v>47</v>
      </c>
      <c r="AK773" s="4" t="s">
        <v>47</v>
      </c>
      <c r="AL773" s="4" t="s">
        <v>7319</v>
      </c>
      <c r="AM773" s="4" t="s">
        <v>47</v>
      </c>
      <c r="AN773" s="4" t="s">
        <v>47</v>
      </c>
      <c r="AO773" s="4" t="s">
        <v>7320</v>
      </c>
      <c r="AP773" s="4" t="s">
        <v>7321</v>
      </c>
      <c r="AQ773" s="4" t="s">
        <v>47</v>
      </c>
      <c r="AR773" s="4" t="s">
        <v>47</v>
      </c>
    </row>
    <row r="774" spans="1:44" x14ac:dyDescent="0.2">
      <c r="A774" s="4" t="s">
        <v>52</v>
      </c>
      <c r="B774" s="4" t="s">
        <v>87</v>
      </c>
      <c r="C774">
        <v>2</v>
      </c>
      <c r="F774">
        <v>0</v>
      </c>
      <c r="I774" s="4" t="s">
        <v>7059</v>
      </c>
      <c r="J774" s="4" t="s">
        <v>7060</v>
      </c>
      <c r="K774" s="4" t="s">
        <v>7322</v>
      </c>
      <c r="L774" s="4" t="s">
        <v>7323</v>
      </c>
      <c r="M774">
        <v>98270</v>
      </c>
      <c r="N774" s="4" t="s">
        <v>7251</v>
      </c>
      <c r="O774" s="4" t="s">
        <v>7324</v>
      </c>
      <c r="P774" s="4" t="s">
        <v>811</v>
      </c>
      <c r="Q774" s="9">
        <v>24308</v>
      </c>
      <c r="R774" s="4" t="s">
        <v>630</v>
      </c>
      <c r="S774" s="4" t="s">
        <v>7012</v>
      </c>
      <c r="T774" s="4" t="s">
        <v>47</v>
      </c>
      <c r="U774" s="4" t="s">
        <v>52</v>
      </c>
      <c r="V774">
        <v>1966</v>
      </c>
      <c r="W774" s="4" t="s">
        <v>7325</v>
      </c>
      <c r="X774" s="4" t="s">
        <v>47</v>
      </c>
      <c r="Y774" s="4" t="s">
        <v>7326</v>
      </c>
      <c r="Z774" s="4" t="s">
        <v>47</v>
      </c>
      <c r="AA774" s="4" t="s">
        <v>47</v>
      </c>
      <c r="AB774" s="4" t="s">
        <v>47</v>
      </c>
      <c r="AC774" s="4" t="s">
        <v>47</v>
      </c>
      <c r="AD774" s="4" t="s">
        <v>47</v>
      </c>
      <c r="AE774" s="4" t="s">
        <v>47</v>
      </c>
      <c r="AF774" s="4" t="s">
        <v>47</v>
      </c>
      <c r="AG774" s="4" t="s">
        <v>47</v>
      </c>
      <c r="AH774" s="4" t="s">
        <v>47</v>
      </c>
      <c r="AI774" s="4" t="s">
        <v>47</v>
      </c>
      <c r="AJ774" s="4" t="s">
        <v>47</v>
      </c>
      <c r="AK774" s="4" t="s">
        <v>47</v>
      </c>
      <c r="AL774" s="4" t="s">
        <v>47</v>
      </c>
      <c r="AM774" s="4" t="s">
        <v>47</v>
      </c>
      <c r="AN774" s="4" t="s">
        <v>47</v>
      </c>
      <c r="AO774" s="4" t="s">
        <v>7327</v>
      </c>
      <c r="AP774" s="4" t="s">
        <v>47</v>
      </c>
      <c r="AQ774" s="4" t="s">
        <v>47</v>
      </c>
      <c r="AR774" s="4" t="s">
        <v>47</v>
      </c>
    </row>
    <row r="775" spans="1:44" x14ac:dyDescent="0.2">
      <c r="A775" s="4" t="s">
        <v>119</v>
      </c>
      <c r="B775" s="4" t="s">
        <v>293</v>
      </c>
      <c r="C775">
        <v>3</v>
      </c>
      <c r="F775">
        <v>1</v>
      </c>
      <c r="I775" s="4" t="s">
        <v>6531</v>
      </c>
      <c r="J775" s="4" t="s">
        <v>7304</v>
      </c>
      <c r="K775" s="4" t="s">
        <v>7328</v>
      </c>
      <c r="L775" s="4" t="s">
        <v>7151</v>
      </c>
      <c r="M775">
        <v>24129</v>
      </c>
      <c r="N775" s="4" t="s">
        <v>7329</v>
      </c>
      <c r="O775" s="4" t="s">
        <v>7330</v>
      </c>
      <c r="P775" s="4" t="s">
        <v>811</v>
      </c>
      <c r="Q775" s="9">
        <v>24308</v>
      </c>
      <c r="R775" s="4" t="s">
        <v>770</v>
      </c>
      <c r="S775" s="4" t="s">
        <v>7331</v>
      </c>
      <c r="T775" s="4" t="s">
        <v>47</v>
      </c>
      <c r="U775" s="4" t="s">
        <v>52</v>
      </c>
      <c r="V775">
        <v>1966</v>
      </c>
      <c r="W775" s="4" t="s">
        <v>7332</v>
      </c>
      <c r="X775" s="4" t="s">
        <v>7333</v>
      </c>
      <c r="Y775" s="4" t="s">
        <v>7334</v>
      </c>
      <c r="Z775" s="4" t="s">
        <v>7335</v>
      </c>
      <c r="AA775" s="4" t="s">
        <v>7336</v>
      </c>
      <c r="AB775" s="4" t="s">
        <v>47</v>
      </c>
      <c r="AC775" s="4" t="s">
        <v>47</v>
      </c>
      <c r="AD775" s="4" t="s">
        <v>47</v>
      </c>
      <c r="AE775" s="4" t="s">
        <v>47</v>
      </c>
      <c r="AF775" s="4" t="s">
        <v>47</v>
      </c>
      <c r="AG775" s="4" t="s">
        <v>47</v>
      </c>
      <c r="AH775" s="4" t="s">
        <v>47</v>
      </c>
      <c r="AI775" s="4" t="s">
        <v>47</v>
      </c>
      <c r="AJ775" s="4" t="s">
        <v>47</v>
      </c>
      <c r="AK775" s="4" t="s">
        <v>47</v>
      </c>
      <c r="AL775" s="4" t="s">
        <v>47</v>
      </c>
      <c r="AM775" s="4" t="s">
        <v>47</v>
      </c>
      <c r="AN775" s="4" t="s">
        <v>47</v>
      </c>
      <c r="AO775" s="4" t="s">
        <v>47</v>
      </c>
      <c r="AP775" s="4" t="s">
        <v>47</v>
      </c>
      <c r="AQ775" s="4" t="s">
        <v>47</v>
      </c>
      <c r="AR775" s="4" t="s">
        <v>47</v>
      </c>
    </row>
    <row r="776" spans="1:44" x14ac:dyDescent="0.2">
      <c r="A776" s="4" t="s">
        <v>104</v>
      </c>
      <c r="B776" s="4" t="s">
        <v>20</v>
      </c>
      <c r="C776">
        <v>2</v>
      </c>
      <c r="F776">
        <v>1</v>
      </c>
      <c r="I776" s="4" t="s">
        <v>6398</v>
      </c>
      <c r="J776" s="4" t="s">
        <v>7000</v>
      </c>
      <c r="K776" s="4" t="s">
        <v>7337</v>
      </c>
      <c r="L776" s="4" t="s">
        <v>7338</v>
      </c>
      <c r="M776">
        <v>42187</v>
      </c>
      <c r="N776" s="4" t="s">
        <v>7339</v>
      </c>
      <c r="O776" s="4" t="s">
        <v>7340</v>
      </c>
      <c r="P776" s="4" t="s">
        <v>811</v>
      </c>
      <c r="Q776" s="9">
        <v>24308</v>
      </c>
      <c r="R776" s="4" t="s">
        <v>617</v>
      </c>
      <c r="S776" s="4" t="s">
        <v>6773</v>
      </c>
      <c r="T776" s="4" t="s">
        <v>47</v>
      </c>
      <c r="U776" s="4" t="s">
        <v>52</v>
      </c>
      <c r="V776">
        <v>1966</v>
      </c>
      <c r="W776" s="4" t="s">
        <v>7341</v>
      </c>
      <c r="X776" s="4" t="s">
        <v>7342</v>
      </c>
      <c r="Y776" s="4" t="s">
        <v>7343</v>
      </c>
      <c r="Z776" s="4" t="s">
        <v>7344</v>
      </c>
      <c r="AA776" s="4" t="s">
        <v>47</v>
      </c>
      <c r="AB776" s="4" t="s">
        <v>47</v>
      </c>
      <c r="AC776" s="4" t="s">
        <v>47</v>
      </c>
      <c r="AD776" s="4" t="s">
        <v>47</v>
      </c>
      <c r="AE776" s="4" t="s">
        <v>47</v>
      </c>
      <c r="AF776" s="4" t="s">
        <v>47</v>
      </c>
      <c r="AG776" s="4" t="s">
        <v>47</v>
      </c>
      <c r="AH776" s="4" t="s">
        <v>47</v>
      </c>
      <c r="AI776" s="4" t="s">
        <v>47</v>
      </c>
      <c r="AJ776" s="4" t="s">
        <v>47</v>
      </c>
      <c r="AK776" s="4" t="s">
        <v>47</v>
      </c>
      <c r="AL776" s="4" t="s">
        <v>47</v>
      </c>
      <c r="AM776" s="4" t="s">
        <v>47</v>
      </c>
      <c r="AN776" s="4" t="s">
        <v>47</v>
      </c>
      <c r="AO776" s="4" t="s">
        <v>7345</v>
      </c>
      <c r="AP776" s="4" t="s">
        <v>7346</v>
      </c>
      <c r="AQ776" s="4" t="s">
        <v>47</v>
      </c>
      <c r="AR776" s="4" t="s">
        <v>47</v>
      </c>
    </row>
    <row r="777" spans="1:44" x14ac:dyDescent="0.2">
      <c r="A777" s="4" t="s">
        <v>5211</v>
      </c>
      <c r="B777" s="4" t="s">
        <v>113</v>
      </c>
      <c r="C777">
        <v>2</v>
      </c>
      <c r="F777">
        <v>1</v>
      </c>
      <c r="I777" s="4" t="s">
        <v>7261</v>
      </c>
      <c r="J777" s="4" t="s">
        <v>7051</v>
      </c>
      <c r="K777" s="4" t="s">
        <v>6856</v>
      </c>
      <c r="L777" s="4" t="s">
        <v>7347</v>
      </c>
      <c r="M777">
        <v>16027</v>
      </c>
      <c r="N777" s="4" t="s">
        <v>7305</v>
      </c>
      <c r="O777" s="4" t="s">
        <v>7348</v>
      </c>
      <c r="P777" s="4" t="s">
        <v>811</v>
      </c>
      <c r="Q777" s="9">
        <v>24308</v>
      </c>
      <c r="R777" s="4" t="s">
        <v>617</v>
      </c>
      <c r="S777" s="4" t="s">
        <v>7349</v>
      </c>
      <c r="T777" s="4" t="s">
        <v>47</v>
      </c>
      <c r="U777" s="4" t="s">
        <v>52</v>
      </c>
      <c r="V777">
        <v>1966</v>
      </c>
      <c r="W777" s="4" t="s">
        <v>7350</v>
      </c>
      <c r="X777" s="4" t="s">
        <v>7351</v>
      </c>
      <c r="Y777" s="4" t="s">
        <v>7352</v>
      </c>
      <c r="Z777" s="4" t="s">
        <v>7353</v>
      </c>
      <c r="AA777" s="4" t="s">
        <v>47</v>
      </c>
      <c r="AB777" s="4" t="s">
        <v>47</v>
      </c>
      <c r="AC777" s="4" t="s">
        <v>47</v>
      </c>
      <c r="AD777" s="4" t="s">
        <v>47</v>
      </c>
      <c r="AE777" s="4" t="s">
        <v>47</v>
      </c>
      <c r="AF777" s="4" t="s">
        <v>47</v>
      </c>
      <c r="AG777" s="4" t="s">
        <v>47</v>
      </c>
      <c r="AH777" s="4" t="s">
        <v>47</v>
      </c>
      <c r="AI777" s="4" t="s">
        <v>47</v>
      </c>
      <c r="AJ777" s="4" t="s">
        <v>47</v>
      </c>
      <c r="AK777" s="4" t="s">
        <v>47</v>
      </c>
      <c r="AL777" s="4" t="s">
        <v>47</v>
      </c>
      <c r="AM777" s="4" t="s">
        <v>47</v>
      </c>
      <c r="AN777" s="4" t="s">
        <v>47</v>
      </c>
      <c r="AO777" s="4" t="s">
        <v>47</v>
      </c>
      <c r="AP777" s="4" t="s">
        <v>47</v>
      </c>
      <c r="AQ777" s="4" t="s">
        <v>47</v>
      </c>
      <c r="AR777" s="4" t="s">
        <v>47</v>
      </c>
    </row>
    <row r="778" spans="1:44" x14ac:dyDescent="0.2">
      <c r="A778" s="4" t="s">
        <v>121</v>
      </c>
      <c r="B778" s="4" t="s">
        <v>106</v>
      </c>
      <c r="C778">
        <v>0</v>
      </c>
      <c r="F778">
        <v>0</v>
      </c>
      <c r="I778" s="4" t="s">
        <v>7312</v>
      </c>
      <c r="J778" s="4" t="s">
        <v>7313</v>
      </c>
      <c r="K778" s="4" t="s">
        <v>7354</v>
      </c>
      <c r="L778" s="4" t="s">
        <v>7039</v>
      </c>
      <c r="M778">
        <v>61112</v>
      </c>
      <c r="N778" s="4" t="s">
        <v>7251</v>
      </c>
      <c r="O778" s="4" t="s">
        <v>7355</v>
      </c>
      <c r="P778" s="4" t="s">
        <v>811</v>
      </c>
      <c r="Q778" s="9">
        <v>24307</v>
      </c>
      <c r="R778" s="4" t="s">
        <v>869</v>
      </c>
      <c r="S778" s="4" t="s">
        <v>7356</v>
      </c>
      <c r="T778" s="4" t="s">
        <v>47</v>
      </c>
      <c r="U778" s="4" t="s">
        <v>52</v>
      </c>
      <c r="V778">
        <v>1966</v>
      </c>
      <c r="W778" s="4" t="s">
        <v>47</v>
      </c>
      <c r="X778" s="4" t="s">
        <v>47</v>
      </c>
      <c r="Y778" s="4" t="s">
        <v>47</v>
      </c>
      <c r="Z778" s="4" t="s">
        <v>47</v>
      </c>
      <c r="AA778" s="4" t="s">
        <v>47</v>
      </c>
      <c r="AB778" s="4" t="s">
        <v>47</v>
      </c>
      <c r="AC778" s="4" t="s">
        <v>47</v>
      </c>
      <c r="AD778" s="4" t="s">
        <v>47</v>
      </c>
      <c r="AE778" s="4" t="s">
        <v>47</v>
      </c>
      <c r="AF778" s="4" t="s">
        <v>47</v>
      </c>
      <c r="AG778" s="4" t="s">
        <v>47</v>
      </c>
      <c r="AH778" s="4" t="s">
        <v>47</v>
      </c>
      <c r="AI778" s="4" t="s">
        <v>47</v>
      </c>
      <c r="AJ778" s="4" t="s">
        <v>47</v>
      </c>
      <c r="AK778" s="4" t="s">
        <v>47</v>
      </c>
      <c r="AL778" s="4" t="s">
        <v>47</v>
      </c>
      <c r="AM778" s="4" t="s">
        <v>47</v>
      </c>
      <c r="AN778" s="4" t="s">
        <v>47</v>
      </c>
      <c r="AO778" s="4" t="s">
        <v>47</v>
      </c>
      <c r="AP778" s="4" t="s">
        <v>47</v>
      </c>
      <c r="AQ778" s="4" t="s">
        <v>47</v>
      </c>
      <c r="AR778" s="4" t="s">
        <v>47</v>
      </c>
    </row>
    <row r="779" spans="1:44" x14ac:dyDescent="0.2">
      <c r="A779" s="4" t="s">
        <v>26</v>
      </c>
      <c r="B779" s="4" t="s">
        <v>118</v>
      </c>
      <c r="C779">
        <v>2</v>
      </c>
      <c r="F779">
        <v>0</v>
      </c>
      <c r="I779" s="4" t="s">
        <v>7296</v>
      </c>
      <c r="J779" s="4" t="s">
        <v>7297</v>
      </c>
      <c r="K779" s="4" t="s">
        <v>7357</v>
      </c>
      <c r="L779" s="4" t="s">
        <v>7358</v>
      </c>
      <c r="M779">
        <v>32127</v>
      </c>
      <c r="N779" s="4" t="s">
        <v>7314</v>
      </c>
      <c r="O779" s="4" t="s">
        <v>7359</v>
      </c>
      <c r="P779" s="4" t="s">
        <v>811</v>
      </c>
      <c r="Q779" s="9">
        <v>24307</v>
      </c>
      <c r="R779" s="4" t="s">
        <v>630</v>
      </c>
      <c r="S779" s="4" t="s">
        <v>7360</v>
      </c>
      <c r="T779" s="4" t="s">
        <v>47</v>
      </c>
      <c r="U779" s="4" t="s">
        <v>52</v>
      </c>
      <c r="V779">
        <v>1966</v>
      </c>
      <c r="W779" s="4" t="s">
        <v>7361</v>
      </c>
      <c r="X779" s="4" t="s">
        <v>47</v>
      </c>
      <c r="Y779" s="4" t="s">
        <v>7362</v>
      </c>
      <c r="Z779" s="4" t="s">
        <v>47</v>
      </c>
      <c r="AA779" s="4" t="s">
        <v>47</v>
      </c>
      <c r="AB779" s="4" t="s">
        <v>47</v>
      </c>
      <c r="AC779" s="4" t="s">
        <v>47</v>
      </c>
      <c r="AD779" s="4" t="s">
        <v>47</v>
      </c>
      <c r="AE779" s="4" t="s">
        <v>47</v>
      </c>
      <c r="AF779" s="4" t="s">
        <v>47</v>
      </c>
      <c r="AG779" s="4" t="s">
        <v>47</v>
      </c>
      <c r="AH779" s="4" t="s">
        <v>47</v>
      </c>
      <c r="AI779" s="4" t="s">
        <v>47</v>
      </c>
      <c r="AJ779" s="4" t="s">
        <v>47</v>
      </c>
      <c r="AK779" s="4" t="s">
        <v>47</v>
      </c>
      <c r="AL779" s="4" t="s">
        <v>47</v>
      </c>
      <c r="AM779" s="4" t="s">
        <v>47</v>
      </c>
      <c r="AN779" s="4" t="s">
        <v>47</v>
      </c>
      <c r="AO779" s="4" t="s">
        <v>47</v>
      </c>
      <c r="AP779" s="4" t="s">
        <v>47</v>
      </c>
      <c r="AQ779" s="4" t="s">
        <v>47</v>
      </c>
      <c r="AR779" s="4" t="s">
        <v>47</v>
      </c>
    </row>
    <row r="780" spans="1:44" x14ac:dyDescent="0.2">
      <c r="A780" s="4" t="s">
        <v>141</v>
      </c>
      <c r="B780" s="4" t="s">
        <v>12</v>
      </c>
      <c r="C780">
        <v>3</v>
      </c>
      <c r="F780">
        <v>1</v>
      </c>
      <c r="I780" s="4" t="s">
        <v>7259</v>
      </c>
      <c r="J780" s="4" t="s">
        <v>7260</v>
      </c>
      <c r="K780" s="4" t="s">
        <v>7363</v>
      </c>
      <c r="L780" s="4" t="s">
        <v>7364</v>
      </c>
      <c r="M780">
        <v>58479</v>
      </c>
      <c r="N780" s="4" t="s">
        <v>7275</v>
      </c>
      <c r="O780" s="4" t="s">
        <v>7365</v>
      </c>
      <c r="P780" s="4" t="s">
        <v>811</v>
      </c>
      <c r="Q780" s="9">
        <v>24307</v>
      </c>
      <c r="R780" s="4" t="s">
        <v>770</v>
      </c>
      <c r="S780" s="4" t="s">
        <v>7366</v>
      </c>
      <c r="T780" s="4" t="s">
        <v>47</v>
      </c>
      <c r="U780" s="4" t="s">
        <v>52</v>
      </c>
      <c r="V780">
        <v>1966</v>
      </c>
      <c r="W780" s="4" t="s">
        <v>7367</v>
      </c>
      <c r="X780" s="4" t="s">
        <v>7368</v>
      </c>
      <c r="Y780" s="4" t="s">
        <v>7369</v>
      </c>
      <c r="Z780" s="4" t="s">
        <v>7370</v>
      </c>
      <c r="AA780" s="4" t="s">
        <v>47</v>
      </c>
      <c r="AB780" s="4" t="s">
        <v>47</v>
      </c>
      <c r="AC780" s="4" t="s">
        <v>47</v>
      </c>
      <c r="AD780" s="4" t="s">
        <v>47</v>
      </c>
      <c r="AE780" s="4" t="s">
        <v>47</v>
      </c>
      <c r="AF780" s="4" t="s">
        <v>47</v>
      </c>
      <c r="AG780" s="4" t="s">
        <v>47</v>
      </c>
      <c r="AH780" s="4" t="s">
        <v>47</v>
      </c>
      <c r="AI780" s="4" t="s">
        <v>47</v>
      </c>
      <c r="AJ780" s="4" t="s">
        <v>47</v>
      </c>
      <c r="AK780" s="4" t="s">
        <v>47</v>
      </c>
      <c r="AL780" s="4" t="s">
        <v>47</v>
      </c>
      <c r="AM780" s="4" t="s">
        <v>47</v>
      </c>
      <c r="AN780" s="4" t="s">
        <v>47</v>
      </c>
      <c r="AO780" s="4" t="s">
        <v>47</v>
      </c>
      <c r="AP780" s="4" t="s">
        <v>47</v>
      </c>
      <c r="AQ780" s="4" t="s">
        <v>47</v>
      </c>
      <c r="AR780" s="4" t="s">
        <v>47</v>
      </c>
    </row>
    <row r="781" spans="1:44" x14ac:dyDescent="0.2">
      <c r="A781" s="4" t="s">
        <v>357</v>
      </c>
      <c r="B781" s="4" t="s">
        <v>97</v>
      </c>
      <c r="C781">
        <v>1</v>
      </c>
      <c r="F781">
        <v>0</v>
      </c>
      <c r="I781" s="4" t="s">
        <v>7285</v>
      </c>
      <c r="J781" s="4" t="s">
        <v>7286</v>
      </c>
      <c r="K781" s="4" t="s">
        <v>7371</v>
      </c>
      <c r="L781" s="4" t="s">
        <v>7372</v>
      </c>
      <c r="M781">
        <v>17829</v>
      </c>
      <c r="N781" s="4" t="s">
        <v>7373</v>
      </c>
      <c r="O781" s="4" t="s">
        <v>7374</v>
      </c>
      <c r="P781" s="4" t="s">
        <v>811</v>
      </c>
      <c r="Q781" s="9">
        <v>24307</v>
      </c>
      <c r="R781" s="4" t="s">
        <v>652</v>
      </c>
      <c r="S781" s="4" t="s">
        <v>7271</v>
      </c>
      <c r="T781" s="4" t="s">
        <v>47</v>
      </c>
      <c r="U781" s="4" t="s">
        <v>52</v>
      </c>
      <c r="V781">
        <v>1966</v>
      </c>
      <c r="W781" s="4" t="s">
        <v>7375</v>
      </c>
      <c r="X781" s="4" t="s">
        <v>47</v>
      </c>
      <c r="Y781" s="4" t="s">
        <v>7376</v>
      </c>
      <c r="Z781" s="4" t="s">
        <v>47</v>
      </c>
      <c r="AA781" s="4" t="s">
        <v>47</v>
      </c>
      <c r="AB781" s="4" t="s">
        <v>47</v>
      </c>
      <c r="AC781" s="4" t="s">
        <v>47</v>
      </c>
      <c r="AD781" s="4" t="s">
        <v>47</v>
      </c>
      <c r="AE781" s="4" t="s">
        <v>47</v>
      </c>
      <c r="AF781" s="4" t="s">
        <v>47</v>
      </c>
      <c r="AG781" s="4" t="s">
        <v>47</v>
      </c>
      <c r="AH781" s="4" t="s">
        <v>47</v>
      </c>
      <c r="AI781" s="4" t="s">
        <v>47</v>
      </c>
      <c r="AJ781" s="4" t="s">
        <v>47</v>
      </c>
      <c r="AK781" s="4" t="s">
        <v>47</v>
      </c>
      <c r="AL781" s="4" t="s">
        <v>47</v>
      </c>
      <c r="AM781" s="4" t="s">
        <v>47</v>
      </c>
      <c r="AN781" s="4" t="s">
        <v>47</v>
      </c>
      <c r="AO781" s="4" t="s">
        <v>47</v>
      </c>
      <c r="AP781" s="4" t="s">
        <v>47</v>
      </c>
      <c r="AQ781" s="4" t="s">
        <v>47</v>
      </c>
      <c r="AR781" s="4" t="s">
        <v>47</v>
      </c>
    </row>
    <row r="782" spans="1:44" x14ac:dyDescent="0.2">
      <c r="A782" s="4" t="s">
        <v>104</v>
      </c>
      <c r="B782" s="4" t="s">
        <v>26</v>
      </c>
      <c r="C782">
        <v>0</v>
      </c>
      <c r="F782">
        <v>0</v>
      </c>
      <c r="I782" s="4" t="s">
        <v>6398</v>
      </c>
      <c r="J782" s="4" t="s">
        <v>7000</v>
      </c>
      <c r="K782" s="4" t="s">
        <v>7296</v>
      </c>
      <c r="L782" s="4" t="s">
        <v>7297</v>
      </c>
      <c r="M782">
        <v>46587</v>
      </c>
      <c r="N782" s="4" t="s">
        <v>7339</v>
      </c>
      <c r="O782" s="4" t="s">
        <v>7377</v>
      </c>
      <c r="P782" s="4" t="s">
        <v>811</v>
      </c>
      <c r="Q782" s="9">
        <v>24304</v>
      </c>
      <c r="R782" s="4" t="s">
        <v>869</v>
      </c>
      <c r="S782" s="4" t="s">
        <v>7378</v>
      </c>
      <c r="T782" s="4" t="s">
        <v>47</v>
      </c>
      <c r="U782" s="4" t="s">
        <v>52</v>
      </c>
      <c r="V782">
        <v>1966</v>
      </c>
      <c r="W782" s="4" t="s">
        <v>47</v>
      </c>
      <c r="X782" s="4" t="s">
        <v>47</v>
      </c>
      <c r="Y782" s="4" t="s">
        <v>47</v>
      </c>
      <c r="Z782" s="4" t="s">
        <v>47</v>
      </c>
      <c r="AA782" s="4" t="s">
        <v>47</v>
      </c>
      <c r="AB782" s="4" t="s">
        <v>47</v>
      </c>
      <c r="AC782" s="4" t="s">
        <v>47</v>
      </c>
      <c r="AD782" s="4" t="s">
        <v>47</v>
      </c>
      <c r="AE782" s="4" t="s">
        <v>47</v>
      </c>
      <c r="AF782" s="4" t="s">
        <v>47</v>
      </c>
      <c r="AG782" s="4" t="s">
        <v>47</v>
      </c>
      <c r="AH782" s="4" t="s">
        <v>47</v>
      </c>
      <c r="AI782" s="4" t="s">
        <v>47</v>
      </c>
      <c r="AJ782" s="4" t="s">
        <v>47</v>
      </c>
      <c r="AK782" s="4" t="s">
        <v>47</v>
      </c>
      <c r="AL782" s="4" t="s">
        <v>7379</v>
      </c>
      <c r="AM782" s="4" t="s">
        <v>47</v>
      </c>
      <c r="AN782" s="4" t="s">
        <v>47</v>
      </c>
      <c r="AO782" s="4" t="s">
        <v>7283</v>
      </c>
      <c r="AP782" s="4" t="s">
        <v>47</v>
      </c>
      <c r="AQ782" s="4" t="s">
        <v>47</v>
      </c>
      <c r="AR782" s="4" t="s">
        <v>47</v>
      </c>
    </row>
    <row r="783" spans="1:44" x14ac:dyDescent="0.2">
      <c r="A783" s="4" t="s">
        <v>5211</v>
      </c>
      <c r="B783" s="4" t="s">
        <v>97</v>
      </c>
      <c r="C783">
        <v>1</v>
      </c>
      <c r="F783">
        <v>0</v>
      </c>
      <c r="I783" s="4" t="s">
        <v>7261</v>
      </c>
      <c r="J783" s="4" t="s">
        <v>7051</v>
      </c>
      <c r="K783" s="4" t="s">
        <v>7371</v>
      </c>
      <c r="L783" s="4" t="s">
        <v>7380</v>
      </c>
      <c r="M783">
        <v>27793</v>
      </c>
      <c r="N783" s="4" t="s">
        <v>7305</v>
      </c>
      <c r="O783" s="4" t="s">
        <v>7381</v>
      </c>
      <c r="P783" s="4" t="s">
        <v>811</v>
      </c>
      <c r="Q783" s="9">
        <v>24304</v>
      </c>
      <c r="R783" s="4" t="s">
        <v>652</v>
      </c>
      <c r="S783" s="4" t="s">
        <v>7299</v>
      </c>
      <c r="T783" s="4" t="s">
        <v>47</v>
      </c>
      <c r="U783" s="4" t="s">
        <v>52</v>
      </c>
      <c r="V783">
        <v>1966</v>
      </c>
      <c r="W783" s="4" t="s">
        <v>7382</v>
      </c>
      <c r="X783" s="4" t="s">
        <v>47</v>
      </c>
      <c r="Y783" s="4" t="s">
        <v>7383</v>
      </c>
      <c r="Z783" s="4" t="s">
        <v>47</v>
      </c>
      <c r="AA783" s="4" t="s">
        <v>47</v>
      </c>
      <c r="AB783" s="4" t="s">
        <v>47</v>
      </c>
      <c r="AC783" s="4" t="s">
        <v>47</v>
      </c>
      <c r="AD783" s="4" t="s">
        <v>47</v>
      </c>
      <c r="AE783" s="4" t="s">
        <v>47</v>
      </c>
      <c r="AF783" s="4" t="s">
        <v>47</v>
      </c>
      <c r="AG783" s="4" t="s">
        <v>47</v>
      </c>
      <c r="AH783" s="4" t="s">
        <v>47</v>
      </c>
      <c r="AI783" s="4" t="s">
        <v>47</v>
      </c>
      <c r="AJ783" s="4" t="s">
        <v>47</v>
      </c>
      <c r="AK783" s="4" t="s">
        <v>47</v>
      </c>
      <c r="AL783" s="4" t="s">
        <v>47</v>
      </c>
      <c r="AM783" s="4" t="s">
        <v>47</v>
      </c>
      <c r="AN783" s="4" t="s">
        <v>47</v>
      </c>
      <c r="AO783" s="4" t="s">
        <v>7384</v>
      </c>
      <c r="AP783" s="4" t="s">
        <v>47</v>
      </c>
      <c r="AQ783" s="4" t="s">
        <v>47</v>
      </c>
      <c r="AR783" s="4" t="s">
        <v>47</v>
      </c>
    </row>
    <row r="784" spans="1:44" x14ac:dyDescent="0.2">
      <c r="A784" s="4" t="s">
        <v>141</v>
      </c>
      <c r="B784" s="4" t="s">
        <v>293</v>
      </c>
      <c r="C784">
        <v>3</v>
      </c>
      <c r="F784">
        <v>0</v>
      </c>
      <c r="I784" s="4" t="s">
        <v>7259</v>
      </c>
      <c r="J784" s="4" t="s">
        <v>7260</v>
      </c>
      <c r="K784" s="4" t="s">
        <v>7328</v>
      </c>
      <c r="L784" s="4" t="s">
        <v>7151</v>
      </c>
      <c r="M784">
        <v>25438</v>
      </c>
      <c r="N784" s="4" t="s">
        <v>7329</v>
      </c>
      <c r="O784" s="4" t="s">
        <v>7385</v>
      </c>
      <c r="P784" s="4" t="s">
        <v>811</v>
      </c>
      <c r="Q784" s="9">
        <v>24304</v>
      </c>
      <c r="R784" s="4" t="s">
        <v>638</v>
      </c>
      <c r="S784" s="4" t="s">
        <v>7386</v>
      </c>
      <c r="T784" s="4" t="s">
        <v>47</v>
      </c>
      <c r="U784" s="4" t="s">
        <v>52</v>
      </c>
      <c r="V784">
        <v>1966</v>
      </c>
      <c r="W784" s="4" t="s">
        <v>7387</v>
      </c>
      <c r="X784" s="4" t="s">
        <v>47</v>
      </c>
      <c r="Y784" s="4" t="s">
        <v>7388</v>
      </c>
      <c r="Z784" s="4" t="s">
        <v>47</v>
      </c>
      <c r="AA784" s="4" t="s">
        <v>7389</v>
      </c>
      <c r="AB784" s="4" t="s">
        <v>47</v>
      </c>
      <c r="AC784" s="4" t="s">
        <v>47</v>
      </c>
      <c r="AD784" s="4" t="s">
        <v>47</v>
      </c>
      <c r="AE784" s="4" t="s">
        <v>47</v>
      </c>
      <c r="AF784" s="4" t="s">
        <v>47</v>
      </c>
      <c r="AG784" s="4" t="s">
        <v>47</v>
      </c>
      <c r="AH784" s="4" t="s">
        <v>47</v>
      </c>
      <c r="AI784" s="4" t="s">
        <v>47</v>
      </c>
      <c r="AJ784" s="4" t="s">
        <v>47</v>
      </c>
      <c r="AK784" s="4" t="s">
        <v>47</v>
      </c>
      <c r="AL784" s="4" t="s">
        <v>47</v>
      </c>
      <c r="AM784" s="4" t="s">
        <v>47</v>
      </c>
      <c r="AN784" s="4" t="s">
        <v>47</v>
      </c>
      <c r="AO784" s="4" t="s">
        <v>7390</v>
      </c>
      <c r="AP784" s="4" t="s">
        <v>7391</v>
      </c>
      <c r="AQ784" s="4" t="s">
        <v>47</v>
      </c>
      <c r="AR784" s="4" t="s">
        <v>47</v>
      </c>
    </row>
    <row r="785" spans="1:44" x14ac:dyDescent="0.2">
      <c r="A785" s="4" t="s">
        <v>52</v>
      </c>
      <c r="B785" s="4" t="s">
        <v>106</v>
      </c>
      <c r="C785">
        <v>2</v>
      </c>
      <c r="F785">
        <v>0</v>
      </c>
      <c r="I785" s="4" t="s">
        <v>7059</v>
      </c>
      <c r="J785" s="4" t="s">
        <v>7060</v>
      </c>
      <c r="K785" s="4" t="s">
        <v>7354</v>
      </c>
      <c r="L785" s="4" t="s">
        <v>7039</v>
      </c>
      <c r="M785">
        <v>92570</v>
      </c>
      <c r="N785" s="4" t="s">
        <v>7251</v>
      </c>
      <c r="O785" s="4" t="s">
        <v>7392</v>
      </c>
      <c r="P785" s="4" t="s">
        <v>811</v>
      </c>
      <c r="Q785" s="9">
        <v>24304</v>
      </c>
      <c r="R785" s="4" t="s">
        <v>630</v>
      </c>
      <c r="S785" s="4" t="s">
        <v>7277</v>
      </c>
      <c r="T785" s="4" t="s">
        <v>47</v>
      </c>
      <c r="U785" s="4" t="s">
        <v>52</v>
      </c>
      <c r="V785">
        <v>1966</v>
      </c>
      <c r="W785" s="4" t="s">
        <v>7393</v>
      </c>
      <c r="X785" s="4" t="s">
        <v>47</v>
      </c>
      <c r="Y785" s="4" t="s">
        <v>7394</v>
      </c>
      <c r="Z785" s="4" t="s">
        <v>47</v>
      </c>
      <c r="AA785" s="4" t="s">
        <v>47</v>
      </c>
      <c r="AB785" s="4" t="s">
        <v>47</v>
      </c>
      <c r="AC785" s="4" t="s">
        <v>47</v>
      </c>
      <c r="AD785" s="4" t="s">
        <v>47</v>
      </c>
      <c r="AE785" s="4" t="s">
        <v>47</v>
      </c>
      <c r="AF785" s="4" t="s">
        <v>47</v>
      </c>
      <c r="AG785" s="4" t="s">
        <v>47</v>
      </c>
      <c r="AH785" s="4" t="s">
        <v>47</v>
      </c>
      <c r="AI785" s="4" t="s">
        <v>47</v>
      </c>
      <c r="AJ785" s="4" t="s">
        <v>47</v>
      </c>
      <c r="AK785" s="4" t="s">
        <v>47</v>
      </c>
      <c r="AL785" s="4" t="s">
        <v>47</v>
      </c>
      <c r="AM785" s="4" t="s">
        <v>47</v>
      </c>
      <c r="AN785" s="4" t="s">
        <v>47</v>
      </c>
      <c r="AO785" s="4" t="s">
        <v>47</v>
      </c>
      <c r="AP785" s="4" t="s">
        <v>47</v>
      </c>
      <c r="AQ785" s="4" t="s">
        <v>47</v>
      </c>
      <c r="AR785" s="4" t="s">
        <v>47</v>
      </c>
    </row>
    <row r="786" spans="1:44" x14ac:dyDescent="0.2">
      <c r="A786" s="4" t="s">
        <v>20</v>
      </c>
      <c r="B786" s="4" t="s">
        <v>118</v>
      </c>
      <c r="C786">
        <v>2</v>
      </c>
      <c r="F786">
        <v>1</v>
      </c>
      <c r="I786" s="4" t="s">
        <v>7337</v>
      </c>
      <c r="J786" s="4" t="s">
        <v>7395</v>
      </c>
      <c r="K786" s="4" t="s">
        <v>7357</v>
      </c>
      <c r="L786" s="4" t="s">
        <v>7358</v>
      </c>
      <c r="M786">
        <v>32028</v>
      </c>
      <c r="N786" s="4" t="s">
        <v>7314</v>
      </c>
      <c r="O786" s="4" t="s">
        <v>7396</v>
      </c>
      <c r="P786" s="4" t="s">
        <v>811</v>
      </c>
      <c r="Q786" s="9">
        <v>24303</v>
      </c>
      <c r="R786" s="4" t="s">
        <v>617</v>
      </c>
      <c r="S786" s="4" t="s">
        <v>7193</v>
      </c>
      <c r="T786" s="4" t="s">
        <v>47</v>
      </c>
      <c r="U786" s="4" t="s">
        <v>52</v>
      </c>
      <c r="V786">
        <v>1966</v>
      </c>
      <c r="W786" s="4" t="s">
        <v>7397</v>
      </c>
      <c r="X786" s="4" t="s">
        <v>7398</v>
      </c>
      <c r="Y786" s="4" t="s">
        <v>7399</v>
      </c>
      <c r="Z786" s="4" t="s">
        <v>7400</v>
      </c>
      <c r="AA786" s="4" t="s">
        <v>47</v>
      </c>
      <c r="AB786" s="4" t="s">
        <v>47</v>
      </c>
      <c r="AC786" s="4" t="s">
        <v>47</v>
      </c>
      <c r="AD786" s="4" t="s">
        <v>47</v>
      </c>
      <c r="AE786" s="4" t="s">
        <v>47</v>
      </c>
      <c r="AF786" s="4" t="s">
        <v>47</v>
      </c>
      <c r="AG786" s="4" t="s">
        <v>47</v>
      </c>
      <c r="AH786" s="4" t="s">
        <v>47</v>
      </c>
      <c r="AI786" s="4" t="s">
        <v>47</v>
      </c>
      <c r="AJ786" s="4" t="s">
        <v>47</v>
      </c>
      <c r="AK786" s="4" t="s">
        <v>47</v>
      </c>
      <c r="AL786" s="4" t="s">
        <v>47</v>
      </c>
      <c r="AM786" s="4" t="s">
        <v>47</v>
      </c>
      <c r="AN786" s="4" t="s">
        <v>47</v>
      </c>
      <c r="AO786" s="4" t="s">
        <v>47</v>
      </c>
      <c r="AP786" s="4" t="s">
        <v>47</v>
      </c>
      <c r="AQ786" s="4" t="s">
        <v>47</v>
      </c>
      <c r="AR786" s="4" t="s">
        <v>47</v>
      </c>
    </row>
    <row r="787" spans="1:44" x14ac:dyDescent="0.2">
      <c r="A787" s="4" t="s">
        <v>121</v>
      </c>
      <c r="B787" s="4" t="s">
        <v>87</v>
      </c>
      <c r="C787">
        <v>2</v>
      </c>
      <c r="F787">
        <v>1</v>
      </c>
      <c r="I787" s="4" t="s">
        <v>7312</v>
      </c>
      <c r="J787" s="4" t="s">
        <v>7313</v>
      </c>
      <c r="K787" s="4" t="s">
        <v>7322</v>
      </c>
      <c r="L787" s="4" t="s">
        <v>7323</v>
      </c>
      <c r="M787">
        <v>45662</v>
      </c>
      <c r="N787" s="4" t="s">
        <v>7401</v>
      </c>
      <c r="O787" s="4" t="s">
        <v>7402</v>
      </c>
      <c r="P787" s="4" t="s">
        <v>811</v>
      </c>
      <c r="Q787" s="9">
        <v>24303</v>
      </c>
      <c r="R787" s="4" t="s">
        <v>617</v>
      </c>
      <c r="S787" s="4" t="s">
        <v>7403</v>
      </c>
      <c r="T787" s="4" t="s">
        <v>47</v>
      </c>
      <c r="U787" s="4" t="s">
        <v>52</v>
      </c>
      <c r="V787">
        <v>1966</v>
      </c>
      <c r="W787" s="4" t="s">
        <v>7404</v>
      </c>
      <c r="X787" s="4" t="s">
        <v>47</v>
      </c>
      <c r="Y787" s="4" t="s">
        <v>7405</v>
      </c>
      <c r="Z787" s="4" t="s">
        <v>47</v>
      </c>
      <c r="AA787" s="4" t="s">
        <v>47</v>
      </c>
      <c r="AB787" s="4" t="s">
        <v>47</v>
      </c>
      <c r="AC787" s="4" t="s">
        <v>47</v>
      </c>
      <c r="AD787" s="4" t="s">
        <v>7406</v>
      </c>
      <c r="AE787" s="4" t="s">
        <v>47</v>
      </c>
      <c r="AF787" s="4" t="s">
        <v>47</v>
      </c>
      <c r="AG787" s="4" t="s">
        <v>47</v>
      </c>
      <c r="AH787" s="4" t="s">
        <v>47</v>
      </c>
      <c r="AI787" s="4" t="s">
        <v>47</v>
      </c>
      <c r="AJ787" s="4" t="s">
        <v>47</v>
      </c>
      <c r="AK787" s="4" t="s">
        <v>47</v>
      </c>
      <c r="AL787" s="4" t="s">
        <v>47</v>
      </c>
      <c r="AM787" s="4" t="s">
        <v>47</v>
      </c>
      <c r="AN787" s="4" t="s">
        <v>47</v>
      </c>
      <c r="AO787" s="4" t="s">
        <v>47</v>
      </c>
      <c r="AP787" s="4" t="s">
        <v>47</v>
      </c>
      <c r="AQ787" s="4" t="s">
        <v>47</v>
      </c>
      <c r="AR787" s="4" t="s">
        <v>47</v>
      </c>
    </row>
    <row r="788" spans="1:44" x14ac:dyDescent="0.2">
      <c r="A788" s="4" t="s">
        <v>119</v>
      </c>
      <c r="B788" s="4" t="s">
        <v>12</v>
      </c>
      <c r="C788">
        <v>3</v>
      </c>
      <c r="F788">
        <v>1</v>
      </c>
      <c r="I788" s="4" t="s">
        <v>6531</v>
      </c>
      <c r="J788" s="4" t="s">
        <v>7304</v>
      </c>
      <c r="K788" s="4" t="s">
        <v>7363</v>
      </c>
      <c r="L788" s="4" t="s">
        <v>7407</v>
      </c>
      <c r="M788">
        <v>51387</v>
      </c>
      <c r="N788" s="4" t="s">
        <v>7275</v>
      </c>
      <c r="O788" s="4" t="s">
        <v>7408</v>
      </c>
      <c r="P788" s="4" t="s">
        <v>811</v>
      </c>
      <c r="Q788" s="9">
        <v>24303</v>
      </c>
      <c r="R788" s="4" t="s">
        <v>770</v>
      </c>
      <c r="S788" s="4" t="s">
        <v>7264</v>
      </c>
      <c r="T788" s="4" t="s">
        <v>47</v>
      </c>
      <c r="U788" s="4" t="s">
        <v>52</v>
      </c>
      <c r="V788">
        <v>1966</v>
      </c>
      <c r="W788" s="4" t="s">
        <v>7409</v>
      </c>
      <c r="X788" s="4" t="s">
        <v>7410</v>
      </c>
      <c r="Y788" s="4" t="s">
        <v>7411</v>
      </c>
      <c r="Z788" s="4" t="s">
        <v>7412</v>
      </c>
      <c r="AA788" s="4" t="s">
        <v>47</v>
      </c>
      <c r="AB788" s="4" t="s">
        <v>47</v>
      </c>
      <c r="AC788" s="4" t="s">
        <v>7413</v>
      </c>
      <c r="AD788" s="4" t="s">
        <v>47</v>
      </c>
      <c r="AE788" s="4" t="s">
        <v>47</v>
      </c>
      <c r="AF788" s="4" t="s">
        <v>47</v>
      </c>
      <c r="AG788" s="4" t="s">
        <v>47</v>
      </c>
      <c r="AH788" s="4" t="s">
        <v>47</v>
      </c>
      <c r="AI788" s="4" t="s">
        <v>47</v>
      </c>
      <c r="AJ788" s="4" t="s">
        <v>47</v>
      </c>
      <c r="AK788" s="4" t="s">
        <v>47</v>
      </c>
      <c r="AL788" s="4" t="s">
        <v>47</v>
      </c>
      <c r="AM788" s="4" t="s">
        <v>47</v>
      </c>
      <c r="AN788" s="4" t="s">
        <v>47</v>
      </c>
      <c r="AO788" s="4" t="s">
        <v>47</v>
      </c>
      <c r="AP788" s="4" t="s">
        <v>47</v>
      </c>
      <c r="AQ788" s="4" t="s">
        <v>47</v>
      </c>
      <c r="AR788" s="4" t="s">
        <v>47</v>
      </c>
    </row>
    <row r="789" spans="1:44" x14ac:dyDescent="0.2">
      <c r="A789" s="4" t="s">
        <v>357</v>
      </c>
      <c r="B789" s="4" t="s">
        <v>113</v>
      </c>
      <c r="C789">
        <v>1</v>
      </c>
      <c r="F789">
        <v>1</v>
      </c>
      <c r="I789" s="4" t="s">
        <v>7285</v>
      </c>
      <c r="J789" s="4" t="s">
        <v>7286</v>
      </c>
      <c r="K789" s="4" t="s">
        <v>6856</v>
      </c>
      <c r="L789" s="4" t="s">
        <v>7347</v>
      </c>
      <c r="M789">
        <v>13792</v>
      </c>
      <c r="N789" s="4" t="s">
        <v>7373</v>
      </c>
      <c r="O789" s="4" t="s">
        <v>7414</v>
      </c>
      <c r="P789" s="4" t="s">
        <v>811</v>
      </c>
      <c r="Q789" s="9">
        <v>24303</v>
      </c>
      <c r="R789" s="4" t="s">
        <v>1046</v>
      </c>
      <c r="S789" s="4" t="s">
        <v>7140</v>
      </c>
      <c r="T789" s="4" t="s">
        <v>47</v>
      </c>
      <c r="U789" s="4" t="s">
        <v>52</v>
      </c>
      <c r="V789">
        <v>1966</v>
      </c>
      <c r="W789" s="4" t="s">
        <v>7415</v>
      </c>
      <c r="X789" s="4" t="s">
        <v>47</v>
      </c>
      <c r="Y789" s="4" t="s">
        <v>7416</v>
      </c>
      <c r="Z789" s="4" t="s">
        <v>47</v>
      </c>
      <c r="AA789" s="4" t="s">
        <v>47</v>
      </c>
      <c r="AB789" s="4" t="s">
        <v>47</v>
      </c>
      <c r="AC789" s="4" t="s">
        <v>47</v>
      </c>
      <c r="AD789" s="4" t="s">
        <v>7417</v>
      </c>
      <c r="AE789" s="4" t="s">
        <v>47</v>
      </c>
      <c r="AF789" s="4" t="s">
        <v>47</v>
      </c>
      <c r="AG789" s="4" t="s">
        <v>47</v>
      </c>
      <c r="AH789" s="4" t="s">
        <v>47</v>
      </c>
      <c r="AI789" s="4" t="s">
        <v>47</v>
      </c>
      <c r="AJ789" s="4" t="s">
        <v>47</v>
      </c>
      <c r="AK789" s="4" t="s">
        <v>47</v>
      </c>
      <c r="AL789" s="4" t="s">
        <v>47</v>
      </c>
      <c r="AM789" s="4" t="s">
        <v>47</v>
      </c>
      <c r="AN789" s="4" t="s">
        <v>47</v>
      </c>
      <c r="AO789" s="4" t="s">
        <v>47</v>
      </c>
      <c r="AP789" s="4" t="s">
        <v>7418</v>
      </c>
      <c r="AQ789" s="4" t="s">
        <v>47</v>
      </c>
      <c r="AR789" s="4" t="s">
        <v>47</v>
      </c>
    </row>
    <row r="790" spans="1:44" x14ac:dyDescent="0.2">
      <c r="A790" s="4" t="s">
        <v>26</v>
      </c>
      <c r="B790" s="4" t="s">
        <v>20</v>
      </c>
      <c r="C790">
        <v>2</v>
      </c>
      <c r="F790">
        <v>1</v>
      </c>
      <c r="I790" s="4" t="s">
        <v>7296</v>
      </c>
      <c r="J790" s="4" t="s">
        <v>7297</v>
      </c>
      <c r="K790" s="4" t="s">
        <v>7337</v>
      </c>
      <c r="L790" s="4" t="s">
        <v>7395</v>
      </c>
      <c r="M790">
        <v>42738</v>
      </c>
      <c r="N790" s="4" t="s">
        <v>7339</v>
      </c>
      <c r="O790" s="4" t="s">
        <v>7419</v>
      </c>
      <c r="P790" s="4" t="s">
        <v>811</v>
      </c>
      <c r="Q790" s="9">
        <v>24301</v>
      </c>
      <c r="R790" s="4" t="s">
        <v>617</v>
      </c>
      <c r="S790" s="4" t="s">
        <v>7420</v>
      </c>
      <c r="T790" s="4" t="s">
        <v>47</v>
      </c>
      <c r="U790" s="4" t="s">
        <v>52</v>
      </c>
      <c r="V790">
        <v>1966</v>
      </c>
      <c r="W790" s="4" t="s">
        <v>7421</v>
      </c>
      <c r="X790" s="4" t="s">
        <v>7422</v>
      </c>
      <c r="Y790" s="4" t="s">
        <v>7423</v>
      </c>
      <c r="Z790" s="4" t="s">
        <v>7424</v>
      </c>
      <c r="AA790" s="4" t="s">
        <v>47</v>
      </c>
      <c r="AB790" s="4" t="s">
        <v>47</v>
      </c>
      <c r="AC790" s="4" t="s">
        <v>47</v>
      </c>
      <c r="AD790" s="4" t="s">
        <v>47</v>
      </c>
      <c r="AE790" s="4" t="s">
        <v>47</v>
      </c>
      <c r="AF790" s="4" t="s">
        <v>47</v>
      </c>
      <c r="AG790" s="4" t="s">
        <v>47</v>
      </c>
      <c r="AH790" s="4" t="s">
        <v>47</v>
      </c>
      <c r="AI790" s="4" t="s">
        <v>47</v>
      </c>
      <c r="AJ790" s="4" t="s">
        <v>47</v>
      </c>
      <c r="AK790" s="4" t="s">
        <v>47</v>
      </c>
      <c r="AL790" s="4" t="s">
        <v>47</v>
      </c>
      <c r="AM790" s="4" t="s">
        <v>47</v>
      </c>
      <c r="AN790" s="4" t="s">
        <v>47</v>
      </c>
      <c r="AO790" s="4" t="s">
        <v>47</v>
      </c>
      <c r="AP790" s="4" t="s">
        <v>47</v>
      </c>
      <c r="AQ790" s="4" t="s">
        <v>47</v>
      </c>
      <c r="AR790" s="4" t="s">
        <v>47</v>
      </c>
    </row>
    <row r="791" spans="1:44" x14ac:dyDescent="0.2">
      <c r="A791" s="4" t="s">
        <v>87</v>
      </c>
      <c r="B791" s="4" t="s">
        <v>106</v>
      </c>
      <c r="C791">
        <v>1</v>
      </c>
      <c r="F791">
        <v>1</v>
      </c>
      <c r="I791" s="4" t="s">
        <v>7322</v>
      </c>
      <c r="J791" s="4" t="s">
        <v>7323</v>
      </c>
      <c r="K791" s="4" t="s">
        <v>7354</v>
      </c>
      <c r="L791" s="4" t="s">
        <v>7039</v>
      </c>
      <c r="M791">
        <v>69237</v>
      </c>
      <c r="N791" s="4" t="s">
        <v>7251</v>
      </c>
      <c r="O791" s="4" t="s">
        <v>7425</v>
      </c>
      <c r="P791" s="4" t="s">
        <v>811</v>
      </c>
      <c r="Q791" s="9">
        <v>24301</v>
      </c>
      <c r="R791" s="4" t="s">
        <v>1046</v>
      </c>
      <c r="S791" s="4" t="s">
        <v>7289</v>
      </c>
      <c r="T791" s="4" t="s">
        <v>47</v>
      </c>
      <c r="U791" s="4" t="s">
        <v>52</v>
      </c>
      <c r="V791">
        <v>1966</v>
      </c>
      <c r="W791" s="4" t="s">
        <v>7426</v>
      </c>
      <c r="X791" s="4" t="s">
        <v>7427</v>
      </c>
      <c r="Y791" s="4" t="s">
        <v>7428</v>
      </c>
      <c r="Z791" s="4" t="s">
        <v>7429</v>
      </c>
      <c r="AA791" s="4" t="s">
        <v>47</v>
      </c>
      <c r="AB791" s="4" t="s">
        <v>47</v>
      </c>
      <c r="AC791" s="4" t="s">
        <v>47</v>
      </c>
      <c r="AD791" s="4" t="s">
        <v>47</v>
      </c>
      <c r="AE791" s="4" t="s">
        <v>47</v>
      </c>
      <c r="AF791" s="4" t="s">
        <v>47</v>
      </c>
      <c r="AG791" s="4" t="s">
        <v>47</v>
      </c>
      <c r="AH791" s="4" t="s">
        <v>47</v>
      </c>
      <c r="AI791" s="4" t="s">
        <v>47</v>
      </c>
      <c r="AJ791" s="4" t="s">
        <v>47</v>
      </c>
      <c r="AK791" s="4" t="s">
        <v>47</v>
      </c>
      <c r="AL791" s="4" t="s">
        <v>47</v>
      </c>
      <c r="AM791" s="4" t="s">
        <v>47</v>
      </c>
      <c r="AN791" s="4" t="s">
        <v>47</v>
      </c>
      <c r="AO791" s="4" t="s">
        <v>47</v>
      </c>
      <c r="AP791" s="4" t="s">
        <v>47</v>
      </c>
      <c r="AQ791" s="4" t="s">
        <v>47</v>
      </c>
      <c r="AR791" s="4" t="s">
        <v>47</v>
      </c>
    </row>
    <row r="792" spans="1:44" x14ac:dyDescent="0.2">
      <c r="A792" s="4" t="s">
        <v>97</v>
      </c>
      <c r="B792" s="4" t="s">
        <v>113</v>
      </c>
      <c r="C792">
        <v>2</v>
      </c>
      <c r="F792">
        <v>0</v>
      </c>
      <c r="I792" s="4" t="s">
        <v>7371</v>
      </c>
      <c r="J792" s="4" t="s">
        <v>7380</v>
      </c>
      <c r="K792" s="4" t="s">
        <v>6856</v>
      </c>
      <c r="L792" s="4" t="s">
        <v>7347</v>
      </c>
      <c r="M792">
        <v>27199</v>
      </c>
      <c r="N792" s="4" t="s">
        <v>7305</v>
      </c>
      <c r="O792" s="4" t="s">
        <v>7430</v>
      </c>
      <c r="P792" s="4" t="s">
        <v>811</v>
      </c>
      <c r="Q792" s="9">
        <v>24301</v>
      </c>
      <c r="R792" s="4" t="s">
        <v>630</v>
      </c>
      <c r="S792" s="4" t="s">
        <v>7253</v>
      </c>
      <c r="T792" s="4" t="s">
        <v>47</v>
      </c>
      <c r="U792" s="4" t="s">
        <v>52</v>
      </c>
      <c r="V792">
        <v>1966</v>
      </c>
      <c r="W792" s="4" t="s">
        <v>7431</v>
      </c>
      <c r="X792" s="4" t="s">
        <v>47</v>
      </c>
      <c r="Y792" s="4" t="s">
        <v>7432</v>
      </c>
      <c r="Z792" s="4" t="s">
        <v>47</v>
      </c>
      <c r="AA792" s="4" t="s">
        <v>47</v>
      </c>
      <c r="AB792" s="4" t="s">
        <v>47</v>
      </c>
      <c r="AC792" s="4" t="s">
        <v>47</v>
      </c>
      <c r="AD792" s="4" t="s">
        <v>47</v>
      </c>
      <c r="AE792" s="4" t="s">
        <v>47</v>
      </c>
      <c r="AF792" s="4" t="s">
        <v>47</v>
      </c>
      <c r="AG792" s="4" t="s">
        <v>47</v>
      </c>
      <c r="AH792" s="4" t="s">
        <v>47</v>
      </c>
      <c r="AI792" s="4" t="s">
        <v>47</v>
      </c>
      <c r="AJ792" s="4" t="s">
        <v>47</v>
      </c>
      <c r="AK792" s="4" t="s">
        <v>47</v>
      </c>
      <c r="AL792" s="4" t="s">
        <v>47</v>
      </c>
      <c r="AM792" s="4" t="s">
        <v>47</v>
      </c>
      <c r="AN792" s="4" t="s">
        <v>47</v>
      </c>
      <c r="AO792" s="4" t="s">
        <v>47</v>
      </c>
      <c r="AP792" s="4" t="s">
        <v>47</v>
      </c>
      <c r="AQ792" s="4" t="s">
        <v>47</v>
      </c>
      <c r="AR792" s="4" t="s">
        <v>47</v>
      </c>
    </row>
    <row r="793" spans="1:44" x14ac:dyDescent="0.2">
      <c r="A793" s="4" t="s">
        <v>141</v>
      </c>
      <c r="B793" s="4" t="s">
        <v>119</v>
      </c>
      <c r="C793">
        <v>3</v>
      </c>
      <c r="F793">
        <v>1</v>
      </c>
      <c r="I793" s="4" t="s">
        <v>7259</v>
      </c>
      <c r="J793" s="4" t="s">
        <v>7260</v>
      </c>
      <c r="K793" s="4" t="s">
        <v>6531</v>
      </c>
      <c r="L793" s="4" t="s">
        <v>7304</v>
      </c>
      <c r="M793">
        <v>29886</v>
      </c>
      <c r="N793" s="4" t="s">
        <v>7329</v>
      </c>
      <c r="O793" s="4" t="s">
        <v>7433</v>
      </c>
      <c r="P793" s="4" t="s">
        <v>811</v>
      </c>
      <c r="Q793" s="9">
        <v>24301</v>
      </c>
      <c r="R793" s="4" t="s">
        <v>770</v>
      </c>
      <c r="S793" s="4" t="s">
        <v>7434</v>
      </c>
      <c r="T793" s="4" t="s">
        <v>47</v>
      </c>
      <c r="U793" s="4" t="s">
        <v>52</v>
      </c>
      <c r="V793">
        <v>1966</v>
      </c>
      <c r="W793" s="4" t="s">
        <v>7435</v>
      </c>
      <c r="X793" s="4" t="s">
        <v>7436</v>
      </c>
      <c r="Y793" s="4" t="s">
        <v>7437</v>
      </c>
      <c r="Z793" s="4" t="s">
        <v>7438</v>
      </c>
      <c r="AA793" s="4" t="s">
        <v>47</v>
      </c>
      <c r="AB793" s="4" t="s">
        <v>47</v>
      </c>
      <c r="AC793" s="4" t="s">
        <v>47</v>
      </c>
      <c r="AD793" s="4" t="s">
        <v>47</v>
      </c>
      <c r="AE793" s="4" t="s">
        <v>47</v>
      </c>
      <c r="AF793" s="4" t="s">
        <v>47</v>
      </c>
      <c r="AG793" s="4" t="s">
        <v>47</v>
      </c>
      <c r="AH793" s="4" t="s">
        <v>47</v>
      </c>
      <c r="AI793" s="4" t="s">
        <v>47</v>
      </c>
      <c r="AJ793" s="4" t="s">
        <v>47</v>
      </c>
      <c r="AK793" s="4" t="s">
        <v>47</v>
      </c>
      <c r="AL793" s="4" t="s">
        <v>47</v>
      </c>
      <c r="AM793" s="4" t="s">
        <v>47</v>
      </c>
      <c r="AN793" s="4" t="s">
        <v>47</v>
      </c>
      <c r="AO793" s="4" t="s">
        <v>47</v>
      </c>
      <c r="AP793" s="4" t="s">
        <v>47</v>
      </c>
      <c r="AQ793" s="4" t="s">
        <v>47</v>
      </c>
      <c r="AR793" s="4" t="s">
        <v>47</v>
      </c>
    </row>
    <row r="794" spans="1:44" x14ac:dyDescent="0.2">
      <c r="A794" s="4" t="s">
        <v>12</v>
      </c>
      <c r="B794" s="4" t="s">
        <v>293</v>
      </c>
      <c r="C794">
        <v>2</v>
      </c>
      <c r="F794">
        <v>0</v>
      </c>
      <c r="I794" s="4" t="s">
        <v>7363</v>
      </c>
      <c r="J794" s="4" t="s">
        <v>7407</v>
      </c>
      <c r="K794" s="4" t="s">
        <v>7328</v>
      </c>
      <c r="L794" s="4" t="s">
        <v>7151</v>
      </c>
      <c r="M794">
        <v>47308</v>
      </c>
      <c r="N794" s="4" t="s">
        <v>7275</v>
      </c>
      <c r="O794" s="4" t="s">
        <v>7439</v>
      </c>
      <c r="P794" s="4" t="s">
        <v>811</v>
      </c>
      <c r="Q794" s="9">
        <v>24300</v>
      </c>
      <c r="R794" s="4" t="s">
        <v>630</v>
      </c>
      <c r="S794" s="4" t="s">
        <v>6704</v>
      </c>
      <c r="T794" s="4" t="s">
        <v>47</v>
      </c>
      <c r="U794" s="4" t="s">
        <v>52</v>
      </c>
      <c r="V794">
        <v>1966</v>
      </c>
      <c r="W794" s="4" t="s">
        <v>7440</v>
      </c>
      <c r="X794" s="4" t="s">
        <v>47</v>
      </c>
      <c r="Y794" s="4" t="s">
        <v>7441</v>
      </c>
      <c r="Z794" s="4" t="s">
        <v>47</v>
      </c>
      <c r="AA794" s="4" t="s">
        <v>47</v>
      </c>
      <c r="AB794" s="4" t="s">
        <v>47</v>
      </c>
      <c r="AC794" s="4" t="s">
        <v>47</v>
      </c>
      <c r="AD794" s="4" t="s">
        <v>47</v>
      </c>
      <c r="AE794" s="4" t="s">
        <v>47</v>
      </c>
      <c r="AF794" s="4" t="s">
        <v>47</v>
      </c>
      <c r="AG794" s="4" t="s">
        <v>47</v>
      </c>
      <c r="AH794" s="4" t="s">
        <v>47</v>
      </c>
      <c r="AI794" s="4" t="s">
        <v>47</v>
      </c>
      <c r="AJ794" s="4" t="s">
        <v>47</v>
      </c>
      <c r="AK794" s="4" t="s">
        <v>47</v>
      </c>
      <c r="AL794" s="4" t="s">
        <v>47</v>
      </c>
      <c r="AM794" s="4" t="s">
        <v>47</v>
      </c>
      <c r="AN794" s="4" t="s">
        <v>47</v>
      </c>
      <c r="AO794" s="4" t="s">
        <v>7442</v>
      </c>
      <c r="AP794" s="4" t="s">
        <v>7443</v>
      </c>
      <c r="AQ794" s="4" t="s">
        <v>47</v>
      </c>
      <c r="AR794" s="4" t="s">
        <v>47</v>
      </c>
    </row>
    <row r="795" spans="1:44" x14ac:dyDescent="0.2">
      <c r="A795" s="4" t="s">
        <v>5211</v>
      </c>
      <c r="B795" s="4" t="s">
        <v>357</v>
      </c>
      <c r="C795">
        <v>3</v>
      </c>
      <c r="F795">
        <v>0</v>
      </c>
      <c r="I795" s="4" t="s">
        <v>7261</v>
      </c>
      <c r="J795" s="4" t="s">
        <v>7051</v>
      </c>
      <c r="K795" s="4" t="s">
        <v>7285</v>
      </c>
      <c r="L795" s="4" t="s">
        <v>7286</v>
      </c>
      <c r="M795">
        <v>23006</v>
      </c>
      <c r="N795" s="4" t="s">
        <v>7373</v>
      </c>
      <c r="O795" s="4" t="s">
        <v>7444</v>
      </c>
      <c r="P795" s="4" t="s">
        <v>811</v>
      </c>
      <c r="Q795" s="9">
        <v>24300</v>
      </c>
      <c r="R795" s="4" t="s">
        <v>638</v>
      </c>
      <c r="S795" s="4" t="s">
        <v>7307</v>
      </c>
      <c r="T795" s="4" t="s">
        <v>47</v>
      </c>
      <c r="U795" s="4" t="s">
        <v>52</v>
      </c>
      <c r="V795">
        <v>1966</v>
      </c>
      <c r="W795" s="4" t="s">
        <v>7445</v>
      </c>
      <c r="X795" s="4" t="s">
        <v>47</v>
      </c>
      <c r="Y795" s="4" t="s">
        <v>7446</v>
      </c>
      <c r="Z795" s="4" t="s">
        <v>47</v>
      </c>
      <c r="AA795" s="4" t="s">
        <v>47</v>
      </c>
      <c r="AB795" s="4" t="s">
        <v>47</v>
      </c>
      <c r="AC795" s="4" t="s">
        <v>47</v>
      </c>
      <c r="AD795" s="4" t="s">
        <v>47</v>
      </c>
      <c r="AE795" s="4" t="s">
        <v>47</v>
      </c>
      <c r="AF795" s="4" t="s">
        <v>47</v>
      </c>
      <c r="AG795" s="4" t="s">
        <v>47</v>
      </c>
      <c r="AH795" s="4" t="s">
        <v>47</v>
      </c>
      <c r="AI795" s="4" t="s">
        <v>47</v>
      </c>
      <c r="AJ795" s="4" t="s">
        <v>47</v>
      </c>
      <c r="AK795" s="4" t="s">
        <v>47</v>
      </c>
      <c r="AL795" s="4" t="s">
        <v>47</v>
      </c>
      <c r="AM795" s="4" t="s">
        <v>47</v>
      </c>
      <c r="AN795" s="4" t="s">
        <v>47</v>
      </c>
      <c r="AO795" s="4" t="s">
        <v>7447</v>
      </c>
      <c r="AP795" s="4" t="s">
        <v>47</v>
      </c>
      <c r="AQ795" s="4" t="s">
        <v>47</v>
      </c>
      <c r="AR795" s="4" t="s">
        <v>47</v>
      </c>
    </row>
    <row r="796" spans="1:44" x14ac:dyDescent="0.2">
      <c r="A796" s="4" t="s">
        <v>104</v>
      </c>
      <c r="B796" s="4" t="s">
        <v>118</v>
      </c>
      <c r="C796">
        <v>5</v>
      </c>
      <c r="F796">
        <v>0</v>
      </c>
      <c r="I796" s="4" t="s">
        <v>6398</v>
      </c>
      <c r="J796" s="4" t="s">
        <v>7000</v>
      </c>
      <c r="K796" s="4" t="s">
        <v>7357</v>
      </c>
      <c r="L796" s="4" t="s">
        <v>7448</v>
      </c>
      <c r="M796">
        <v>36127</v>
      </c>
      <c r="N796" s="4" t="s">
        <v>7314</v>
      </c>
      <c r="O796" s="4" t="s">
        <v>7449</v>
      </c>
      <c r="P796" s="4" t="s">
        <v>811</v>
      </c>
      <c r="Q796" s="9">
        <v>24300</v>
      </c>
      <c r="R796" s="4" t="s">
        <v>1840</v>
      </c>
      <c r="S796" s="4" t="s">
        <v>7450</v>
      </c>
      <c r="T796" s="4" t="s">
        <v>47</v>
      </c>
      <c r="U796" s="4" t="s">
        <v>52</v>
      </c>
      <c r="V796">
        <v>1966</v>
      </c>
      <c r="W796" s="4" t="s">
        <v>7451</v>
      </c>
      <c r="X796" s="4" t="s">
        <v>47</v>
      </c>
      <c r="Y796" s="4" t="s">
        <v>7452</v>
      </c>
      <c r="Z796" s="4" t="s">
        <v>47</v>
      </c>
      <c r="AA796" s="4" t="s">
        <v>47</v>
      </c>
      <c r="AB796" s="4" t="s">
        <v>47</v>
      </c>
      <c r="AC796" s="4" t="s">
        <v>7453</v>
      </c>
      <c r="AD796" s="4" t="s">
        <v>47</v>
      </c>
      <c r="AE796" s="4" t="s">
        <v>47</v>
      </c>
      <c r="AF796" s="4" t="s">
        <v>47</v>
      </c>
      <c r="AG796" s="4" t="s">
        <v>47</v>
      </c>
      <c r="AH796" s="4" t="s">
        <v>47</v>
      </c>
      <c r="AI796" s="4" t="s">
        <v>47</v>
      </c>
      <c r="AJ796" s="4" t="s">
        <v>47</v>
      </c>
      <c r="AK796" s="4" t="s">
        <v>47</v>
      </c>
      <c r="AL796" s="4" t="s">
        <v>47</v>
      </c>
      <c r="AM796" s="4" t="s">
        <v>47</v>
      </c>
      <c r="AN796" s="4" t="s">
        <v>47</v>
      </c>
      <c r="AO796" s="4" t="s">
        <v>47</v>
      </c>
      <c r="AP796" s="4" t="s">
        <v>47</v>
      </c>
      <c r="AQ796" s="4" t="s">
        <v>47</v>
      </c>
      <c r="AR796" s="4" t="s">
        <v>47</v>
      </c>
    </row>
    <row r="797" spans="1:44" x14ac:dyDescent="0.2">
      <c r="A797" s="4" t="s">
        <v>52</v>
      </c>
      <c r="B797" s="4" t="s">
        <v>121</v>
      </c>
      <c r="C797">
        <v>0</v>
      </c>
      <c r="F797">
        <v>0</v>
      </c>
      <c r="I797" s="4" t="s">
        <v>7059</v>
      </c>
      <c r="J797" s="4" t="s">
        <v>7060</v>
      </c>
      <c r="K797" s="4" t="s">
        <v>7312</v>
      </c>
      <c r="L797" s="4" t="s">
        <v>7313</v>
      </c>
      <c r="M797">
        <v>87148</v>
      </c>
      <c r="N797" s="4" t="s">
        <v>7251</v>
      </c>
      <c r="O797" s="4" t="s">
        <v>7454</v>
      </c>
      <c r="P797" s="4" t="s">
        <v>811</v>
      </c>
      <c r="Q797" s="9">
        <v>24299</v>
      </c>
      <c r="R797" s="4" t="s">
        <v>869</v>
      </c>
      <c r="S797" s="4" t="s">
        <v>7455</v>
      </c>
      <c r="T797" s="4" t="s">
        <v>47</v>
      </c>
      <c r="U797" s="4" t="s">
        <v>52</v>
      </c>
      <c r="V797">
        <v>1966</v>
      </c>
      <c r="W797" s="4" t="s">
        <v>47</v>
      </c>
      <c r="X797" s="4" t="s">
        <v>47</v>
      </c>
      <c r="Y797" s="4" t="s">
        <v>47</v>
      </c>
      <c r="Z797" s="4" t="s">
        <v>47</v>
      </c>
      <c r="AA797" s="4" t="s">
        <v>47</v>
      </c>
      <c r="AB797" s="4" t="s">
        <v>47</v>
      </c>
      <c r="AC797" s="4" t="s">
        <v>47</v>
      </c>
      <c r="AD797" s="4" t="s">
        <v>47</v>
      </c>
      <c r="AE797" s="4" t="s">
        <v>47</v>
      </c>
      <c r="AF797" s="4" t="s">
        <v>47</v>
      </c>
      <c r="AG797" s="4" t="s">
        <v>47</v>
      </c>
      <c r="AH797" s="4" t="s">
        <v>47</v>
      </c>
      <c r="AI797" s="4" t="s">
        <v>47</v>
      </c>
      <c r="AJ797" s="4" t="s">
        <v>47</v>
      </c>
      <c r="AK797" s="4" t="s">
        <v>47</v>
      </c>
      <c r="AL797" s="4" t="s">
        <v>47</v>
      </c>
      <c r="AM797" s="4" t="s">
        <v>47</v>
      </c>
      <c r="AN797" s="4" t="s">
        <v>47</v>
      </c>
      <c r="AO797" s="4" t="s">
        <v>47</v>
      </c>
      <c r="AP797" s="4" t="s">
        <v>47</v>
      </c>
      <c r="AQ797" s="4" t="s">
        <v>47</v>
      </c>
      <c r="AR797" s="4" t="s">
        <v>47</v>
      </c>
    </row>
    <row r="798" spans="1:44" x14ac:dyDescent="0.2">
      <c r="A798" s="4" t="s">
        <v>12</v>
      </c>
      <c r="B798" s="4" t="s">
        <v>114</v>
      </c>
      <c r="C798">
        <v>3</v>
      </c>
      <c r="F798">
        <v>1</v>
      </c>
      <c r="I798" s="4" t="s">
        <v>7456</v>
      </c>
      <c r="J798" s="4" t="s">
        <v>7457</v>
      </c>
      <c r="K798" s="4" t="s">
        <v>7328</v>
      </c>
      <c r="L798" s="4" t="s">
        <v>7458</v>
      </c>
      <c r="M798">
        <v>68679</v>
      </c>
      <c r="N798" s="4" t="s">
        <v>7459</v>
      </c>
      <c r="O798" s="4" t="s">
        <v>7460</v>
      </c>
      <c r="P798" s="4" t="s">
        <v>593</v>
      </c>
      <c r="Q798" s="9">
        <v>22814</v>
      </c>
      <c r="R798" s="4" t="s">
        <v>770</v>
      </c>
      <c r="S798" s="4" t="s">
        <v>7461</v>
      </c>
      <c r="T798" s="4" t="s">
        <v>47</v>
      </c>
      <c r="U798" s="4" t="s">
        <v>113</v>
      </c>
      <c r="V798">
        <v>1962</v>
      </c>
      <c r="W798" s="4" t="s">
        <v>7462</v>
      </c>
      <c r="X798" s="4" t="s">
        <v>7463</v>
      </c>
      <c r="Y798" s="4" t="s">
        <v>7464</v>
      </c>
      <c r="Z798" s="4" t="s">
        <v>7465</v>
      </c>
      <c r="AA798" s="4" t="s">
        <v>47</v>
      </c>
      <c r="AB798" s="4" t="s">
        <v>47</v>
      </c>
      <c r="AC798" s="4" t="s">
        <v>47</v>
      </c>
      <c r="AD798" s="4" t="s">
        <v>47</v>
      </c>
      <c r="AE798" s="4" t="s">
        <v>47</v>
      </c>
      <c r="AF798" s="4" t="s">
        <v>47</v>
      </c>
      <c r="AG798" s="4" t="s">
        <v>47</v>
      </c>
      <c r="AH798" s="4" t="s">
        <v>47</v>
      </c>
      <c r="AI798" s="4" t="s">
        <v>47</v>
      </c>
      <c r="AJ798" s="4" t="s">
        <v>47</v>
      </c>
      <c r="AK798" s="4" t="s">
        <v>47</v>
      </c>
      <c r="AL798" s="4" t="s">
        <v>47</v>
      </c>
      <c r="AM798" s="4" t="s">
        <v>47</v>
      </c>
      <c r="AN798" s="4" t="s">
        <v>47</v>
      </c>
      <c r="AO798" s="4" t="s">
        <v>47</v>
      </c>
      <c r="AP798" s="4" t="s">
        <v>47</v>
      </c>
      <c r="AQ798" s="4" t="s">
        <v>47</v>
      </c>
      <c r="AR798" s="4" t="s">
        <v>47</v>
      </c>
    </row>
    <row r="799" spans="1:44" x14ac:dyDescent="0.2">
      <c r="A799" s="4" t="s">
        <v>113</v>
      </c>
      <c r="B799" s="4" t="s">
        <v>4991</v>
      </c>
      <c r="C799">
        <v>1</v>
      </c>
      <c r="F799">
        <v>0</v>
      </c>
      <c r="I799" s="4" t="s">
        <v>7466</v>
      </c>
      <c r="J799" s="4" t="s">
        <v>7467</v>
      </c>
      <c r="K799" s="4" t="s">
        <v>7468</v>
      </c>
      <c r="L799" s="4" t="s">
        <v>7469</v>
      </c>
      <c r="M799">
        <v>66697</v>
      </c>
      <c r="N799" s="4" t="s">
        <v>7459</v>
      </c>
      <c r="O799" s="4" t="s">
        <v>7470</v>
      </c>
      <c r="P799" s="4" t="s">
        <v>616</v>
      </c>
      <c r="Q799" s="9">
        <v>22813</v>
      </c>
      <c r="R799" s="4" t="s">
        <v>652</v>
      </c>
      <c r="S799" s="4" t="s">
        <v>7307</v>
      </c>
      <c r="T799" s="4" t="s">
        <v>47</v>
      </c>
      <c r="U799" s="4" t="s">
        <v>113</v>
      </c>
      <c r="V799">
        <v>1962</v>
      </c>
      <c r="W799" s="4" t="s">
        <v>7471</v>
      </c>
      <c r="X799" s="4" t="s">
        <v>47</v>
      </c>
      <c r="Y799" s="4" t="s">
        <v>7472</v>
      </c>
      <c r="Z799" s="4" t="s">
        <v>47</v>
      </c>
      <c r="AA799" s="4" t="s">
        <v>47</v>
      </c>
      <c r="AB799" s="4" t="s">
        <v>47</v>
      </c>
      <c r="AC799" s="4" t="s">
        <v>47</v>
      </c>
      <c r="AD799" s="4" t="s">
        <v>47</v>
      </c>
      <c r="AE799" s="4" t="s">
        <v>47</v>
      </c>
      <c r="AF799" s="4" t="s">
        <v>47</v>
      </c>
      <c r="AG799" s="4" t="s">
        <v>47</v>
      </c>
      <c r="AH799" s="4" t="s">
        <v>47</v>
      </c>
      <c r="AI799" s="4" t="s">
        <v>47</v>
      </c>
      <c r="AJ799" s="4" t="s">
        <v>47</v>
      </c>
      <c r="AK799" s="4" t="s">
        <v>47</v>
      </c>
      <c r="AL799" s="4" t="s">
        <v>47</v>
      </c>
      <c r="AM799" s="4" t="s">
        <v>47</v>
      </c>
      <c r="AN799" s="4" t="s">
        <v>47</v>
      </c>
      <c r="AO799" s="4" t="s">
        <v>47</v>
      </c>
      <c r="AP799" s="4" t="s">
        <v>47</v>
      </c>
      <c r="AQ799" s="4" t="s">
        <v>47</v>
      </c>
      <c r="AR799" s="4" t="s">
        <v>47</v>
      </c>
    </row>
    <row r="800" spans="1:44" x14ac:dyDescent="0.2">
      <c r="A800" s="4" t="s">
        <v>12</v>
      </c>
      <c r="B800" s="4" t="s">
        <v>113</v>
      </c>
      <c r="C800">
        <v>4</v>
      </c>
      <c r="F800">
        <v>2</v>
      </c>
      <c r="I800" s="4" t="s">
        <v>7456</v>
      </c>
      <c r="J800" s="4" t="s">
        <v>7457</v>
      </c>
      <c r="K800" s="4" t="s">
        <v>7466</v>
      </c>
      <c r="L800" s="4" t="s">
        <v>7467</v>
      </c>
      <c r="M800">
        <v>76594</v>
      </c>
      <c r="N800" s="4" t="s">
        <v>7459</v>
      </c>
      <c r="O800" s="4" t="s">
        <v>7473</v>
      </c>
      <c r="P800" s="4" t="s">
        <v>629</v>
      </c>
      <c r="Q800" s="9">
        <v>22810</v>
      </c>
      <c r="R800" s="4" t="s">
        <v>1236</v>
      </c>
      <c r="S800" s="4" t="s">
        <v>7012</v>
      </c>
      <c r="T800" s="4" t="s">
        <v>47</v>
      </c>
      <c r="U800" s="4" t="s">
        <v>113</v>
      </c>
      <c r="V800">
        <v>1962</v>
      </c>
      <c r="W800" s="4" t="s">
        <v>7474</v>
      </c>
      <c r="X800" s="4" t="s">
        <v>7475</v>
      </c>
      <c r="Y800" s="4" t="s">
        <v>7476</v>
      </c>
      <c r="Z800" s="4" t="s">
        <v>7477</v>
      </c>
      <c r="AA800" s="4" t="s">
        <v>47</v>
      </c>
      <c r="AB800" s="4" t="s">
        <v>47</v>
      </c>
      <c r="AC800" s="4" t="s">
        <v>47</v>
      </c>
      <c r="AD800" s="4" t="s">
        <v>7478</v>
      </c>
      <c r="AE800" s="4" t="s">
        <v>47</v>
      </c>
      <c r="AF800" s="4" t="s">
        <v>47</v>
      </c>
      <c r="AG800" s="4" t="s">
        <v>47</v>
      </c>
      <c r="AH800" s="4" t="s">
        <v>47</v>
      </c>
      <c r="AI800" s="4" t="s">
        <v>47</v>
      </c>
      <c r="AJ800" s="4" t="s">
        <v>47</v>
      </c>
      <c r="AK800" s="4" t="s">
        <v>7479</v>
      </c>
      <c r="AL800" s="4" t="s">
        <v>7480</v>
      </c>
      <c r="AM800" s="4" t="s">
        <v>47</v>
      </c>
      <c r="AN800" s="4" t="s">
        <v>47</v>
      </c>
      <c r="AO800" s="4" t="s">
        <v>47</v>
      </c>
      <c r="AP800" s="4" t="s">
        <v>47</v>
      </c>
      <c r="AQ800" s="4" t="s">
        <v>47</v>
      </c>
      <c r="AR800" s="4" t="s">
        <v>47</v>
      </c>
    </row>
    <row r="801" spans="1:44" x14ac:dyDescent="0.2">
      <c r="A801" s="4" t="s">
        <v>114</v>
      </c>
      <c r="B801" s="4" t="s">
        <v>4991</v>
      </c>
      <c r="C801">
        <v>3</v>
      </c>
      <c r="F801">
        <v>1</v>
      </c>
      <c r="I801" s="4" t="s">
        <v>7328</v>
      </c>
      <c r="J801" s="4" t="s">
        <v>7458</v>
      </c>
      <c r="K801" s="4" t="s">
        <v>7468</v>
      </c>
      <c r="L801" s="4" t="s">
        <v>7469</v>
      </c>
      <c r="M801">
        <v>5890</v>
      </c>
      <c r="N801" s="4" t="s">
        <v>7481</v>
      </c>
      <c r="O801" s="4" t="s">
        <v>7482</v>
      </c>
      <c r="P801" s="4" t="s">
        <v>629</v>
      </c>
      <c r="Q801" s="9">
        <v>22810</v>
      </c>
      <c r="R801" s="4" t="s">
        <v>770</v>
      </c>
      <c r="S801" s="4" t="s">
        <v>7253</v>
      </c>
      <c r="T801" s="4" t="s">
        <v>47</v>
      </c>
      <c r="U801" s="4" t="s">
        <v>113</v>
      </c>
      <c r="V801">
        <v>1962</v>
      </c>
      <c r="W801" s="4" t="s">
        <v>7483</v>
      </c>
      <c r="X801" s="4" t="s">
        <v>7484</v>
      </c>
      <c r="Y801" s="4" t="s">
        <v>7485</v>
      </c>
      <c r="Z801" s="4" t="s">
        <v>7486</v>
      </c>
      <c r="AA801" s="4" t="s">
        <v>47</v>
      </c>
      <c r="AB801" s="4" t="s">
        <v>47</v>
      </c>
      <c r="AC801" s="4" t="s">
        <v>7487</v>
      </c>
      <c r="AD801" s="4" t="s">
        <v>47</v>
      </c>
      <c r="AE801" s="4" t="s">
        <v>47</v>
      </c>
      <c r="AF801" s="4" t="s">
        <v>47</v>
      </c>
      <c r="AG801" s="4" t="s">
        <v>47</v>
      </c>
      <c r="AH801" s="4" t="s">
        <v>47</v>
      </c>
      <c r="AI801" s="4" t="s">
        <v>47</v>
      </c>
      <c r="AJ801" s="4" t="s">
        <v>47</v>
      </c>
      <c r="AK801" s="4" t="s">
        <v>47</v>
      </c>
      <c r="AL801" s="4" t="s">
        <v>47</v>
      </c>
      <c r="AM801" s="4" t="s">
        <v>47</v>
      </c>
      <c r="AN801" s="4" t="s">
        <v>47</v>
      </c>
      <c r="AO801" s="4" t="s">
        <v>47</v>
      </c>
      <c r="AP801" s="4" t="s">
        <v>47</v>
      </c>
      <c r="AQ801" s="4" t="s">
        <v>47</v>
      </c>
      <c r="AR801" s="4" t="s">
        <v>47</v>
      </c>
    </row>
    <row r="802" spans="1:44" x14ac:dyDescent="0.2">
      <c r="A802" s="4" t="s">
        <v>113</v>
      </c>
      <c r="B802" s="4" t="s">
        <v>5211</v>
      </c>
      <c r="C802">
        <v>2</v>
      </c>
      <c r="F802">
        <v>1</v>
      </c>
      <c r="I802" s="4" t="s">
        <v>7466</v>
      </c>
      <c r="J802" s="4" t="s">
        <v>7488</v>
      </c>
      <c r="K802" s="4" t="s">
        <v>7050</v>
      </c>
      <c r="L802" s="4" t="s">
        <v>7489</v>
      </c>
      <c r="M802">
        <v>17268</v>
      </c>
      <c r="N802" s="4" t="s">
        <v>7490</v>
      </c>
      <c r="O802" s="4" t="s">
        <v>7491</v>
      </c>
      <c r="P802" s="4" t="s">
        <v>651</v>
      </c>
      <c r="Q802" s="9">
        <v>22807</v>
      </c>
      <c r="R802" s="4" t="s">
        <v>617</v>
      </c>
      <c r="S802" s="4" t="s">
        <v>7492</v>
      </c>
      <c r="T802" s="4" t="s">
        <v>47</v>
      </c>
      <c r="U802" s="4" t="s">
        <v>113</v>
      </c>
      <c r="V802">
        <v>1962</v>
      </c>
      <c r="W802" s="4" t="s">
        <v>7493</v>
      </c>
      <c r="X802" s="4" t="s">
        <v>7494</v>
      </c>
      <c r="Y802" s="4" t="s">
        <v>7495</v>
      </c>
      <c r="Z802" s="4" t="s">
        <v>7496</v>
      </c>
      <c r="AA802" s="4" t="s">
        <v>47</v>
      </c>
      <c r="AB802" s="4" t="s">
        <v>47</v>
      </c>
      <c r="AC802" s="4" t="s">
        <v>47</v>
      </c>
      <c r="AD802" s="4" t="s">
        <v>47</v>
      </c>
      <c r="AE802" s="4" t="s">
        <v>47</v>
      </c>
      <c r="AF802" s="4" t="s">
        <v>47</v>
      </c>
      <c r="AG802" s="4" t="s">
        <v>47</v>
      </c>
      <c r="AH802" s="4" t="s">
        <v>47</v>
      </c>
      <c r="AI802" s="4" t="s">
        <v>47</v>
      </c>
      <c r="AJ802" s="4" t="s">
        <v>47</v>
      </c>
      <c r="AK802" s="4" t="s">
        <v>47</v>
      </c>
      <c r="AL802" s="4" t="s">
        <v>47</v>
      </c>
      <c r="AM802" s="4" t="s">
        <v>47</v>
      </c>
      <c r="AN802" s="4" t="s">
        <v>47</v>
      </c>
      <c r="AO802" s="4" t="s">
        <v>47</v>
      </c>
      <c r="AP802" s="4" t="s">
        <v>47</v>
      </c>
      <c r="AQ802" s="4" t="s">
        <v>47</v>
      </c>
      <c r="AR802" s="4" t="s">
        <v>47</v>
      </c>
    </row>
    <row r="803" spans="1:44" x14ac:dyDescent="0.2">
      <c r="A803" s="4" t="s">
        <v>12</v>
      </c>
      <c r="B803" s="4" t="s">
        <v>52</v>
      </c>
      <c r="C803">
        <v>3</v>
      </c>
      <c r="F803">
        <v>1</v>
      </c>
      <c r="I803" s="4" t="s">
        <v>7456</v>
      </c>
      <c r="J803" s="4" t="s">
        <v>7457</v>
      </c>
      <c r="K803" s="4" t="s">
        <v>7497</v>
      </c>
      <c r="L803" s="4" t="s">
        <v>7498</v>
      </c>
      <c r="M803">
        <v>17736</v>
      </c>
      <c r="N803" s="4" t="s">
        <v>7481</v>
      </c>
      <c r="O803" s="4" t="s">
        <v>7499</v>
      </c>
      <c r="P803" s="4" t="s">
        <v>651</v>
      </c>
      <c r="Q803" s="9">
        <v>22807</v>
      </c>
      <c r="R803" s="4" t="s">
        <v>770</v>
      </c>
      <c r="S803" s="4" t="s">
        <v>7271</v>
      </c>
      <c r="T803" s="4" t="s">
        <v>47</v>
      </c>
      <c r="U803" s="4" t="s">
        <v>113</v>
      </c>
      <c r="V803">
        <v>1962</v>
      </c>
      <c r="W803" s="4" t="s">
        <v>7500</v>
      </c>
      <c r="X803" s="4" t="s">
        <v>7501</v>
      </c>
      <c r="Y803" s="4" t="s">
        <v>7502</v>
      </c>
      <c r="Z803" s="4" t="s">
        <v>7503</v>
      </c>
      <c r="AA803" s="4" t="s">
        <v>47</v>
      </c>
      <c r="AB803" s="4" t="s">
        <v>47</v>
      </c>
      <c r="AC803" s="4" t="s">
        <v>47</v>
      </c>
      <c r="AD803" s="4" t="s">
        <v>47</v>
      </c>
      <c r="AE803" s="4" t="s">
        <v>47</v>
      </c>
      <c r="AF803" s="4" t="s">
        <v>47</v>
      </c>
      <c r="AG803" s="4" t="s">
        <v>47</v>
      </c>
      <c r="AH803" s="4" t="s">
        <v>47</v>
      </c>
      <c r="AI803" s="4" t="s">
        <v>47</v>
      </c>
      <c r="AJ803" s="4" t="s">
        <v>47</v>
      </c>
      <c r="AK803" s="4" t="s">
        <v>47</v>
      </c>
      <c r="AL803" s="4" t="s">
        <v>47</v>
      </c>
      <c r="AM803" s="4" t="s">
        <v>47</v>
      </c>
      <c r="AN803" s="4" t="s">
        <v>47</v>
      </c>
      <c r="AO803" s="4" t="s">
        <v>47</v>
      </c>
      <c r="AP803" s="4" t="s">
        <v>47</v>
      </c>
      <c r="AQ803" s="4" t="s">
        <v>47</v>
      </c>
      <c r="AR803" s="4" t="s">
        <v>47</v>
      </c>
    </row>
    <row r="804" spans="1:44" x14ac:dyDescent="0.2">
      <c r="A804" s="4" t="s">
        <v>114</v>
      </c>
      <c r="B804" s="4" t="s">
        <v>119</v>
      </c>
      <c r="C804">
        <v>1</v>
      </c>
      <c r="F804">
        <v>0</v>
      </c>
      <c r="I804" s="4" t="s">
        <v>7328</v>
      </c>
      <c r="J804" s="4" t="s">
        <v>7458</v>
      </c>
      <c r="K804" s="4" t="s">
        <v>6531</v>
      </c>
      <c r="L804" s="4" t="s">
        <v>7504</v>
      </c>
      <c r="M804">
        <v>11690</v>
      </c>
      <c r="N804" s="4" t="s">
        <v>7505</v>
      </c>
      <c r="O804" s="4" t="s">
        <v>7506</v>
      </c>
      <c r="P804" s="4" t="s">
        <v>651</v>
      </c>
      <c r="Q804" s="9">
        <v>22807</v>
      </c>
      <c r="R804" s="4" t="s">
        <v>652</v>
      </c>
      <c r="S804" s="4" t="s">
        <v>7461</v>
      </c>
      <c r="T804" s="4" t="s">
        <v>47</v>
      </c>
      <c r="U804" s="4" t="s">
        <v>113</v>
      </c>
      <c r="V804">
        <v>1962</v>
      </c>
      <c r="W804" s="4" t="s">
        <v>7507</v>
      </c>
      <c r="X804" s="4" t="s">
        <v>47</v>
      </c>
      <c r="Y804" s="4" t="s">
        <v>7508</v>
      </c>
      <c r="Z804" s="4" t="s">
        <v>47</v>
      </c>
      <c r="AA804" s="4" t="s">
        <v>47</v>
      </c>
      <c r="AB804" s="4" t="s">
        <v>47</v>
      </c>
      <c r="AC804" s="4" t="s">
        <v>47</v>
      </c>
      <c r="AD804" s="4" t="s">
        <v>47</v>
      </c>
      <c r="AE804" s="4" t="s">
        <v>47</v>
      </c>
      <c r="AF804" s="4" t="s">
        <v>47</v>
      </c>
      <c r="AG804" s="4" t="s">
        <v>47</v>
      </c>
      <c r="AH804" s="4" t="s">
        <v>47</v>
      </c>
      <c r="AI804" s="4" t="s">
        <v>47</v>
      </c>
      <c r="AJ804" s="4" t="s">
        <v>47</v>
      </c>
      <c r="AK804" s="4" t="s">
        <v>47</v>
      </c>
      <c r="AL804" s="4" t="s">
        <v>47</v>
      </c>
      <c r="AM804" s="4" t="s">
        <v>47</v>
      </c>
      <c r="AN804" s="4" t="s">
        <v>47</v>
      </c>
      <c r="AO804" s="4" t="s">
        <v>47</v>
      </c>
      <c r="AP804" s="4" t="s">
        <v>47</v>
      </c>
      <c r="AQ804" s="4" t="s">
        <v>47</v>
      </c>
      <c r="AR804" s="4" t="s">
        <v>47</v>
      </c>
    </row>
    <row r="805" spans="1:44" x14ac:dyDescent="0.2">
      <c r="A805" s="4" t="s">
        <v>4991</v>
      </c>
      <c r="B805" s="4" t="s">
        <v>104</v>
      </c>
      <c r="C805">
        <v>1</v>
      </c>
      <c r="F805">
        <v>0</v>
      </c>
      <c r="I805" s="4" t="s">
        <v>7468</v>
      </c>
      <c r="J805" s="4" t="s">
        <v>7469</v>
      </c>
      <c r="K805" s="4" t="s">
        <v>7509</v>
      </c>
      <c r="L805" s="4" t="s">
        <v>7510</v>
      </c>
      <c r="M805">
        <v>63324</v>
      </c>
      <c r="N805" s="4" t="s">
        <v>7459</v>
      </c>
      <c r="O805" s="4" t="s">
        <v>7511</v>
      </c>
      <c r="P805" s="4" t="s">
        <v>651</v>
      </c>
      <c r="Q805" s="9">
        <v>22807</v>
      </c>
      <c r="R805" s="4" t="s">
        <v>652</v>
      </c>
      <c r="S805" s="4" t="s">
        <v>7012</v>
      </c>
      <c r="T805" s="4" t="s">
        <v>47</v>
      </c>
      <c r="U805" s="4" t="s">
        <v>113</v>
      </c>
      <c r="V805">
        <v>1962</v>
      </c>
      <c r="W805" s="4" t="s">
        <v>7512</v>
      </c>
      <c r="X805" s="4" t="s">
        <v>47</v>
      </c>
      <c r="Y805" s="4" t="s">
        <v>7513</v>
      </c>
      <c r="Z805" s="4" t="s">
        <v>47</v>
      </c>
      <c r="AA805" s="4" t="s">
        <v>47</v>
      </c>
      <c r="AB805" s="4" t="s">
        <v>47</v>
      </c>
      <c r="AC805" s="4" t="s">
        <v>47</v>
      </c>
      <c r="AD805" s="4" t="s">
        <v>47</v>
      </c>
      <c r="AE805" s="4" t="s">
        <v>47</v>
      </c>
      <c r="AF805" s="4" t="s">
        <v>47</v>
      </c>
      <c r="AG805" s="4" t="s">
        <v>47</v>
      </c>
      <c r="AH805" s="4" t="s">
        <v>47</v>
      </c>
      <c r="AI805" s="4" t="s">
        <v>47</v>
      </c>
      <c r="AJ805" s="4" t="s">
        <v>47</v>
      </c>
      <c r="AK805" s="4" t="s">
        <v>47</v>
      </c>
      <c r="AL805" s="4" t="s">
        <v>47</v>
      </c>
      <c r="AM805" s="4" t="s">
        <v>47</v>
      </c>
      <c r="AN805" s="4" t="s">
        <v>47</v>
      </c>
      <c r="AO805" s="4" t="s">
        <v>47</v>
      </c>
      <c r="AP805" s="4" t="s">
        <v>47</v>
      </c>
      <c r="AQ805" s="4" t="s">
        <v>47</v>
      </c>
      <c r="AR805" s="4" t="s">
        <v>47</v>
      </c>
    </row>
    <row r="806" spans="1:44" x14ac:dyDescent="0.2">
      <c r="A806" s="4" t="s">
        <v>52</v>
      </c>
      <c r="B806" s="4" t="s">
        <v>293</v>
      </c>
      <c r="C806">
        <v>0</v>
      </c>
      <c r="F806">
        <v>0</v>
      </c>
      <c r="I806" s="4" t="s">
        <v>7497</v>
      </c>
      <c r="J806" s="4" t="s">
        <v>7498</v>
      </c>
      <c r="K806" s="4" t="s">
        <v>7514</v>
      </c>
      <c r="L806" s="4" t="s">
        <v>7515</v>
      </c>
      <c r="M806">
        <v>5700</v>
      </c>
      <c r="N806" s="4" t="s">
        <v>7505</v>
      </c>
      <c r="O806" s="4" t="s">
        <v>7516</v>
      </c>
      <c r="P806" s="4" t="s">
        <v>811</v>
      </c>
      <c r="Q806" s="9">
        <v>22804</v>
      </c>
      <c r="R806" s="4" t="s">
        <v>869</v>
      </c>
      <c r="S806" s="4" t="s">
        <v>7517</v>
      </c>
      <c r="T806" s="4" t="s">
        <v>47</v>
      </c>
      <c r="U806" s="4" t="s">
        <v>113</v>
      </c>
      <c r="V806">
        <v>1962</v>
      </c>
      <c r="W806" s="4" t="s">
        <v>47</v>
      </c>
      <c r="X806" s="4" t="s">
        <v>47</v>
      </c>
      <c r="Y806" s="4" t="s">
        <v>47</v>
      </c>
      <c r="Z806" s="4" t="s">
        <v>47</v>
      </c>
      <c r="AA806" s="4" t="s">
        <v>47</v>
      </c>
      <c r="AB806" s="4" t="s">
        <v>47</v>
      </c>
      <c r="AC806" s="4" t="s">
        <v>47</v>
      </c>
      <c r="AD806" s="4" t="s">
        <v>47</v>
      </c>
      <c r="AE806" s="4" t="s">
        <v>47</v>
      </c>
      <c r="AF806" s="4" t="s">
        <v>47</v>
      </c>
      <c r="AG806" s="4" t="s">
        <v>47</v>
      </c>
      <c r="AH806" s="4" t="s">
        <v>47</v>
      </c>
      <c r="AI806" s="4" t="s">
        <v>47</v>
      </c>
      <c r="AJ806" s="4" t="s">
        <v>47</v>
      </c>
      <c r="AK806" s="4" t="s">
        <v>47</v>
      </c>
      <c r="AL806" s="4" t="s">
        <v>47</v>
      </c>
      <c r="AM806" s="4" t="s">
        <v>47</v>
      </c>
      <c r="AN806" s="4" t="s">
        <v>47</v>
      </c>
      <c r="AO806" s="4" t="s">
        <v>47</v>
      </c>
      <c r="AP806" s="4" t="s">
        <v>47</v>
      </c>
      <c r="AQ806" s="4" t="s">
        <v>47</v>
      </c>
      <c r="AR806" s="4" t="s">
        <v>47</v>
      </c>
    </row>
    <row r="807" spans="1:44" x14ac:dyDescent="0.2">
      <c r="A807" s="4" t="s">
        <v>106</v>
      </c>
      <c r="B807" s="4" t="s">
        <v>114</v>
      </c>
      <c r="C807">
        <v>3</v>
      </c>
      <c r="F807">
        <v>1</v>
      </c>
      <c r="I807" s="4" t="s">
        <v>7354</v>
      </c>
      <c r="J807" s="4" t="s">
        <v>7518</v>
      </c>
      <c r="K807" s="4" t="s">
        <v>7328</v>
      </c>
      <c r="L807" s="4" t="s">
        <v>7458</v>
      </c>
      <c r="M807">
        <v>10648</v>
      </c>
      <c r="N807" s="4" t="s">
        <v>7481</v>
      </c>
      <c r="O807" s="4" t="s">
        <v>7519</v>
      </c>
      <c r="P807" s="4" t="s">
        <v>811</v>
      </c>
      <c r="Q807" s="9">
        <v>22804</v>
      </c>
      <c r="R807" s="4" t="s">
        <v>770</v>
      </c>
      <c r="S807" s="4" t="s">
        <v>7253</v>
      </c>
      <c r="T807" s="4" t="s">
        <v>47</v>
      </c>
      <c r="U807" s="4" t="s">
        <v>113</v>
      </c>
      <c r="V807">
        <v>1962</v>
      </c>
      <c r="W807" s="4" t="s">
        <v>7520</v>
      </c>
      <c r="X807" s="4" t="s">
        <v>7521</v>
      </c>
      <c r="Y807" s="4" t="s">
        <v>7522</v>
      </c>
      <c r="Z807" s="4" t="s">
        <v>7523</v>
      </c>
      <c r="AA807" s="4" t="s">
        <v>47</v>
      </c>
      <c r="AB807" s="4" t="s">
        <v>47</v>
      </c>
      <c r="AC807" s="4" t="s">
        <v>7524</v>
      </c>
      <c r="AD807" s="4" t="s">
        <v>47</v>
      </c>
      <c r="AE807" s="4" t="s">
        <v>47</v>
      </c>
      <c r="AF807" s="4" t="s">
        <v>47</v>
      </c>
      <c r="AG807" s="4" t="s">
        <v>47</v>
      </c>
      <c r="AH807" s="4" t="s">
        <v>47</v>
      </c>
      <c r="AI807" s="4" t="s">
        <v>47</v>
      </c>
      <c r="AJ807" s="4" t="s">
        <v>47</v>
      </c>
      <c r="AK807" s="4" t="s">
        <v>47</v>
      </c>
      <c r="AL807" s="4" t="s">
        <v>47</v>
      </c>
      <c r="AM807" s="4" t="s">
        <v>47</v>
      </c>
      <c r="AN807" s="4" t="s">
        <v>47</v>
      </c>
      <c r="AO807" s="4" t="s">
        <v>47</v>
      </c>
      <c r="AP807" s="4" t="s">
        <v>47</v>
      </c>
      <c r="AQ807" s="4" t="s">
        <v>47</v>
      </c>
      <c r="AR807" s="4" t="s">
        <v>47</v>
      </c>
    </row>
    <row r="808" spans="1:44" x14ac:dyDescent="0.2">
      <c r="A808" s="4" t="s">
        <v>97</v>
      </c>
      <c r="B808" s="4" t="s">
        <v>118</v>
      </c>
      <c r="C808">
        <v>3</v>
      </c>
      <c r="F808">
        <v>0</v>
      </c>
      <c r="I808" s="4" t="s">
        <v>7525</v>
      </c>
      <c r="J808" s="4" t="s">
        <v>7526</v>
      </c>
      <c r="K808" s="4" t="s">
        <v>7527</v>
      </c>
      <c r="L808" s="4" t="s">
        <v>7528</v>
      </c>
      <c r="M808">
        <v>59828</v>
      </c>
      <c r="N808" s="4" t="s">
        <v>7459</v>
      </c>
      <c r="O808" s="4" t="s">
        <v>7529</v>
      </c>
      <c r="P808" s="4" t="s">
        <v>811</v>
      </c>
      <c r="Q808" s="9">
        <v>22804</v>
      </c>
      <c r="R808" s="4" t="s">
        <v>638</v>
      </c>
      <c r="S808" s="4" t="s">
        <v>7461</v>
      </c>
      <c r="T808" s="4" t="s">
        <v>47</v>
      </c>
      <c r="U808" s="4" t="s">
        <v>113</v>
      </c>
      <c r="V808">
        <v>1962</v>
      </c>
      <c r="W808" s="4" t="s">
        <v>7530</v>
      </c>
      <c r="X808" s="4" t="s">
        <v>47</v>
      </c>
      <c r="Y808" s="4" t="s">
        <v>7531</v>
      </c>
      <c r="Z808" s="4" t="s">
        <v>47</v>
      </c>
      <c r="AA808" s="4" t="s">
        <v>47</v>
      </c>
      <c r="AB808" s="4" t="s">
        <v>47</v>
      </c>
      <c r="AC808" s="4" t="s">
        <v>47</v>
      </c>
      <c r="AD808" s="4" t="s">
        <v>47</v>
      </c>
      <c r="AE808" s="4" t="s">
        <v>47</v>
      </c>
      <c r="AF808" s="4" t="s">
        <v>47</v>
      </c>
      <c r="AG808" s="4" t="s">
        <v>47</v>
      </c>
      <c r="AH808" s="4" t="s">
        <v>47</v>
      </c>
      <c r="AI808" s="4" t="s">
        <v>47</v>
      </c>
      <c r="AJ808" s="4" t="s">
        <v>47</v>
      </c>
      <c r="AK808" s="4" t="s">
        <v>47</v>
      </c>
      <c r="AL808" s="4" t="s">
        <v>47</v>
      </c>
      <c r="AM808" s="4" t="s">
        <v>47</v>
      </c>
      <c r="AN808" s="4" t="s">
        <v>47</v>
      </c>
      <c r="AO808" s="4" t="s">
        <v>47</v>
      </c>
      <c r="AP808" s="4" t="s">
        <v>47</v>
      </c>
      <c r="AQ808" s="4" t="s">
        <v>47</v>
      </c>
      <c r="AR808" s="4" t="s">
        <v>47</v>
      </c>
    </row>
    <row r="809" spans="1:44" x14ac:dyDescent="0.2">
      <c r="A809" s="4" t="s">
        <v>4991</v>
      </c>
      <c r="B809" s="4" t="s">
        <v>153</v>
      </c>
      <c r="C809">
        <v>5</v>
      </c>
      <c r="F809">
        <v>0</v>
      </c>
      <c r="I809" s="4" t="s">
        <v>7468</v>
      </c>
      <c r="J809" s="4" t="s">
        <v>7469</v>
      </c>
      <c r="K809" s="4" t="s">
        <v>7532</v>
      </c>
      <c r="L809" s="4" t="s">
        <v>7533</v>
      </c>
      <c r="M809">
        <v>7167</v>
      </c>
      <c r="N809" s="4" t="s">
        <v>7490</v>
      </c>
      <c r="O809" s="4" t="s">
        <v>7534</v>
      </c>
      <c r="P809" s="4" t="s">
        <v>811</v>
      </c>
      <c r="Q809" s="9">
        <v>22804</v>
      </c>
      <c r="R809" s="4" t="s">
        <v>1840</v>
      </c>
      <c r="S809" s="4" t="s">
        <v>7535</v>
      </c>
      <c r="T809" s="4" t="s">
        <v>47</v>
      </c>
      <c r="U809" s="4" t="s">
        <v>113</v>
      </c>
      <c r="V809">
        <v>1962</v>
      </c>
      <c r="W809" s="4" t="s">
        <v>7536</v>
      </c>
      <c r="X809" s="4" t="s">
        <v>47</v>
      </c>
      <c r="Y809" s="4" t="s">
        <v>7537</v>
      </c>
      <c r="Z809" s="4" t="s">
        <v>47</v>
      </c>
      <c r="AA809" s="4" t="s">
        <v>47</v>
      </c>
      <c r="AB809" s="4" t="s">
        <v>47</v>
      </c>
      <c r="AC809" s="4" t="s">
        <v>47</v>
      </c>
      <c r="AD809" s="4" t="s">
        <v>47</v>
      </c>
      <c r="AE809" s="4" t="s">
        <v>47</v>
      </c>
      <c r="AF809" s="4" t="s">
        <v>47</v>
      </c>
      <c r="AG809" s="4" t="s">
        <v>47</v>
      </c>
      <c r="AH809" s="4" t="s">
        <v>47</v>
      </c>
      <c r="AI809" s="4" t="s">
        <v>47</v>
      </c>
      <c r="AJ809" s="4" t="s">
        <v>47</v>
      </c>
      <c r="AK809" s="4" t="s">
        <v>47</v>
      </c>
      <c r="AL809" s="4" t="s">
        <v>47</v>
      </c>
      <c r="AM809" s="4" t="s">
        <v>47</v>
      </c>
      <c r="AN809" s="4" t="s">
        <v>47</v>
      </c>
      <c r="AO809" s="4" t="s">
        <v>47</v>
      </c>
      <c r="AP809" s="4" t="s">
        <v>47</v>
      </c>
      <c r="AQ809" s="4" t="s">
        <v>47</v>
      </c>
      <c r="AR809" s="4" t="s">
        <v>47</v>
      </c>
    </row>
    <row r="810" spans="1:44" x14ac:dyDescent="0.2">
      <c r="A810" s="4" t="s">
        <v>104</v>
      </c>
      <c r="B810" s="4" t="s">
        <v>113</v>
      </c>
      <c r="C810">
        <v>2</v>
      </c>
      <c r="F810">
        <v>0</v>
      </c>
      <c r="I810" s="4" t="s">
        <v>7509</v>
      </c>
      <c r="J810" s="4" t="s">
        <v>7510</v>
      </c>
      <c r="K810" s="4" t="s">
        <v>7466</v>
      </c>
      <c r="L810" s="4" t="s">
        <v>7488</v>
      </c>
      <c r="M810">
        <v>67224</v>
      </c>
      <c r="N810" s="4" t="s">
        <v>7459</v>
      </c>
      <c r="O810" s="4" t="s">
        <v>7538</v>
      </c>
      <c r="P810" s="4" t="s">
        <v>811</v>
      </c>
      <c r="Q810" s="9">
        <v>22803</v>
      </c>
      <c r="R810" s="4" t="s">
        <v>630</v>
      </c>
      <c r="S810" s="4" t="s">
        <v>6794</v>
      </c>
      <c r="T810" s="4" t="s">
        <v>47</v>
      </c>
      <c r="U810" s="4" t="s">
        <v>113</v>
      </c>
      <c r="V810">
        <v>1962</v>
      </c>
      <c r="W810" s="4" t="s">
        <v>7539</v>
      </c>
      <c r="X810" s="4" t="s">
        <v>47</v>
      </c>
      <c r="Y810" s="4" t="s">
        <v>7540</v>
      </c>
      <c r="Z810" s="4" t="s">
        <v>47</v>
      </c>
      <c r="AA810" s="4" t="s">
        <v>47</v>
      </c>
      <c r="AB810" s="4" t="s">
        <v>47</v>
      </c>
      <c r="AC810" s="4" t="s">
        <v>7541</v>
      </c>
      <c r="AD810" s="4" t="s">
        <v>47</v>
      </c>
      <c r="AE810" s="4" t="s">
        <v>47</v>
      </c>
      <c r="AF810" s="4" t="s">
        <v>47</v>
      </c>
      <c r="AG810" s="4" t="s">
        <v>47</v>
      </c>
      <c r="AH810" s="4" t="s">
        <v>47</v>
      </c>
      <c r="AI810" s="4" t="s">
        <v>47</v>
      </c>
      <c r="AJ810" s="4" t="s">
        <v>47</v>
      </c>
      <c r="AK810" s="4" t="s">
        <v>47</v>
      </c>
      <c r="AL810" s="4" t="s">
        <v>47</v>
      </c>
      <c r="AM810" s="4" t="s">
        <v>47</v>
      </c>
      <c r="AN810" s="4" t="s">
        <v>47</v>
      </c>
      <c r="AO810" s="4" t="s">
        <v>47</v>
      </c>
      <c r="AP810" s="4" t="s">
        <v>47</v>
      </c>
      <c r="AQ810" s="4" t="s">
        <v>47</v>
      </c>
      <c r="AR810" s="4" t="s">
        <v>47</v>
      </c>
    </row>
    <row r="811" spans="1:44" x14ac:dyDescent="0.2">
      <c r="A811" s="4" t="s">
        <v>5211</v>
      </c>
      <c r="B811" s="4" t="s">
        <v>121</v>
      </c>
      <c r="C811">
        <v>2</v>
      </c>
      <c r="F811">
        <v>1</v>
      </c>
      <c r="I811" s="4" t="s">
        <v>7050</v>
      </c>
      <c r="J811" s="4" t="s">
        <v>7489</v>
      </c>
      <c r="K811" s="4" t="s">
        <v>7542</v>
      </c>
      <c r="L811" s="4" t="s">
        <v>7313</v>
      </c>
      <c r="M811">
        <v>9973</v>
      </c>
      <c r="N811" s="4" t="s">
        <v>7490</v>
      </c>
      <c r="O811" s="4" t="s">
        <v>7543</v>
      </c>
      <c r="P811" s="4" t="s">
        <v>811</v>
      </c>
      <c r="Q811" s="9">
        <v>22803</v>
      </c>
      <c r="R811" s="4" t="s">
        <v>617</v>
      </c>
      <c r="S811" s="4" t="s">
        <v>7544</v>
      </c>
      <c r="T811" s="4" t="s">
        <v>47</v>
      </c>
      <c r="U811" s="4" t="s">
        <v>113</v>
      </c>
      <c r="V811">
        <v>1962</v>
      </c>
      <c r="W811" s="4" t="s">
        <v>7545</v>
      </c>
      <c r="X811" s="4" t="s">
        <v>7546</v>
      </c>
      <c r="Y811" s="4" t="s">
        <v>7547</v>
      </c>
      <c r="Z811" s="4" t="s">
        <v>7548</v>
      </c>
      <c r="AA811" s="4" t="s">
        <v>47</v>
      </c>
      <c r="AB811" s="4" t="s">
        <v>47</v>
      </c>
      <c r="AC811" s="4" t="s">
        <v>47</v>
      </c>
      <c r="AD811" s="4" t="s">
        <v>47</v>
      </c>
      <c r="AE811" s="4" t="s">
        <v>47</v>
      </c>
      <c r="AF811" s="4" t="s">
        <v>47</v>
      </c>
      <c r="AG811" s="4" t="s">
        <v>47</v>
      </c>
      <c r="AH811" s="4" t="s">
        <v>47</v>
      </c>
      <c r="AI811" s="4" t="s">
        <v>47</v>
      </c>
      <c r="AJ811" s="4" t="s">
        <v>47</v>
      </c>
      <c r="AK811" s="4" t="s">
        <v>47</v>
      </c>
      <c r="AL811" s="4" t="s">
        <v>47</v>
      </c>
      <c r="AM811" s="4" t="s">
        <v>47</v>
      </c>
      <c r="AN811" s="4" t="s">
        <v>47</v>
      </c>
      <c r="AO811" s="4" t="s">
        <v>47</v>
      </c>
      <c r="AP811" s="4" t="s">
        <v>47</v>
      </c>
      <c r="AQ811" s="4" t="s">
        <v>47</v>
      </c>
      <c r="AR811" s="4" t="s">
        <v>47</v>
      </c>
    </row>
    <row r="812" spans="1:44" x14ac:dyDescent="0.2">
      <c r="A812" s="4" t="s">
        <v>119</v>
      </c>
      <c r="B812" s="4" t="s">
        <v>26</v>
      </c>
      <c r="C812">
        <v>0</v>
      </c>
      <c r="F812">
        <v>0</v>
      </c>
      <c r="I812" s="4" t="s">
        <v>6531</v>
      </c>
      <c r="J812" s="4" t="s">
        <v>7504</v>
      </c>
      <c r="K812" s="4" t="s">
        <v>7296</v>
      </c>
      <c r="L812" s="4" t="s">
        <v>7549</v>
      </c>
      <c r="M812">
        <v>7945</v>
      </c>
      <c r="N812" s="4" t="s">
        <v>7505</v>
      </c>
      <c r="O812" s="4" t="s">
        <v>7550</v>
      </c>
      <c r="P812" s="4" t="s">
        <v>811</v>
      </c>
      <c r="Q812" s="9">
        <v>22803</v>
      </c>
      <c r="R812" s="4" t="s">
        <v>869</v>
      </c>
      <c r="S812" s="4" t="s">
        <v>7012</v>
      </c>
      <c r="T812" s="4" t="s">
        <v>47</v>
      </c>
      <c r="U812" s="4" t="s">
        <v>113</v>
      </c>
      <c r="V812">
        <v>1962</v>
      </c>
      <c r="W812" s="4" t="s">
        <v>47</v>
      </c>
      <c r="X812" s="4" t="s">
        <v>47</v>
      </c>
      <c r="Y812" s="4" t="s">
        <v>47</v>
      </c>
      <c r="Z812" s="4" t="s">
        <v>47</v>
      </c>
      <c r="AA812" s="4" t="s">
        <v>47</v>
      </c>
      <c r="AB812" s="4" t="s">
        <v>47</v>
      </c>
      <c r="AC812" s="4" t="s">
        <v>47</v>
      </c>
      <c r="AD812" s="4" t="s">
        <v>47</v>
      </c>
      <c r="AE812" s="4" t="s">
        <v>47</v>
      </c>
      <c r="AF812" s="4" t="s">
        <v>47</v>
      </c>
      <c r="AG812" s="4" t="s">
        <v>47</v>
      </c>
      <c r="AH812" s="4" t="s">
        <v>47</v>
      </c>
      <c r="AI812" s="4" t="s">
        <v>47</v>
      </c>
      <c r="AJ812" s="4" t="s">
        <v>47</v>
      </c>
      <c r="AK812" s="4" t="s">
        <v>47</v>
      </c>
      <c r="AL812" s="4" t="s">
        <v>47</v>
      </c>
      <c r="AM812" s="4" t="s">
        <v>47</v>
      </c>
      <c r="AN812" s="4" t="s">
        <v>47</v>
      </c>
      <c r="AO812" s="4" t="s">
        <v>47</v>
      </c>
      <c r="AP812" s="4" t="s">
        <v>47</v>
      </c>
      <c r="AQ812" s="4" t="s">
        <v>47</v>
      </c>
      <c r="AR812" s="4" t="s">
        <v>47</v>
      </c>
    </row>
    <row r="813" spans="1:44" x14ac:dyDescent="0.2">
      <c r="A813" s="4" t="s">
        <v>12</v>
      </c>
      <c r="B813" s="4" t="s">
        <v>20</v>
      </c>
      <c r="C813">
        <v>2</v>
      </c>
      <c r="F813">
        <v>1</v>
      </c>
      <c r="I813" s="4" t="s">
        <v>7456</v>
      </c>
      <c r="J813" s="4" t="s">
        <v>7457</v>
      </c>
      <c r="K813" s="4" t="s">
        <v>7551</v>
      </c>
      <c r="L813" s="4" t="s">
        <v>7552</v>
      </c>
      <c r="M813">
        <v>18715</v>
      </c>
      <c r="N813" s="4" t="s">
        <v>7481</v>
      </c>
      <c r="O813" s="4" t="s">
        <v>7553</v>
      </c>
      <c r="P813" s="4" t="s">
        <v>811</v>
      </c>
      <c r="Q813" s="9">
        <v>22803</v>
      </c>
      <c r="R813" s="4" t="s">
        <v>617</v>
      </c>
      <c r="S813" s="4" t="s">
        <v>7554</v>
      </c>
      <c r="T813" s="4" t="s">
        <v>47</v>
      </c>
      <c r="U813" s="4" t="s">
        <v>113</v>
      </c>
      <c r="V813">
        <v>1962</v>
      </c>
      <c r="W813" s="4" t="s">
        <v>7555</v>
      </c>
      <c r="X813" s="4" t="s">
        <v>7556</v>
      </c>
      <c r="Y813" s="4" t="s">
        <v>7557</v>
      </c>
      <c r="Z813" s="4" t="s">
        <v>7558</v>
      </c>
      <c r="AA813" s="4" t="s">
        <v>47</v>
      </c>
      <c r="AB813" s="4" t="s">
        <v>47</v>
      </c>
      <c r="AC813" s="4" t="s">
        <v>47</v>
      </c>
      <c r="AD813" s="4" t="s">
        <v>47</v>
      </c>
      <c r="AE813" s="4" t="s">
        <v>47</v>
      </c>
      <c r="AF813" s="4" t="s">
        <v>47</v>
      </c>
      <c r="AG813" s="4" t="s">
        <v>47</v>
      </c>
      <c r="AH813" s="4" t="s">
        <v>47</v>
      </c>
      <c r="AI813" s="4" t="s">
        <v>47</v>
      </c>
      <c r="AJ813" s="4" t="s">
        <v>47</v>
      </c>
      <c r="AK813" s="4" t="s">
        <v>47</v>
      </c>
      <c r="AL813" s="4" t="s">
        <v>47</v>
      </c>
      <c r="AM813" s="4" t="s">
        <v>47</v>
      </c>
      <c r="AN813" s="4" t="s">
        <v>47</v>
      </c>
      <c r="AO813" s="4" t="s">
        <v>47</v>
      </c>
      <c r="AP813" s="4" t="s">
        <v>47</v>
      </c>
      <c r="AQ813" s="4" t="s">
        <v>47</v>
      </c>
      <c r="AR813" s="4" t="s">
        <v>47</v>
      </c>
    </row>
    <row r="814" spans="1:44" x14ac:dyDescent="0.2">
      <c r="A814" s="4" t="s">
        <v>20</v>
      </c>
      <c r="B814" s="4" t="s">
        <v>106</v>
      </c>
      <c r="C814">
        <v>1</v>
      </c>
      <c r="F814">
        <v>0</v>
      </c>
      <c r="I814" s="4" t="s">
        <v>7551</v>
      </c>
      <c r="J814" s="4" t="s">
        <v>7395</v>
      </c>
      <c r="K814" s="4" t="s">
        <v>7354</v>
      </c>
      <c r="L814" s="4" t="s">
        <v>7518</v>
      </c>
      <c r="M814">
        <v>11875</v>
      </c>
      <c r="N814" s="4" t="s">
        <v>7481</v>
      </c>
      <c r="O814" s="4" t="s">
        <v>7559</v>
      </c>
      <c r="P814" s="4" t="s">
        <v>811</v>
      </c>
      <c r="Q814" s="9">
        <v>22800</v>
      </c>
      <c r="R814" s="4" t="s">
        <v>652</v>
      </c>
      <c r="S814" s="4" t="s">
        <v>7560</v>
      </c>
      <c r="T814" s="4" t="s">
        <v>47</v>
      </c>
      <c r="U814" s="4" t="s">
        <v>113</v>
      </c>
      <c r="V814">
        <v>1962</v>
      </c>
      <c r="W814" s="4" t="s">
        <v>7561</v>
      </c>
      <c r="X814" s="4" t="s">
        <v>47</v>
      </c>
      <c r="Y814" s="4" t="s">
        <v>7562</v>
      </c>
      <c r="Z814" s="4" t="s">
        <v>47</v>
      </c>
      <c r="AA814" s="4" t="s">
        <v>47</v>
      </c>
      <c r="AB814" s="4" t="s">
        <v>47</v>
      </c>
      <c r="AC814" s="4" t="s">
        <v>47</v>
      </c>
      <c r="AD814" s="4" t="s">
        <v>47</v>
      </c>
      <c r="AE814" s="4" t="s">
        <v>47</v>
      </c>
      <c r="AF814" s="4" t="s">
        <v>47</v>
      </c>
      <c r="AG814" s="4" t="s">
        <v>47</v>
      </c>
      <c r="AH814" s="4" t="s">
        <v>47</v>
      </c>
      <c r="AI814" s="4" t="s">
        <v>47</v>
      </c>
      <c r="AJ814" s="4" t="s">
        <v>47</v>
      </c>
      <c r="AK814" s="4" t="s">
        <v>47</v>
      </c>
      <c r="AL814" s="4" t="s">
        <v>47</v>
      </c>
      <c r="AM814" s="4" t="s">
        <v>47</v>
      </c>
      <c r="AN814" s="4" t="s">
        <v>47</v>
      </c>
      <c r="AO814" s="4" t="s">
        <v>47</v>
      </c>
      <c r="AP814" s="4" t="s">
        <v>47</v>
      </c>
      <c r="AQ814" s="4" t="s">
        <v>47</v>
      </c>
      <c r="AR814" s="4" t="s">
        <v>47</v>
      </c>
    </row>
    <row r="815" spans="1:44" x14ac:dyDescent="0.2">
      <c r="A815" s="4" t="s">
        <v>5211</v>
      </c>
      <c r="B815" s="4" t="s">
        <v>153</v>
      </c>
      <c r="C815">
        <v>4</v>
      </c>
      <c r="F815">
        <v>4</v>
      </c>
      <c r="I815" s="4" t="s">
        <v>7050</v>
      </c>
      <c r="J815" s="4" t="s">
        <v>7489</v>
      </c>
      <c r="K815" s="4" t="s">
        <v>7532</v>
      </c>
      <c r="L815" s="4" t="s">
        <v>7533</v>
      </c>
      <c r="M815">
        <v>8040</v>
      </c>
      <c r="N815" s="4" t="s">
        <v>7490</v>
      </c>
      <c r="O815" s="4" t="s">
        <v>7563</v>
      </c>
      <c r="P815" s="4" t="s">
        <v>811</v>
      </c>
      <c r="Q815" s="9">
        <v>22800</v>
      </c>
      <c r="R815" s="4" t="s">
        <v>7564</v>
      </c>
      <c r="S815" s="4" t="s">
        <v>7565</v>
      </c>
      <c r="T815" s="4" t="s">
        <v>47</v>
      </c>
      <c r="U815" s="4" t="s">
        <v>113</v>
      </c>
      <c r="V815">
        <v>1962</v>
      </c>
      <c r="W815" s="4" t="s">
        <v>7566</v>
      </c>
      <c r="X815" s="4" t="s">
        <v>7567</v>
      </c>
      <c r="Y815" s="4" t="s">
        <v>7568</v>
      </c>
      <c r="Z815" s="4" t="s">
        <v>7569</v>
      </c>
      <c r="AA815" s="4" t="s">
        <v>47</v>
      </c>
      <c r="AB815" s="4" t="s">
        <v>47</v>
      </c>
      <c r="AC815" s="4" t="s">
        <v>47</v>
      </c>
      <c r="AD815" s="4" t="s">
        <v>47</v>
      </c>
      <c r="AE815" s="4" t="s">
        <v>47</v>
      </c>
      <c r="AF815" s="4" t="s">
        <v>47</v>
      </c>
      <c r="AG815" s="4" t="s">
        <v>47</v>
      </c>
      <c r="AH815" s="4" t="s">
        <v>47</v>
      </c>
      <c r="AI815" s="4" t="s">
        <v>47</v>
      </c>
      <c r="AJ815" s="4" t="s">
        <v>47</v>
      </c>
      <c r="AK815" s="4" t="s">
        <v>47</v>
      </c>
      <c r="AL815" s="4" t="s">
        <v>47</v>
      </c>
      <c r="AM815" s="4" t="s">
        <v>47</v>
      </c>
      <c r="AN815" s="4" t="s">
        <v>47</v>
      </c>
      <c r="AO815" s="4" t="s">
        <v>47</v>
      </c>
      <c r="AP815" s="4" t="s">
        <v>47</v>
      </c>
      <c r="AQ815" s="4" t="s">
        <v>47</v>
      </c>
      <c r="AR815" s="4" t="s">
        <v>47</v>
      </c>
    </row>
    <row r="816" spans="1:44" x14ac:dyDescent="0.2">
      <c r="A816" s="4" t="s">
        <v>119</v>
      </c>
      <c r="B816" s="4" t="s">
        <v>293</v>
      </c>
      <c r="C816">
        <v>6</v>
      </c>
      <c r="F816">
        <v>1</v>
      </c>
      <c r="I816" s="4" t="s">
        <v>6531</v>
      </c>
      <c r="J816" s="4" t="s">
        <v>7570</v>
      </c>
      <c r="K816" s="4" t="s">
        <v>7514</v>
      </c>
      <c r="L816" s="4" t="s">
        <v>7571</v>
      </c>
      <c r="M816">
        <v>7442</v>
      </c>
      <c r="N816" s="4" t="s">
        <v>7505</v>
      </c>
      <c r="O816" s="4" t="s">
        <v>7572</v>
      </c>
      <c r="P816" s="4" t="s">
        <v>811</v>
      </c>
      <c r="Q816" s="9">
        <v>22800</v>
      </c>
      <c r="R816" s="4" t="s">
        <v>728</v>
      </c>
      <c r="S816" s="4" t="s">
        <v>7307</v>
      </c>
      <c r="T816" s="4" t="s">
        <v>47</v>
      </c>
      <c r="U816" s="4" t="s">
        <v>113</v>
      </c>
      <c r="V816">
        <v>1962</v>
      </c>
      <c r="W816" s="4" t="s">
        <v>7573</v>
      </c>
      <c r="X816" s="4" t="s">
        <v>7574</v>
      </c>
      <c r="Y816" s="4" t="s">
        <v>7575</v>
      </c>
      <c r="Z816" s="4" t="s">
        <v>7576</v>
      </c>
      <c r="AA816" s="4" t="s">
        <v>47</v>
      </c>
      <c r="AB816" s="4" t="s">
        <v>47</v>
      </c>
      <c r="AC816" s="4" t="s">
        <v>47</v>
      </c>
      <c r="AD816" s="4" t="s">
        <v>47</v>
      </c>
      <c r="AE816" s="4" t="s">
        <v>47</v>
      </c>
      <c r="AF816" s="4" t="s">
        <v>47</v>
      </c>
      <c r="AG816" s="4" t="s">
        <v>47</v>
      </c>
      <c r="AH816" s="4" t="s">
        <v>47</v>
      </c>
      <c r="AI816" s="4" t="s">
        <v>47</v>
      </c>
      <c r="AJ816" s="4" t="s">
        <v>47</v>
      </c>
      <c r="AK816" s="4" t="s">
        <v>47</v>
      </c>
      <c r="AL816" s="4" t="s">
        <v>47</v>
      </c>
      <c r="AM816" s="4" t="s">
        <v>47</v>
      </c>
      <c r="AN816" s="4" t="s">
        <v>47</v>
      </c>
      <c r="AO816" s="4" t="s">
        <v>47</v>
      </c>
      <c r="AP816" s="4" t="s">
        <v>47</v>
      </c>
      <c r="AQ816" s="4" t="s">
        <v>47</v>
      </c>
      <c r="AR816" s="4" t="s">
        <v>47</v>
      </c>
    </row>
    <row r="817" spans="1:44" x14ac:dyDescent="0.2">
      <c r="A817" s="4" t="s">
        <v>104</v>
      </c>
      <c r="B817" s="4" t="s">
        <v>118</v>
      </c>
      <c r="C817">
        <v>2</v>
      </c>
      <c r="F817">
        <v>1</v>
      </c>
      <c r="I817" s="4" t="s">
        <v>7509</v>
      </c>
      <c r="J817" s="4" t="s">
        <v>7510</v>
      </c>
      <c r="K817" s="4" t="s">
        <v>7527</v>
      </c>
      <c r="L817" s="4" t="s">
        <v>7528</v>
      </c>
      <c r="M817">
        <v>64922</v>
      </c>
      <c r="N817" s="4" t="s">
        <v>7459</v>
      </c>
      <c r="O817" s="4" t="s">
        <v>7577</v>
      </c>
      <c r="P817" s="4" t="s">
        <v>811</v>
      </c>
      <c r="Q817" s="9">
        <v>22800</v>
      </c>
      <c r="R817" s="4" t="s">
        <v>617</v>
      </c>
      <c r="S817" s="4" t="s">
        <v>7492</v>
      </c>
      <c r="T817" s="4" t="s">
        <v>47</v>
      </c>
      <c r="U817" s="4" t="s">
        <v>113</v>
      </c>
      <c r="V817">
        <v>1962</v>
      </c>
      <c r="W817" s="4" t="s">
        <v>7578</v>
      </c>
      <c r="X817" s="4" t="s">
        <v>7579</v>
      </c>
      <c r="Y817" s="4" t="s">
        <v>7580</v>
      </c>
      <c r="Z817" s="4" t="s">
        <v>7581</v>
      </c>
      <c r="AA817" s="4" t="s">
        <v>47</v>
      </c>
      <c r="AB817" s="4" t="s">
        <v>47</v>
      </c>
      <c r="AC817" s="4" t="s">
        <v>47</v>
      </c>
      <c r="AD817" s="4" t="s">
        <v>47</v>
      </c>
      <c r="AE817" s="4" t="s">
        <v>47</v>
      </c>
      <c r="AF817" s="4" t="s">
        <v>47</v>
      </c>
      <c r="AG817" s="4" t="s">
        <v>47</v>
      </c>
      <c r="AH817" s="4" t="s">
        <v>47</v>
      </c>
      <c r="AI817" s="4" t="s">
        <v>47</v>
      </c>
      <c r="AJ817" s="4" t="s">
        <v>47</v>
      </c>
      <c r="AK817" s="4" t="s">
        <v>47</v>
      </c>
      <c r="AL817" s="4" t="s">
        <v>47</v>
      </c>
      <c r="AM817" s="4" t="s">
        <v>47</v>
      </c>
      <c r="AN817" s="4" t="s">
        <v>47</v>
      </c>
      <c r="AO817" s="4" t="s">
        <v>47</v>
      </c>
      <c r="AP817" s="4" t="s">
        <v>47</v>
      </c>
      <c r="AQ817" s="4" t="s">
        <v>47</v>
      </c>
      <c r="AR817" s="4" t="s">
        <v>47</v>
      </c>
    </row>
    <row r="818" spans="1:44" x14ac:dyDescent="0.2">
      <c r="A818" s="4" t="s">
        <v>113</v>
      </c>
      <c r="B818" s="4" t="s">
        <v>97</v>
      </c>
      <c r="C818">
        <v>2</v>
      </c>
      <c r="F818">
        <v>0</v>
      </c>
      <c r="I818" s="4" t="s">
        <v>7466</v>
      </c>
      <c r="J818" s="4" t="s">
        <v>7488</v>
      </c>
      <c r="K818" s="4" t="s">
        <v>7525</v>
      </c>
      <c r="L818" s="4" t="s">
        <v>7582</v>
      </c>
      <c r="M818">
        <v>66057</v>
      </c>
      <c r="N818" s="4" t="s">
        <v>7459</v>
      </c>
      <c r="O818" s="4" t="s">
        <v>7583</v>
      </c>
      <c r="P818" s="4" t="s">
        <v>811</v>
      </c>
      <c r="Q818" s="9">
        <v>22799</v>
      </c>
      <c r="R818" s="4" t="s">
        <v>630</v>
      </c>
      <c r="S818" s="4" t="s">
        <v>7584</v>
      </c>
      <c r="T818" s="4" t="s">
        <v>47</v>
      </c>
      <c r="U818" s="4" t="s">
        <v>113</v>
      </c>
      <c r="V818">
        <v>1962</v>
      </c>
      <c r="W818" s="4" t="s">
        <v>7585</v>
      </c>
      <c r="X818" s="4" t="s">
        <v>47</v>
      </c>
      <c r="Y818" s="4" t="s">
        <v>7586</v>
      </c>
      <c r="Z818" s="4" t="s">
        <v>47</v>
      </c>
      <c r="AA818" s="4" t="s">
        <v>47</v>
      </c>
      <c r="AB818" s="4" t="s">
        <v>47</v>
      </c>
      <c r="AC818" s="4" t="s">
        <v>47</v>
      </c>
      <c r="AD818" s="4" t="s">
        <v>47</v>
      </c>
      <c r="AE818" s="4" t="s">
        <v>47</v>
      </c>
      <c r="AF818" s="4" t="s">
        <v>47</v>
      </c>
      <c r="AG818" s="4" t="s">
        <v>47</v>
      </c>
      <c r="AH818" s="4" t="s">
        <v>47</v>
      </c>
      <c r="AI818" s="4" t="s">
        <v>47</v>
      </c>
      <c r="AJ818" s="4" t="s">
        <v>47</v>
      </c>
      <c r="AK818" s="4" t="s">
        <v>47</v>
      </c>
      <c r="AL818" s="4" t="s">
        <v>7587</v>
      </c>
      <c r="AM818" s="4" t="s">
        <v>47</v>
      </c>
      <c r="AN818" s="4" t="s">
        <v>47</v>
      </c>
      <c r="AO818" s="4" t="s">
        <v>47</v>
      </c>
      <c r="AP818" s="4" t="s">
        <v>47</v>
      </c>
      <c r="AQ818" s="4" t="s">
        <v>47</v>
      </c>
      <c r="AR818" s="4" t="s">
        <v>47</v>
      </c>
    </row>
    <row r="819" spans="1:44" x14ac:dyDescent="0.2">
      <c r="A819" s="4" t="s">
        <v>12</v>
      </c>
      <c r="B819" s="4" t="s">
        <v>114</v>
      </c>
      <c r="C819">
        <v>0</v>
      </c>
      <c r="F819">
        <v>0</v>
      </c>
      <c r="I819" s="4" t="s">
        <v>7456</v>
      </c>
      <c r="J819" s="4" t="s">
        <v>7457</v>
      </c>
      <c r="K819" s="4" t="s">
        <v>7328</v>
      </c>
      <c r="L819" s="4" t="s">
        <v>7458</v>
      </c>
      <c r="M819">
        <v>14903</v>
      </c>
      <c r="N819" s="4" t="s">
        <v>7481</v>
      </c>
      <c r="O819" s="4" t="s">
        <v>7588</v>
      </c>
      <c r="P819" s="4" t="s">
        <v>811</v>
      </c>
      <c r="Q819" s="9">
        <v>22799</v>
      </c>
      <c r="R819" s="4" t="s">
        <v>869</v>
      </c>
      <c r="S819" s="4" t="s">
        <v>7271</v>
      </c>
      <c r="T819" s="4" t="s">
        <v>47</v>
      </c>
      <c r="U819" s="4" t="s">
        <v>113</v>
      </c>
      <c r="V819">
        <v>1962</v>
      </c>
      <c r="W819" s="4" t="s">
        <v>47</v>
      </c>
      <c r="X819" s="4" t="s">
        <v>47</v>
      </c>
      <c r="Y819" s="4" t="s">
        <v>47</v>
      </c>
      <c r="Z819" s="4" t="s">
        <v>47</v>
      </c>
      <c r="AA819" s="4" t="s">
        <v>47</v>
      </c>
      <c r="AB819" s="4" t="s">
        <v>47</v>
      </c>
      <c r="AC819" s="4" t="s">
        <v>47</v>
      </c>
      <c r="AD819" s="4" t="s">
        <v>47</v>
      </c>
      <c r="AE819" s="4" t="s">
        <v>47</v>
      </c>
      <c r="AF819" s="4" t="s">
        <v>47</v>
      </c>
      <c r="AG819" s="4" t="s">
        <v>47</v>
      </c>
      <c r="AH819" s="4" t="s">
        <v>47</v>
      </c>
      <c r="AI819" s="4" t="s">
        <v>47</v>
      </c>
      <c r="AJ819" s="4" t="s">
        <v>47</v>
      </c>
      <c r="AK819" s="4" t="s">
        <v>47</v>
      </c>
      <c r="AL819" s="4" t="s">
        <v>47</v>
      </c>
      <c r="AM819" s="4" t="s">
        <v>47</v>
      </c>
      <c r="AN819" s="4" t="s">
        <v>47</v>
      </c>
      <c r="AO819" s="4" t="s">
        <v>47</v>
      </c>
      <c r="AP819" s="4" t="s">
        <v>47</v>
      </c>
      <c r="AQ819" s="4" t="s">
        <v>47</v>
      </c>
      <c r="AR819" s="4" t="s">
        <v>47</v>
      </c>
    </row>
    <row r="820" spans="1:44" x14ac:dyDescent="0.2">
      <c r="A820" s="4" t="s">
        <v>52</v>
      </c>
      <c r="B820" s="4" t="s">
        <v>26</v>
      </c>
      <c r="C820">
        <v>3</v>
      </c>
      <c r="F820">
        <v>1</v>
      </c>
      <c r="I820" s="4" t="s">
        <v>7497</v>
      </c>
      <c r="J820" s="4" t="s">
        <v>7498</v>
      </c>
      <c r="K820" s="4" t="s">
        <v>7296</v>
      </c>
      <c r="L820" s="4" t="s">
        <v>7589</v>
      </c>
      <c r="M820">
        <v>9794</v>
      </c>
      <c r="N820" s="4" t="s">
        <v>7505</v>
      </c>
      <c r="O820" s="4" t="s">
        <v>7590</v>
      </c>
      <c r="P820" s="4" t="s">
        <v>811</v>
      </c>
      <c r="Q820" s="9">
        <v>22799</v>
      </c>
      <c r="R820" s="4" t="s">
        <v>770</v>
      </c>
      <c r="S820" s="4" t="s">
        <v>7461</v>
      </c>
      <c r="T820" s="4" t="s">
        <v>47</v>
      </c>
      <c r="U820" s="4" t="s">
        <v>113</v>
      </c>
      <c r="V820">
        <v>1962</v>
      </c>
      <c r="W820" s="4" t="s">
        <v>7591</v>
      </c>
      <c r="X820" s="4" t="s">
        <v>7592</v>
      </c>
      <c r="Y820" s="4" t="s">
        <v>7593</v>
      </c>
      <c r="Z820" s="4" t="s">
        <v>7594</v>
      </c>
      <c r="AA820" s="4" t="s">
        <v>47</v>
      </c>
      <c r="AB820" s="4" t="s">
        <v>47</v>
      </c>
      <c r="AC820" s="4" t="s">
        <v>7595</v>
      </c>
      <c r="AD820" s="4" t="s">
        <v>47</v>
      </c>
      <c r="AE820" s="4" t="s">
        <v>47</v>
      </c>
      <c r="AF820" s="4" t="s">
        <v>47</v>
      </c>
      <c r="AG820" s="4" t="s">
        <v>47</v>
      </c>
      <c r="AH820" s="4" t="s">
        <v>47</v>
      </c>
      <c r="AI820" s="4" t="s">
        <v>47</v>
      </c>
      <c r="AJ820" s="4" t="s">
        <v>47</v>
      </c>
      <c r="AK820" s="4" t="s">
        <v>47</v>
      </c>
      <c r="AL820" s="4" t="s">
        <v>47</v>
      </c>
      <c r="AM820" s="4" t="s">
        <v>47</v>
      </c>
      <c r="AN820" s="4" t="s">
        <v>47</v>
      </c>
      <c r="AO820" s="4" t="s">
        <v>47</v>
      </c>
      <c r="AP820" s="4" t="s">
        <v>47</v>
      </c>
      <c r="AQ820" s="4" t="s">
        <v>47</v>
      </c>
      <c r="AR820" s="4" t="s">
        <v>47</v>
      </c>
    </row>
    <row r="821" spans="1:44" x14ac:dyDescent="0.2">
      <c r="A821" s="4" t="s">
        <v>4991</v>
      </c>
      <c r="B821" s="4" t="s">
        <v>121</v>
      </c>
      <c r="C821">
        <v>3</v>
      </c>
      <c r="F821">
        <v>1</v>
      </c>
      <c r="I821" s="4" t="s">
        <v>7468</v>
      </c>
      <c r="J821" s="4" t="s">
        <v>7469</v>
      </c>
      <c r="K821" s="4" t="s">
        <v>7542</v>
      </c>
      <c r="L821" s="4" t="s">
        <v>7313</v>
      </c>
      <c r="M821">
        <v>8829</v>
      </c>
      <c r="N821" s="4" t="s">
        <v>7490</v>
      </c>
      <c r="O821" s="4" t="s">
        <v>7596</v>
      </c>
      <c r="P821" s="4" t="s">
        <v>811</v>
      </c>
      <c r="Q821" s="9">
        <v>22799</v>
      </c>
      <c r="R821" s="4" t="s">
        <v>770</v>
      </c>
      <c r="S821" s="4" t="s">
        <v>7403</v>
      </c>
      <c r="T821" s="4" t="s">
        <v>47</v>
      </c>
      <c r="U821" s="4" t="s">
        <v>113</v>
      </c>
      <c r="V821">
        <v>1962</v>
      </c>
      <c r="W821" s="4" t="s">
        <v>7597</v>
      </c>
      <c r="X821" s="4" t="s">
        <v>7598</v>
      </c>
      <c r="Y821" s="4" t="s">
        <v>7599</v>
      </c>
      <c r="Z821" s="4" t="s">
        <v>7600</v>
      </c>
      <c r="AA821" s="4" t="s">
        <v>47</v>
      </c>
      <c r="AB821" s="4" t="s">
        <v>47</v>
      </c>
      <c r="AC821" s="4" t="s">
        <v>7601</v>
      </c>
      <c r="AD821" s="4" t="s">
        <v>47</v>
      </c>
      <c r="AE821" s="4" t="s">
        <v>47</v>
      </c>
      <c r="AF821" s="4" t="s">
        <v>47</v>
      </c>
      <c r="AG821" s="4" t="s">
        <v>47</v>
      </c>
      <c r="AH821" s="4" t="s">
        <v>47</v>
      </c>
      <c r="AI821" s="4" t="s">
        <v>47</v>
      </c>
      <c r="AJ821" s="4" t="s">
        <v>47</v>
      </c>
      <c r="AK821" s="4" t="s">
        <v>7602</v>
      </c>
      <c r="AL821" s="4" t="s">
        <v>7603</v>
      </c>
      <c r="AM821" s="4" t="s">
        <v>47</v>
      </c>
      <c r="AN821" s="4" t="s">
        <v>47</v>
      </c>
      <c r="AO821" s="4" t="s">
        <v>47</v>
      </c>
      <c r="AP821" s="4" t="s">
        <v>47</v>
      </c>
      <c r="AQ821" s="4" t="s">
        <v>47</v>
      </c>
      <c r="AR821" s="4" t="s">
        <v>47</v>
      </c>
    </row>
    <row r="822" spans="1:44" x14ac:dyDescent="0.2">
      <c r="A822" s="4" t="s">
        <v>104</v>
      </c>
      <c r="B822" s="4" t="s">
        <v>97</v>
      </c>
      <c r="C822">
        <v>0</v>
      </c>
      <c r="F822">
        <v>0</v>
      </c>
      <c r="I822" s="4" t="s">
        <v>7509</v>
      </c>
      <c r="J822" s="4" t="s">
        <v>7510</v>
      </c>
      <c r="K822" s="4" t="s">
        <v>7525</v>
      </c>
      <c r="L822" s="4" t="s">
        <v>7526</v>
      </c>
      <c r="M822">
        <v>65440</v>
      </c>
      <c r="N822" s="4" t="s">
        <v>7459</v>
      </c>
      <c r="O822" s="4" t="s">
        <v>7604</v>
      </c>
      <c r="P822" s="4" t="s">
        <v>811</v>
      </c>
      <c r="Q822" s="9">
        <v>22797</v>
      </c>
      <c r="R822" s="4" t="s">
        <v>869</v>
      </c>
      <c r="S822" s="4" t="s">
        <v>6794</v>
      </c>
      <c r="T822" s="4" t="s">
        <v>47</v>
      </c>
      <c r="U822" s="4" t="s">
        <v>113</v>
      </c>
      <c r="V822">
        <v>1962</v>
      </c>
      <c r="W822" s="4" t="s">
        <v>47</v>
      </c>
      <c r="X822" s="4" t="s">
        <v>47</v>
      </c>
      <c r="Y822" s="4" t="s">
        <v>47</v>
      </c>
      <c r="Z822" s="4" t="s">
        <v>47</v>
      </c>
      <c r="AA822" s="4" t="s">
        <v>47</v>
      </c>
      <c r="AB822" s="4" t="s">
        <v>47</v>
      </c>
      <c r="AC822" s="4" t="s">
        <v>47</v>
      </c>
      <c r="AD822" s="4" t="s">
        <v>47</v>
      </c>
      <c r="AE822" s="4" t="s">
        <v>47</v>
      </c>
      <c r="AF822" s="4" t="s">
        <v>47</v>
      </c>
      <c r="AG822" s="4" t="s">
        <v>47</v>
      </c>
      <c r="AH822" s="4" t="s">
        <v>47</v>
      </c>
      <c r="AI822" s="4" t="s">
        <v>47</v>
      </c>
      <c r="AJ822" s="4" t="s">
        <v>47</v>
      </c>
      <c r="AK822" s="4" t="s">
        <v>47</v>
      </c>
      <c r="AL822" s="4" t="s">
        <v>47</v>
      </c>
      <c r="AM822" s="4" t="s">
        <v>47</v>
      </c>
      <c r="AN822" s="4" t="s">
        <v>47</v>
      </c>
      <c r="AO822" s="4" t="s">
        <v>47</v>
      </c>
      <c r="AP822" s="4" t="s">
        <v>47</v>
      </c>
      <c r="AQ822" s="4" t="s">
        <v>47</v>
      </c>
      <c r="AR822" s="4" t="s">
        <v>47</v>
      </c>
    </row>
    <row r="823" spans="1:44" x14ac:dyDescent="0.2">
      <c r="A823" s="4" t="s">
        <v>119</v>
      </c>
      <c r="B823" s="4" t="s">
        <v>52</v>
      </c>
      <c r="C823">
        <v>2</v>
      </c>
      <c r="F823">
        <v>1</v>
      </c>
      <c r="I823" s="4" t="s">
        <v>6531</v>
      </c>
      <c r="J823" s="4" t="s">
        <v>7504</v>
      </c>
      <c r="K823" s="4" t="s">
        <v>7497</v>
      </c>
      <c r="L823" s="4" t="s">
        <v>7498</v>
      </c>
      <c r="M823">
        <v>7938</v>
      </c>
      <c r="N823" s="4" t="s">
        <v>7505</v>
      </c>
      <c r="O823" s="4" t="s">
        <v>7605</v>
      </c>
      <c r="P823" s="4" t="s">
        <v>811</v>
      </c>
      <c r="Q823" s="9">
        <v>22797</v>
      </c>
      <c r="R823" s="4" t="s">
        <v>617</v>
      </c>
      <c r="S823" s="4" t="s">
        <v>7492</v>
      </c>
      <c r="T823" s="4" t="s">
        <v>47</v>
      </c>
      <c r="U823" s="4" t="s">
        <v>113</v>
      </c>
      <c r="V823">
        <v>1962</v>
      </c>
      <c r="W823" s="4" t="s">
        <v>7606</v>
      </c>
      <c r="X823" s="4" t="s">
        <v>47</v>
      </c>
      <c r="Y823" s="4" t="s">
        <v>7607</v>
      </c>
      <c r="Z823" s="4" t="s">
        <v>47</v>
      </c>
      <c r="AA823" s="4" t="s">
        <v>47</v>
      </c>
      <c r="AB823" s="4" t="s">
        <v>47</v>
      </c>
      <c r="AC823" s="4" t="s">
        <v>47</v>
      </c>
      <c r="AD823" s="4" t="s">
        <v>7608</v>
      </c>
      <c r="AE823" s="4" t="s">
        <v>47</v>
      </c>
      <c r="AF823" s="4" t="s">
        <v>47</v>
      </c>
      <c r="AG823" s="4" t="s">
        <v>47</v>
      </c>
      <c r="AH823" s="4" t="s">
        <v>47</v>
      </c>
      <c r="AI823" s="4" t="s">
        <v>47</v>
      </c>
      <c r="AJ823" s="4" t="s">
        <v>47</v>
      </c>
      <c r="AK823" s="4" t="s">
        <v>47</v>
      </c>
      <c r="AL823" s="4" t="s">
        <v>47</v>
      </c>
      <c r="AM823" s="4" t="s">
        <v>47</v>
      </c>
      <c r="AN823" s="4" t="s">
        <v>47</v>
      </c>
      <c r="AO823" s="4" t="s">
        <v>47</v>
      </c>
      <c r="AP823" s="4" t="s">
        <v>47</v>
      </c>
      <c r="AQ823" s="4" t="s">
        <v>47</v>
      </c>
      <c r="AR823" s="4" t="s">
        <v>47</v>
      </c>
    </row>
    <row r="824" spans="1:44" x14ac:dyDescent="0.2">
      <c r="A824" s="4" t="s">
        <v>114</v>
      </c>
      <c r="B824" s="4" t="s">
        <v>20</v>
      </c>
      <c r="C824">
        <v>1</v>
      </c>
      <c r="F824">
        <v>0</v>
      </c>
      <c r="I824" s="4" t="s">
        <v>7328</v>
      </c>
      <c r="J824" s="4" t="s">
        <v>7458</v>
      </c>
      <c r="K824" s="4" t="s">
        <v>7551</v>
      </c>
      <c r="L824" s="4" t="s">
        <v>7609</v>
      </c>
      <c r="M824">
        <v>12700</v>
      </c>
      <c r="N824" s="4" t="s">
        <v>7481</v>
      </c>
      <c r="O824" s="4" t="s">
        <v>7610</v>
      </c>
      <c r="P824" s="4" t="s">
        <v>811</v>
      </c>
      <c r="Q824" s="9">
        <v>22797</v>
      </c>
      <c r="R824" s="4" t="s">
        <v>652</v>
      </c>
      <c r="S824" s="4" t="s">
        <v>7611</v>
      </c>
      <c r="T824" s="4" t="s">
        <v>47</v>
      </c>
      <c r="U824" s="4" t="s">
        <v>113</v>
      </c>
      <c r="V824">
        <v>1962</v>
      </c>
      <c r="W824" s="4" t="s">
        <v>7612</v>
      </c>
      <c r="X824" s="4" t="s">
        <v>47</v>
      </c>
      <c r="Y824" s="4" t="s">
        <v>7613</v>
      </c>
      <c r="Z824" s="4" t="s">
        <v>47</v>
      </c>
      <c r="AA824" s="4" t="s">
        <v>47</v>
      </c>
      <c r="AB824" s="4" t="s">
        <v>47</v>
      </c>
      <c r="AC824" s="4" t="s">
        <v>47</v>
      </c>
      <c r="AD824" s="4" t="s">
        <v>47</v>
      </c>
      <c r="AE824" s="4" t="s">
        <v>47</v>
      </c>
      <c r="AF824" s="4" t="s">
        <v>47</v>
      </c>
      <c r="AG824" s="4" t="s">
        <v>47</v>
      </c>
      <c r="AH824" s="4" t="s">
        <v>47</v>
      </c>
      <c r="AI824" s="4" t="s">
        <v>47</v>
      </c>
      <c r="AJ824" s="4" t="s">
        <v>47</v>
      </c>
      <c r="AK824" s="4" t="s">
        <v>47</v>
      </c>
      <c r="AL824" s="4" t="s">
        <v>47</v>
      </c>
      <c r="AM824" s="4" t="s">
        <v>47</v>
      </c>
      <c r="AN824" s="4" t="s">
        <v>47</v>
      </c>
      <c r="AO824" s="4" t="s">
        <v>47</v>
      </c>
      <c r="AP824" s="4" t="s">
        <v>47</v>
      </c>
      <c r="AQ824" s="4" t="s">
        <v>47</v>
      </c>
      <c r="AR824" s="4" t="s">
        <v>47</v>
      </c>
    </row>
    <row r="825" spans="1:44" x14ac:dyDescent="0.2">
      <c r="A825" s="4" t="s">
        <v>5211</v>
      </c>
      <c r="B825" s="4" t="s">
        <v>4991</v>
      </c>
      <c r="C825">
        <v>2</v>
      </c>
      <c r="F825">
        <v>0</v>
      </c>
      <c r="I825" s="4" t="s">
        <v>7050</v>
      </c>
      <c r="J825" s="4" t="s">
        <v>7489</v>
      </c>
      <c r="K825" s="4" t="s">
        <v>7468</v>
      </c>
      <c r="L825" s="4" t="s">
        <v>7469</v>
      </c>
      <c r="M825">
        <v>9622</v>
      </c>
      <c r="N825" s="4" t="s">
        <v>7490</v>
      </c>
      <c r="O825" s="4" t="s">
        <v>7614</v>
      </c>
      <c r="P825" s="4" t="s">
        <v>811</v>
      </c>
      <c r="Q825" s="9">
        <v>22797</v>
      </c>
      <c r="R825" s="4" t="s">
        <v>630</v>
      </c>
      <c r="S825" s="4" t="s">
        <v>7615</v>
      </c>
      <c r="T825" s="4" t="s">
        <v>47</v>
      </c>
      <c r="U825" s="4" t="s">
        <v>113</v>
      </c>
      <c r="V825">
        <v>1962</v>
      </c>
      <c r="W825" s="4" t="s">
        <v>7616</v>
      </c>
      <c r="X825" s="4" t="s">
        <v>47</v>
      </c>
      <c r="Y825" s="4" t="s">
        <v>7617</v>
      </c>
      <c r="Z825" s="4" t="s">
        <v>47</v>
      </c>
      <c r="AA825" s="4" t="s">
        <v>47</v>
      </c>
      <c r="AB825" s="4" t="s">
        <v>47</v>
      </c>
      <c r="AC825" s="4" t="s">
        <v>47</v>
      </c>
      <c r="AD825" s="4" t="s">
        <v>47</v>
      </c>
      <c r="AE825" s="4" t="s">
        <v>47</v>
      </c>
      <c r="AF825" s="4" t="s">
        <v>47</v>
      </c>
      <c r="AG825" s="4" t="s">
        <v>47</v>
      </c>
      <c r="AH825" s="4" t="s">
        <v>47</v>
      </c>
      <c r="AI825" s="4" t="s">
        <v>47</v>
      </c>
      <c r="AJ825" s="4" t="s">
        <v>47</v>
      </c>
      <c r="AK825" s="4" t="s">
        <v>47</v>
      </c>
      <c r="AL825" s="4" t="s">
        <v>47</v>
      </c>
      <c r="AM825" s="4" t="s">
        <v>47</v>
      </c>
      <c r="AN825" s="4" t="s">
        <v>47</v>
      </c>
      <c r="AO825" s="4" t="s">
        <v>47</v>
      </c>
      <c r="AP825" s="4" t="s">
        <v>47</v>
      </c>
      <c r="AQ825" s="4" t="s">
        <v>47</v>
      </c>
      <c r="AR825" s="4" t="s">
        <v>47</v>
      </c>
    </row>
    <row r="826" spans="1:44" x14ac:dyDescent="0.2">
      <c r="A826" s="4" t="s">
        <v>113</v>
      </c>
      <c r="B826" s="4" t="s">
        <v>118</v>
      </c>
      <c r="C826">
        <v>3</v>
      </c>
      <c r="F826">
        <v>1</v>
      </c>
      <c r="I826" s="4" t="s">
        <v>7466</v>
      </c>
      <c r="J826" s="4" t="s">
        <v>7488</v>
      </c>
      <c r="K826" s="4" t="s">
        <v>7527</v>
      </c>
      <c r="L826" s="4" t="s">
        <v>7528</v>
      </c>
      <c r="M826">
        <v>65006</v>
      </c>
      <c r="N826" s="4" t="s">
        <v>7459</v>
      </c>
      <c r="O826" s="4" t="s">
        <v>7618</v>
      </c>
      <c r="P826" s="4" t="s">
        <v>811</v>
      </c>
      <c r="Q826" s="9">
        <v>22796</v>
      </c>
      <c r="R826" s="4" t="s">
        <v>770</v>
      </c>
      <c r="S826" s="4" t="s">
        <v>7584</v>
      </c>
      <c r="T826" s="4" t="s">
        <v>47</v>
      </c>
      <c r="U826" s="4" t="s">
        <v>113</v>
      </c>
      <c r="V826">
        <v>1962</v>
      </c>
      <c r="W826" s="4" t="s">
        <v>7619</v>
      </c>
      <c r="X826" s="4" t="s">
        <v>7620</v>
      </c>
      <c r="Y826" s="4" t="s">
        <v>7621</v>
      </c>
      <c r="Z826" s="4" t="s">
        <v>7622</v>
      </c>
      <c r="AA826" s="4" t="s">
        <v>47</v>
      </c>
      <c r="AB826" s="4" t="s">
        <v>47</v>
      </c>
      <c r="AC826" s="4" t="s">
        <v>47</v>
      </c>
      <c r="AD826" s="4" t="s">
        <v>47</v>
      </c>
      <c r="AE826" s="4" t="s">
        <v>47</v>
      </c>
      <c r="AF826" s="4" t="s">
        <v>47</v>
      </c>
      <c r="AG826" s="4" t="s">
        <v>47</v>
      </c>
      <c r="AH826" s="4" t="s">
        <v>47</v>
      </c>
      <c r="AI826" s="4" t="s">
        <v>47</v>
      </c>
      <c r="AJ826" s="4" t="s">
        <v>47</v>
      </c>
      <c r="AK826" s="4" t="s">
        <v>47</v>
      </c>
      <c r="AL826" s="4" t="s">
        <v>47</v>
      </c>
      <c r="AM826" s="4" t="s">
        <v>47</v>
      </c>
      <c r="AN826" s="4" t="s">
        <v>47</v>
      </c>
      <c r="AO826" s="4" t="s">
        <v>47</v>
      </c>
      <c r="AP826" s="4" t="s">
        <v>47</v>
      </c>
      <c r="AQ826" s="4" t="s">
        <v>47</v>
      </c>
      <c r="AR826" s="4" t="s">
        <v>47</v>
      </c>
    </row>
    <row r="827" spans="1:44" x14ac:dyDescent="0.2">
      <c r="A827" s="4" t="s">
        <v>121</v>
      </c>
      <c r="B827" s="4" t="s">
        <v>153</v>
      </c>
      <c r="C827">
        <v>2</v>
      </c>
      <c r="F827">
        <v>1</v>
      </c>
      <c r="I827" s="4" t="s">
        <v>7542</v>
      </c>
      <c r="J827" s="4" t="s">
        <v>7313</v>
      </c>
      <c r="K827" s="4" t="s">
        <v>7532</v>
      </c>
      <c r="L827" s="4" t="s">
        <v>7623</v>
      </c>
      <c r="M827">
        <v>7908</v>
      </c>
      <c r="N827" s="4" t="s">
        <v>7490</v>
      </c>
      <c r="O827" s="4" t="s">
        <v>7624</v>
      </c>
      <c r="P827" s="4" t="s">
        <v>811</v>
      </c>
      <c r="Q827" s="9">
        <v>22796</v>
      </c>
      <c r="R827" s="4" t="s">
        <v>617</v>
      </c>
      <c r="S827" s="4" t="s">
        <v>7625</v>
      </c>
      <c r="T827" s="4" t="s">
        <v>47</v>
      </c>
      <c r="U827" s="4" t="s">
        <v>113</v>
      </c>
      <c r="V827">
        <v>1962</v>
      </c>
      <c r="W827" s="4" t="s">
        <v>7626</v>
      </c>
      <c r="X827" s="4" t="s">
        <v>47</v>
      </c>
      <c r="Y827" s="4" t="s">
        <v>7627</v>
      </c>
      <c r="Z827" s="4" t="s">
        <v>47</v>
      </c>
      <c r="AA827" s="4" t="s">
        <v>47</v>
      </c>
      <c r="AB827" s="4" t="s">
        <v>47</v>
      </c>
      <c r="AC827" s="4" t="s">
        <v>47</v>
      </c>
      <c r="AD827" s="4" t="s">
        <v>7628</v>
      </c>
      <c r="AE827" s="4" t="s">
        <v>47</v>
      </c>
      <c r="AF827" s="4" t="s">
        <v>47</v>
      </c>
      <c r="AG827" s="4" t="s">
        <v>47</v>
      </c>
      <c r="AH827" s="4" t="s">
        <v>47</v>
      </c>
      <c r="AI827" s="4" t="s">
        <v>47</v>
      </c>
      <c r="AJ827" s="4" t="s">
        <v>47</v>
      </c>
      <c r="AK827" s="4" t="s">
        <v>47</v>
      </c>
      <c r="AL827" s="4" t="s">
        <v>47</v>
      </c>
      <c r="AM827" s="4" t="s">
        <v>47</v>
      </c>
      <c r="AN827" s="4" t="s">
        <v>47</v>
      </c>
      <c r="AO827" s="4" t="s">
        <v>47</v>
      </c>
      <c r="AP827" s="4" t="s">
        <v>47</v>
      </c>
      <c r="AQ827" s="4" t="s">
        <v>47</v>
      </c>
      <c r="AR827" s="4" t="s">
        <v>47</v>
      </c>
    </row>
    <row r="828" spans="1:44" x14ac:dyDescent="0.2">
      <c r="A828" s="4" t="s">
        <v>12</v>
      </c>
      <c r="B828" s="4" t="s">
        <v>106</v>
      </c>
      <c r="C828">
        <v>2</v>
      </c>
      <c r="F828">
        <v>0</v>
      </c>
      <c r="I828" s="4" t="s">
        <v>7456</v>
      </c>
      <c r="J828" s="4" t="s">
        <v>7457</v>
      </c>
      <c r="K828" s="4" t="s">
        <v>7354</v>
      </c>
      <c r="L828" s="4" t="s">
        <v>7518</v>
      </c>
      <c r="M828">
        <v>10484</v>
      </c>
      <c r="N828" s="4" t="s">
        <v>7481</v>
      </c>
      <c r="O828" s="4" t="s">
        <v>7629</v>
      </c>
      <c r="P828" s="4" t="s">
        <v>811</v>
      </c>
      <c r="Q828" s="9">
        <v>22796</v>
      </c>
      <c r="R828" s="4" t="s">
        <v>630</v>
      </c>
      <c r="S828" s="4" t="s">
        <v>7253</v>
      </c>
      <c r="T828" s="4" t="s">
        <v>47</v>
      </c>
      <c r="U828" s="4" t="s">
        <v>113</v>
      </c>
      <c r="V828">
        <v>1962</v>
      </c>
      <c r="W828" s="4" t="s">
        <v>7630</v>
      </c>
      <c r="X828" s="4" t="s">
        <v>47</v>
      </c>
      <c r="Y828" s="4" t="s">
        <v>7631</v>
      </c>
      <c r="Z828" s="4" t="s">
        <v>47</v>
      </c>
      <c r="AA828" s="4" t="s">
        <v>47</v>
      </c>
      <c r="AB828" s="4" t="s">
        <v>47</v>
      </c>
      <c r="AC828" s="4" t="s">
        <v>47</v>
      </c>
      <c r="AD828" s="4" t="s">
        <v>47</v>
      </c>
      <c r="AE828" s="4" t="s">
        <v>47</v>
      </c>
      <c r="AF828" s="4" t="s">
        <v>47</v>
      </c>
      <c r="AG828" s="4" t="s">
        <v>47</v>
      </c>
      <c r="AH828" s="4" t="s">
        <v>47</v>
      </c>
      <c r="AI828" s="4" t="s">
        <v>47</v>
      </c>
      <c r="AJ828" s="4" t="s">
        <v>47</v>
      </c>
      <c r="AK828" s="4" t="s">
        <v>47</v>
      </c>
      <c r="AL828" s="4" t="s">
        <v>47</v>
      </c>
      <c r="AM828" s="4" t="s">
        <v>47</v>
      </c>
      <c r="AN828" s="4" t="s">
        <v>47</v>
      </c>
      <c r="AO828" s="4" t="s">
        <v>47</v>
      </c>
      <c r="AP828" s="4" t="s">
        <v>47</v>
      </c>
      <c r="AQ828" s="4" t="s">
        <v>47</v>
      </c>
      <c r="AR828" s="4" t="s">
        <v>47</v>
      </c>
    </row>
    <row r="829" spans="1:44" x14ac:dyDescent="0.2">
      <c r="A829" s="4" t="s">
        <v>26</v>
      </c>
      <c r="B829" s="4" t="s">
        <v>293</v>
      </c>
      <c r="C829">
        <v>1</v>
      </c>
      <c r="F829">
        <v>0</v>
      </c>
      <c r="I829" s="4" t="s">
        <v>7296</v>
      </c>
      <c r="J829" s="4" t="s">
        <v>7589</v>
      </c>
      <c r="K829" s="4" t="s">
        <v>7514</v>
      </c>
      <c r="L829" s="4" t="s">
        <v>7571</v>
      </c>
      <c r="M829">
        <v>7134</v>
      </c>
      <c r="N829" s="4" t="s">
        <v>7505</v>
      </c>
      <c r="O829" s="4" t="s">
        <v>7632</v>
      </c>
      <c r="P829" s="4" t="s">
        <v>811</v>
      </c>
      <c r="Q829" s="9">
        <v>22796</v>
      </c>
      <c r="R829" s="4" t="s">
        <v>652</v>
      </c>
      <c r="S829" s="4" t="s">
        <v>7307</v>
      </c>
      <c r="T829" s="4" t="s">
        <v>47</v>
      </c>
      <c r="U829" s="4" t="s">
        <v>113</v>
      </c>
      <c r="V829">
        <v>1962</v>
      </c>
      <c r="W829" s="4" t="s">
        <v>7633</v>
      </c>
      <c r="X829" s="4" t="s">
        <v>47</v>
      </c>
      <c r="Y829" s="4" t="s">
        <v>7634</v>
      </c>
      <c r="Z829" s="4" t="s">
        <v>47</v>
      </c>
      <c r="AA829" s="4" t="s">
        <v>47</v>
      </c>
      <c r="AB829" s="4" t="s">
        <v>47</v>
      </c>
      <c r="AC829" s="4" t="s">
        <v>47</v>
      </c>
      <c r="AD829" s="4" t="s">
        <v>47</v>
      </c>
      <c r="AE829" s="4" t="s">
        <v>47</v>
      </c>
      <c r="AF829" s="4" t="s">
        <v>47</v>
      </c>
      <c r="AG829" s="4" t="s">
        <v>47</v>
      </c>
      <c r="AH829" s="4" t="s">
        <v>47</v>
      </c>
      <c r="AI829" s="4" t="s">
        <v>47</v>
      </c>
      <c r="AJ829" s="4" t="s">
        <v>47</v>
      </c>
      <c r="AK829" s="4" t="s">
        <v>47</v>
      </c>
      <c r="AL829" s="4" t="s">
        <v>47</v>
      </c>
      <c r="AM829" s="4" t="s">
        <v>47</v>
      </c>
      <c r="AN829" s="4" t="s">
        <v>47</v>
      </c>
      <c r="AO829" s="4" t="s">
        <v>7635</v>
      </c>
      <c r="AP829" s="4" t="s">
        <v>47</v>
      </c>
      <c r="AQ829" s="4" t="s">
        <v>47</v>
      </c>
      <c r="AR829" s="4" t="s">
        <v>47</v>
      </c>
    </row>
    <row r="830" spans="1:44" x14ac:dyDescent="0.2">
      <c r="A830" s="4" t="s">
        <v>12</v>
      </c>
      <c r="B830" s="4" t="s">
        <v>116</v>
      </c>
      <c r="C830">
        <v>5</v>
      </c>
      <c r="F830">
        <v>2</v>
      </c>
      <c r="I830" s="4" t="s">
        <v>7363</v>
      </c>
      <c r="J830" s="4" t="s">
        <v>7407</v>
      </c>
      <c r="K830" s="4" t="s">
        <v>7636</v>
      </c>
      <c r="L830" s="4" t="s">
        <v>7637</v>
      </c>
      <c r="M830">
        <v>49737</v>
      </c>
      <c r="N830" s="4" t="s">
        <v>7638</v>
      </c>
      <c r="O830" s="4" t="s">
        <v>7639</v>
      </c>
      <c r="P830" s="4" t="s">
        <v>593</v>
      </c>
      <c r="Q830" s="9">
        <v>21365</v>
      </c>
      <c r="R830" s="4" t="s">
        <v>1614</v>
      </c>
      <c r="S830" s="4" t="s">
        <v>7640</v>
      </c>
      <c r="T830" s="4" t="s">
        <v>47</v>
      </c>
      <c r="U830" s="4" t="s">
        <v>116</v>
      </c>
      <c r="V830">
        <v>1958</v>
      </c>
      <c r="W830" s="4" t="s">
        <v>7641</v>
      </c>
      <c r="X830" s="4" t="s">
        <v>7642</v>
      </c>
      <c r="Y830" s="4" t="s">
        <v>7643</v>
      </c>
      <c r="Z830" s="4" t="s">
        <v>7644</v>
      </c>
      <c r="AA830" s="4" t="s">
        <v>47</v>
      </c>
      <c r="AB830" s="4" t="s">
        <v>47</v>
      </c>
      <c r="AC830" s="4" t="s">
        <v>47</v>
      </c>
      <c r="AD830" s="4" t="s">
        <v>47</v>
      </c>
      <c r="AE830" s="4" t="s">
        <v>47</v>
      </c>
      <c r="AF830" s="4" t="s">
        <v>47</v>
      </c>
      <c r="AG830" s="4" t="s">
        <v>47</v>
      </c>
      <c r="AH830" s="4" t="s">
        <v>47</v>
      </c>
      <c r="AI830" s="4" t="s">
        <v>47</v>
      </c>
      <c r="AJ830" s="4" t="s">
        <v>47</v>
      </c>
      <c r="AK830" s="4" t="s">
        <v>47</v>
      </c>
      <c r="AL830" s="4" t="s">
        <v>47</v>
      </c>
      <c r="AM830" s="4" t="s">
        <v>47</v>
      </c>
      <c r="AN830" s="4" t="s">
        <v>47</v>
      </c>
      <c r="AO830" s="4" t="s">
        <v>47</v>
      </c>
      <c r="AP830" s="4" t="s">
        <v>47</v>
      </c>
      <c r="AQ830" s="4" t="s">
        <v>47</v>
      </c>
      <c r="AR830" s="4" t="s">
        <v>47</v>
      </c>
    </row>
    <row r="831" spans="1:44" x14ac:dyDescent="0.2">
      <c r="A831" s="4" t="s">
        <v>87</v>
      </c>
      <c r="B831" s="4" t="s">
        <v>104</v>
      </c>
      <c r="C831">
        <v>6</v>
      </c>
      <c r="F831">
        <v>3</v>
      </c>
      <c r="I831" s="4" t="s">
        <v>7645</v>
      </c>
      <c r="J831" s="4" t="s">
        <v>7646</v>
      </c>
      <c r="K831" s="4" t="s">
        <v>7509</v>
      </c>
      <c r="L831" s="4" t="s">
        <v>7510</v>
      </c>
      <c r="M831">
        <v>32483</v>
      </c>
      <c r="N831" s="4" t="s">
        <v>7647</v>
      </c>
      <c r="O831" s="4" t="s">
        <v>7648</v>
      </c>
      <c r="P831" s="4" t="s">
        <v>616</v>
      </c>
      <c r="Q831" s="9">
        <v>21364</v>
      </c>
      <c r="R831" s="4" t="s">
        <v>7649</v>
      </c>
      <c r="S831" s="4" t="s">
        <v>7650</v>
      </c>
      <c r="T831" s="4" t="s">
        <v>47</v>
      </c>
      <c r="U831" s="4" t="s">
        <v>116</v>
      </c>
      <c r="V831">
        <v>1958</v>
      </c>
      <c r="W831" s="4" t="s">
        <v>7651</v>
      </c>
      <c r="X831" s="4" t="s">
        <v>7652</v>
      </c>
      <c r="Y831" s="4" t="s">
        <v>7653</v>
      </c>
      <c r="Z831" s="4" t="s">
        <v>7654</v>
      </c>
      <c r="AA831" s="4" t="s">
        <v>47</v>
      </c>
      <c r="AB831" s="4" t="s">
        <v>47</v>
      </c>
      <c r="AC831" s="4" t="s">
        <v>7655</v>
      </c>
      <c r="AD831" s="4" t="s">
        <v>47</v>
      </c>
      <c r="AE831" s="4" t="s">
        <v>47</v>
      </c>
      <c r="AF831" s="4" t="s">
        <v>47</v>
      </c>
      <c r="AG831" s="4" t="s">
        <v>47</v>
      </c>
      <c r="AH831" s="4" t="s">
        <v>47</v>
      </c>
      <c r="AI831" s="4" t="s">
        <v>47</v>
      </c>
      <c r="AJ831" s="4" t="s">
        <v>47</v>
      </c>
      <c r="AK831" s="4" t="s">
        <v>47</v>
      </c>
      <c r="AL831" s="4" t="s">
        <v>47</v>
      </c>
      <c r="AM831" s="4" t="s">
        <v>47</v>
      </c>
      <c r="AN831" s="4" t="s">
        <v>47</v>
      </c>
      <c r="AO831" s="4" t="s">
        <v>47</v>
      </c>
      <c r="AP831" s="4" t="s">
        <v>47</v>
      </c>
      <c r="AQ831" s="4" t="s">
        <v>47</v>
      </c>
      <c r="AR831" s="4" t="s">
        <v>47</v>
      </c>
    </row>
    <row r="832" spans="1:44" x14ac:dyDescent="0.2">
      <c r="A832" s="4" t="s">
        <v>116</v>
      </c>
      <c r="B832" s="4" t="s">
        <v>104</v>
      </c>
      <c r="C832">
        <v>3</v>
      </c>
      <c r="F832">
        <v>1</v>
      </c>
      <c r="I832" s="4" t="s">
        <v>7636</v>
      </c>
      <c r="J832" s="4" t="s">
        <v>7637</v>
      </c>
      <c r="K832" s="4" t="s">
        <v>7509</v>
      </c>
      <c r="L832" s="4" t="s">
        <v>7510</v>
      </c>
      <c r="M832">
        <v>49471</v>
      </c>
      <c r="N832" s="4" t="s">
        <v>7647</v>
      </c>
      <c r="O832" s="4" t="s">
        <v>7656</v>
      </c>
      <c r="P832" s="4" t="s">
        <v>629</v>
      </c>
      <c r="Q832" s="9">
        <v>21360</v>
      </c>
      <c r="R832" s="4" t="s">
        <v>770</v>
      </c>
      <c r="S832" s="4" t="s">
        <v>7455</v>
      </c>
      <c r="T832" s="4" t="s">
        <v>47</v>
      </c>
      <c r="U832" s="4" t="s">
        <v>116</v>
      </c>
      <c r="V832">
        <v>1958</v>
      </c>
      <c r="W832" s="4" t="s">
        <v>7657</v>
      </c>
      <c r="X832" s="4" t="s">
        <v>7658</v>
      </c>
      <c r="Y832" s="4" t="s">
        <v>7659</v>
      </c>
      <c r="Z832" s="4" t="s">
        <v>7660</v>
      </c>
      <c r="AA832" s="4" t="s">
        <v>47</v>
      </c>
      <c r="AB832" s="4" t="s">
        <v>47</v>
      </c>
      <c r="AC832" s="4" t="s">
        <v>47</v>
      </c>
      <c r="AD832" s="4" t="s">
        <v>47</v>
      </c>
      <c r="AE832" s="4" t="s">
        <v>47</v>
      </c>
      <c r="AF832" s="4" t="s">
        <v>47</v>
      </c>
      <c r="AG832" s="4" t="s">
        <v>47</v>
      </c>
      <c r="AH832" s="4" t="s">
        <v>47</v>
      </c>
      <c r="AI832" s="4" t="s">
        <v>47</v>
      </c>
      <c r="AJ832" s="4" t="s">
        <v>47</v>
      </c>
      <c r="AK832" s="4" t="s">
        <v>47</v>
      </c>
      <c r="AL832" s="4" t="s">
        <v>7661</v>
      </c>
      <c r="AM832" s="4" t="s">
        <v>47</v>
      </c>
      <c r="AN832" s="4" t="s">
        <v>47</v>
      </c>
      <c r="AO832" s="4" t="s">
        <v>47</v>
      </c>
      <c r="AP832" s="4" t="s">
        <v>47</v>
      </c>
      <c r="AQ832" s="4" t="s">
        <v>47</v>
      </c>
      <c r="AR832" s="4" t="s">
        <v>47</v>
      </c>
    </row>
    <row r="833" spans="1:44" x14ac:dyDescent="0.2">
      <c r="A833" s="4" t="s">
        <v>12</v>
      </c>
      <c r="B833" s="4" t="s">
        <v>87</v>
      </c>
      <c r="C833">
        <v>5</v>
      </c>
      <c r="F833">
        <v>2</v>
      </c>
      <c r="I833" s="4" t="s">
        <v>7363</v>
      </c>
      <c r="J833" s="4" t="s">
        <v>7407</v>
      </c>
      <c r="K833" s="4" t="s">
        <v>7645</v>
      </c>
      <c r="L833" s="4" t="s">
        <v>7662</v>
      </c>
      <c r="M833">
        <v>27100</v>
      </c>
      <c r="N833" s="4" t="s">
        <v>7638</v>
      </c>
      <c r="O833" s="4" t="s">
        <v>7663</v>
      </c>
      <c r="P833" s="4" t="s">
        <v>629</v>
      </c>
      <c r="Q833" s="9">
        <v>21360</v>
      </c>
      <c r="R833" s="4" t="s">
        <v>1614</v>
      </c>
      <c r="S833" s="4" t="s">
        <v>7664</v>
      </c>
      <c r="T833" s="4" t="s">
        <v>47</v>
      </c>
      <c r="U833" s="4" t="s">
        <v>116</v>
      </c>
      <c r="V833">
        <v>1958</v>
      </c>
      <c r="W833" s="4" t="s">
        <v>7665</v>
      </c>
      <c r="X833" s="4" t="s">
        <v>7666</v>
      </c>
      <c r="Y833" s="4" t="s">
        <v>7667</v>
      </c>
      <c r="Z833" s="4" t="s">
        <v>7668</v>
      </c>
      <c r="AA833" s="4" t="s">
        <v>47</v>
      </c>
      <c r="AB833" s="4" t="s">
        <v>47</v>
      </c>
      <c r="AC833" s="4" t="s">
        <v>47</v>
      </c>
      <c r="AD833" s="4" t="s">
        <v>47</v>
      </c>
      <c r="AE833" s="4" t="s">
        <v>47</v>
      </c>
      <c r="AF833" s="4" t="s">
        <v>47</v>
      </c>
      <c r="AG833" s="4" t="s">
        <v>47</v>
      </c>
      <c r="AH833" s="4" t="s">
        <v>47</v>
      </c>
      <c r="AI833" s="4" t="s">
        <v>47</v>
      </c>
      <c r="AJ833" s="4" t="s">
        <v>47</v>
      </c>
      <c r="AK833" s="4" t="s">
        <v>47</v>
      </c>
      <c r="AL833" s="4" t="s">
        <v>47</v>
      </c>
      <c r="AM833" s="4" t="s">
        <v>47</v>
      </c>
      <c r="AN833" s="4" t="s">
        <v>47</v>
      </c>
      <c r="AO833" s="4" t="s">
        <v>47</v>
      </c>
      <c r="AP833" s="4" t="s">
        <v>47</v>
      </c>
      <c r="AQ833" s="4" t="s">
        <v>47</v>
      </c>
      <c r="AR833" s="4" t="s">
        <v>47</v>
      </c>
    </row>
    <row r="834" spans="1:44" x14ac:dyDescent="0.2">
      <c r="A834" s="4" t="s">
        <v>87</v>
      </c>
      <c r="B834" s="4" t="s">
        <v>258</v>
      </c>
      <c r="C834">
        <v>4</v>
      </c>
      <c r="F834">
        <v>0</v>
      </c>
      <c r="I834" s="4" t="s">
        <v>7645</v>
      </c>
      <c r="J834" s="4" t="s">
        <v>7662</v>
      </c>
      <c r="K834" s="4" t="s">
        <v>7669</v>
      </c>
      <c r="L834" s="4" t="s">
        <v>7670</v>
      </c>
      <c r="M834">
        <v>11800</v>
      </c>
      <c r="N834" s="4" t="s">
        <v>7671</v>
      </c>
      <c r="O834" s="4" t="s">
        <v>7672</v>
      </c>
      <c r="P834" s="4" t="s">
        <v>651</v>
      </c>
      <c r="Q834" s="9">
        <v>21355</v>
      </c>
      <c r="R834" s="4" t="s">
        <v>2300</v>
      </c>
      <c r="S834" s="4" t="s">
        <v>7307</v>
      </c>
      <c r="T834" s="4" t="s">
        <v>47</v>
      </c>
      <c r="U834" s="4" t="s">
        <v>116</v>
      </c>
      <c r="V834">
        <v>1958</v>
      </c>
      <c r="W834" s="4" t="s">
        <v>7673</v>
      </c>
      <c r="X834" s="4" t="s">
        <v>47</v>
      </c>
      <c r="Y834" s="4" t="s">
        <v>7674</v>
      </c>
      <c r="Z834" s="4" t="s">
        <v>47</v>
      </c>
      <c r="AA834" s="4" t="s">
        <v>47</v>
      </c>
      <c r="AB834" s="4" t="s">
        <v>47</v>
      </c>
      <c r="AC834" s="4" t="s">
        <v>47</v>
      </c>
      <c r="AD834" s="4" t="s">
        <v>47</v>
      </c>
      <c r="AE834" s="4" t="s">
        <v>47</v>
      </c>
      <c r="AF834" s="4" t="s">
        <v>47</v>
      </c>
      <c r="AG834" s="4" t="s">
        <v>47</v>
      </c>
      <c r="AH834" s="4" t="s">
        <v>47</v>
      </c>
      <c r="AI834" s="4" t="s">
        <v>47</v>
      </c>
      <c r="AJ834" s="4" t="s">
        <v>47</v>
      </c>
      <c r="AK834" s="4" t="s">
        <v>47</v>
      </c>
      <c r="AL834" s="4" t="s">
        <v>47</v>
      </c>
      <c r="AM834" s="4" t="s">
        <v>47</v>
      </c>
      <c r="AN834" s="4" t="s">
        <v>47</v>
      </c>
      <c r="AO834" s="4" t="s">
        <v>47</v>
      </c>
      <c r="AP834" s="4" t="s">
        <v>47</v>
      </c>
      <c r="AQ834" s="4" t="s">
        <v>47</v>
      </c>
      <c r="AR834" s="4" t="s">
        <v>47</v>
      </c>
    </row>
    <row r="835" spans="1:44" x14ac:dyDescent="0.2">
      <c r="A835" s="4" t="s">
        <v>104</v>
      </c>
      <c r="B835" s="4" t="s">
        <v>4991</v>
      </c>
      <c r="C835">
        <v>1</v>
      </c>
      <c r="F835">
        <v>0</v>
      </c>
      <c r="I835" s="4" t="s">
        <v>7509</v>
      </c>
      <c r="J835" s="4" t="s">
        <v>7510</v>
      </c>
      <c r="K835" s="4" t="s">
        <v>7675</v>
      </c>
      <c r="L835" s="4" t="s">
        <v>7676</v>
      </c>
      <c r="M835">
        <v>20055</v>
      </c>
      <c r="N835" s="4" t="s">
        <v>7677</v>
      </c>
      <c r="O835" s="4" t="s">
        <v>7678</v>
      </c>
      <c r="P835" s="4" t="s">
        <v>651</v>
      </c>
      <c r="Q835" s="9">
        <v>21355</v>
      </c>
      <c r="R835" s="4" t="s">
        <v>652</v>
      </c>
      <c r="S835" s="4" t="s">
        <v>7679</v>
      </c>
      <c r="T835" s="4" t="s">
        <v>47</v>
      </c>
      <c r="U835" s="4" t="s">
        <v>116</v>
      </c>
      <c r="V835">
        <v>1958</v>
      </c>
      <c r="W835" s="4" t="s">
        <v>7680</v>
      </c>
      <c r="X835" s="4" t="s">
        <v>47</v>
      </c>
      <c r="Y835" s="4" t="s">
        <v>7681</v>
      </c>
      <c r="Z835" s="4" t="s">
        <v>47</v>
      </c>
      <c r="AA835" s="4" t="s">
        <v>47</v>
      </c>
      <c r="AB835" s="4" t="s">
        <v>47</v>
      </c>
      <c r="AC835" s="4" t="s">
        <v>47</v>
      </c>
      <c r="AD835" s="4" t="s">
        <v>47</v>
      </c>
      <c r="AE835" s="4" t="s">
        <v>47</v>
      </c>
      <c r="AF835" s="4" t="s">
        <v>47</v>
      </c>
      <c r="AG835" s="4" t="s">
        <v>47</v>
      </c>
      <c r="AH835" s="4" t="s">
        <v>47</v>
      </c>
      <c r="AI835" s="4" t="s">
        <v>47</v>
      </c>
      <c r="AJ835" s="4" t="s">
        <v>47</v>
      </c>
      <c r="AK835" s="4" t="s">
        <v>47</v>
      </c>
      <c r="AL835" s="4" t="s">
        <v>47</v>
      </c>
      <c r="AM835" s="4" t="s">
        <v>47</v>
      </c>
      <c r="AN835" s="4" t="s">
        <v>47</v>
      </c>
      <c r="AO835" s="4" t="s">
        <v>47</v>
      </c>
      <c r="AP835" s="4" t="s">
        <v>47</v>
      </c>
      <c r="AQ835" s="4" t="s">
        <v>47</v>
      </c>
      <c r="AR835" s="4" t="s">
        <v>47</v>
      </c>
    </row>
    <row r="836" spans="1:44" x14ac:dyDescent="0.2">
      <c r="A836" s="4" t="s">
        <v>12</v>
      </c>
      <c r="B836" s="4" t="s">
        <v>197</v>
      </c>
      <c r="C836">
        <v>1</v>
      </c>
      <c r="F836">
        <v>0</v>
      </c>
      <c r="I836" s="4" t="s">
        <v>7363</v>
      </c>
      <c r="J836" s="4" t="s">
        <v>7407</v>
      </c>
      <c r="K836" s="4" t="s">
        <v>7682</v>
      </c>
      <c r="L836" s="4" t="s">
        <v>7683</v>
      </c>
      <c r="M836">
        <v>25923</v>
      </c>
      <c r="N836" s="4" t="s">
        <v>7647</v>
      </c>
      <c r="O836" s="4" t="s">
        <v>7684</v>
      </c>
      <c r="P836" s="4" t="s">
        <v>651</v>
      </c>
      <c r="Q836" s="9">
        <v>21355</v>
      </c>
      <c r="R836" s="4" t="s">
        <v>652</v>
      </c>
      <c r="S836" s="4" t="s">
        <v>7685</v>
      </c>
      <c r="T836" s="4" t="s">
        <v>47</v>
      </c>
      <c r="U836" s="4" t="s">
        <v>116</v>
      </c>
      <c r="V836">
        <v>1958</v>
      </c>
      <c r="W836" s="4" t="s">
        <v>7686</v>
      </c>
      <c r="X836" s="4" t="s">
        <v>47</v>
      </c>
      <c r="Y836" s="4" t="s">
        <v>7687</v>
      </c>
      <c r="Z836" s="4" t="s">
        <v>47</v>
      </c>
      <c r="AA836" s="4" t="s">
        <v>47</v>
      </c>
      <c r="AB836" s="4" t="s">
        <v>47</v>
      </c>
      <c r="AC836" s="4" t="s">
        <v>47</v>
      </c>
      <c r="AD836" s="4" t="s">
        <v>47</v>
      </c>
      <c r="AE836" s="4" t="s">
        <v>47</v>
      </c>
      <c r="AF836" s="4" t="s">
        <v>47</v>
      </c>
      <c r="AG836" s="4" t="s">
        <v>47</v>
      </c>
      <c r="AH836" s="4" t="s">
        <v>47</v>
      </c>
      <c r="AI836" s="4" t="s">
        <v>47</v>
      </c>
      <c r="AJ836" s="4" t="s">
        <v>47</v>
      </c>
      <c r="AK836" s="4" t="s">
        <v>47</v>
      </c>
      <c r="AL836" s="4" t="s">
        <v>47</v>
      </c>
      <c r="AM836" s="4" t="s">
        <v>47</v>
      </c>
      <c r="AN836" s="4" t="s">
        <v>47</v>
      </c>
      <c r="AO836" s="4" t="s">
        <v>47</v>
      </c>
      <c r="AP836" s="4" t="s">
        <v>47</v>
      </c>
      <c r="AQ836" s="4" t="s">
        <v>47</v>
      </c>
      <c r="AR836" s="4" t="s">
        <v>47</v>
      </c>
    </row>
    <row r="837" spans="1:44" x14ac:dyDescent="0.2">
      <c r="A837" s="4" t="s">
        <v>116</v>
      </c>
      <c r="B837" s="4" t="s">
        <v>5211</v>
      </c>
      <c r="C837">
        <v>2</v>
      </c>
      <c r="F837">
        <v>0</v>
      </c>
      <c r="I837" s="4" t="s">
        <v>7636</v>
      </c>
      <c r="J837" s="4" t="s">
        <v>7637</v>
      </c>
      <c r="K837" s="4" t="s">
        <v>7050</v>
      </c>
      <c r="L837" s="4" t="s">
        <v>7688</v>
      </c>
      <c r="M837">
        <v>31900</v>
      </c>
      <c r="N837" s="4" t="s">
        <v>7638</v>
      </c>
      <c r="O837" s="4" t="s">
        <v>7689</v>
      </c>
      <c r="P837" s="4" t="s">
        <v>651</v>
      </c>
      <c r="Q837" s="9">
        <v>21355</v>
      </c>
      <c r="R837" s="4" t="s">
        <v>630</v>
      </c>
      <c r="S837" s="4" t="s">
        <v>7690</v>
      </c>
      <c r="T837" s="4" t="s">
        <v>47</v>
      </c>
      <c r="U837" s="4" t="s">
        <v>116</v>
      </c>
      <c r="V837">
        <v>1958</v>
      </c>
      <c r="W837" s="4" t="s">
        <v>7691</v>
      </c>
      <c r="X837" s="4" t="s">
        <v>47</v>
      </c>
      <c r="Y837" s="4" t="s">
        <v>7692</v>
      </c>
      <c r="Z837" s="4" t="s">
        <v>47</v>
      </c>
      <c r="AA837" s="4" t="s">
        <v>47</v>
      </c>
      <c r="AB837" s="4" t="s">
        <v>47</v>
      </c>
      <c r="AC837" s="4" t="s">
        <v>47</v>
      </c>
      <c r="AD837" s="4" t="s">
        <v>47</v>
      </c>
      <c r="AE837" s="4" t="s">
        <v>47</v>
      </c>
      <c r="AF837" s="4" t="s">
        <v>47</v>
      </c>
      <c r="AG837" s="4" t="s">
        <v>47</v>
      </c>
      <c r="AH837" s="4" t="s">
        <v>47</v>
      </c>
      <c r="AI837" s="4" t="s">
        <v>47</v>
      </c>
      <c r="AJ837" s="4" t="s">
        <v>47</v>
      </c>
      <c r="AK837" s="4" t="s">
        <v>47</v>
      </c>
      <c r="AL837" s="4" t="s">
        <v>47</v>
      </c>
      <c r="AM837" s="4" t="s">
        <v>47</v>
      </c>
      <c r="AN837" s="4" t="s">
        <v>47</v>
      </c>
      <c r="AO837" s="4" t="s">
        <v>47</v>
      </c>
      <c r="AP837" s="4" t="s">
        <v>47</v>
      </c>
      <c r="AQ837" s="4" t="s">
        <v>47</v>
      </c>
      <c r="AR837" s="4" t="s">
        <v>47</v>
      </c>
    </row>
    <row r="838" spans="1:44" x14ac:dyDescent="0.2">
      <c r="A838" s="4" t="s">
        <v>258</v>
      </c>
      <c r="B838" s="4" t="s">
        <v>114</v>
      </c>
      <c r="C838">
        <v>2</v>
      </c>
      <c r="F838">
        <v>1</v>
      </c>
      <c r="I838" s="4" t="s">
        <v>7669</v>
      </c>
      <c r="J838" s="4" t="s">
        <v>7670</v>
      </c>
      <c r="K838" s="4" t="s">
        <v>7693</v>
      </c>
      <c r="L838" s="4" t="s">
        <v>7458</v>
      </c>
      <c r="M838">
        <v>6196</v>
      </c>
      <c r="N838" s="4" t="s">
        <v>7677</v>
      </c>
      <c r="O838" s="4" t="s">
        <v>7694</v>
      </c>
      <c r="P838" s="4" t="s">
        <v>7695</v>
      </c>
      <c r="Q838" s="9">
        <v>21353</v>
      </c>
      <c r="R838" s="4" t="s">
        <v>617</v>
      </c>
      <c r="S838" s="4" t="s">
        <v>7640</v>
      </c>
      <c r="T838" s="4" t="s">
        <v>1258</v>
      </c>
      <c r="U838" s="4" t="s">
        <v>116</v>
      </c>
      <c r="V838">
        <v>1958</v>
      </c>
      <c r="W838" s="4" t="s">
        <v>7696</v>
      </c>
      <c r="X838" s="4" t="s">
        <v>7697</v>
      </c>
      <c r="Y838" s="4" t="s">
        <v>7698</v>
      </c>
      <c r="Z838" s="4" t="s">
        <v>7699</v>
      </c>
      <c r="AA838" s="4" t="s">
        <v>47</v>
      </c>
      <c r="AB838" s="4" t="s">
        <v>47</v>
      </c>
      <c r="AC838" s="4" t="s">
        <v>47</v>
      </c>
      <c r="AD838" s="4" t="s">
        <v>47</v>
      </c>
      <c r="AE838" s="4" t="s">
        <v>47</v>
      </c>
      <c r="AF838" s="4" t="s">
        <v>47</v>
      </c>
      <c r="AG838" s="4" t="s">
        <v>47</v>
      </c>
      <c r="AH838" s="4" t="s">
        <v>47</v>
      </c>
      <c r="AI838" s="4" t="s">
        <v>47</v>
      </c>
      <c r="AJ838" s="4" t="s">
        <v>47</v>
      </c>
      <c r="AK838" s="4" t="s">
        <v>47</v>
      </c>
      <c r="AL838" s="4" t="s">
        <v>7700</v>
      </c>
      <c r="AM838" s="4" t="s">
        <v>47</v>
      </c>
      <c r="AN838" s="4" t="s">
        <v>47</v>
      </c>
      <c r="AO838" s="4" t="s">
        <v>47</v>
      </c>
      <c r="AP838" s="4" t="s">
        <v>47</v>
      </c>
      <c r="AQ838" s="4" t="s">
        <v>47</v>
      </c>
      <c r="AR838" s="4" t="s">
        <v>47</v>
      </c>
    </row>
    <row r="839" spans="1:44" x14ac:dyDescent="0.2">
      <c r="A839" s="4" t="s">
        <v>197</v>
      </c>
      <c r="B839" s="4" t="s">
        <v>119</v>
      </c>
      <c r="C839">
        <v>2</v>
      </c>
      <c r="F839">
        <v>1</v>
      </c>
      <c r="I839" s="4" t="s">
        <v>7682</v>
      </c>
      <c r="J839" s="4" t="s">
        <v>7683</v>
      </c>
      <c r="K839" s="4" t="s">
        <v>6531</v>
      </c>
      <c r="L839" s="4" t="s">
        <v>7701</v>
      </c>
      <c r="M839">
        <v>2823</v>
      </c>
      <c r="N839" s="4" t="s">
        <v>7638</v>
      </c>
      <c r="O839" s="4" t="s">
        <v>7702</v>
      </c>
      <c r="P839" s="4" t="s">
        <v>7695</v>
      </c>
      <c r="Q839" s="9">
        <v>21353</v>
      </c>
      <c r="R839" s="4" t="s">
        <v>617</v>
      </c>
      <c r="S839" s="4" t="s">
        <v>7461</v>
      </c>
      <c r="T839" s="4" t="s">
        <v>47</v>
      </c>
      <c r="U839" s="4" t="s">
        <v>116</v>
      </c>
      <c r="V839">
        <v>1958</v>
      </c>
      <c r="W839" s="4" t="s">
        <v>7703</v>
      </c>
      <c r="X839" s="4" t="s">
        <v>7704</v>
      </c>
      <c r="Y839" s="4" t="s">
        <v>7705</v>
      </c>
      <c r="Z839" s="4" t="s">
        <v>7706</v>
      </c>
      <c r="AA839" s="4" t="s">
        <v>47</v>
      </c>
      <c r="AB839" s="4" t="s">
        <v>47</v>
      </c>
      <c r="AC839" s="4" t="s">
        <v>47</v>
      </c>
      <c r="AD839" s="4" t="s">
        <v>47</v>
      </c>
      <c r="AE839" s="4" t="s">
        <v>47</v>
      </c>
      <c r="AF839" s="4" t="s">
        <v>47</v>
      </c>
      <c r="AG839" s="4" t="s">
        <v>47</v>
      </c>
      <c r="AH839" s="4" t="s">
        <v>47</v>
      </c>
      <c r="AI839" s="4" t="s">
        <v>47</v>
      </c>
      <c r="AJ839" s="4" t="s">
        <v>47</v>
      </c>
      <c r="AK839" s="4" t="s">
        <v>47</v>
      </c>
      <c r="AL839" s="4" t="s">
        <v>7707</v>
      </c>
      <c r="AM839" s="4" t="s">
        <v>47</v>
      </c>
      <c r="AN839" s="4" t="s">
        <v>47</v>
      </c>
      <c r="AO839" s="4" t="s">
        <v>47</v>
      </c>
      <c r="AP839" s="4" t="s">
        <v>47</v>
      </c>
      <c r="AQ839" s="4" t="s">
        <v>47</v>
      </c>
      <c r="AR839" s="4" t="s">
        <v>47</v>
      </c>
    </row>
    <row r="840" spans="1:44" x14ac:dyDescent="0.2">
      <c r="A840" s="4" t="s">
        <v>5211</v>
      </c>
      <c r="B840" s="4" t="s">
        <v>52</v>
      </c>
      <c r="C840">
        <v>1</v>
      </c>
      <c r="F840">
        <v>0</v>
      </c>
      <c r="I840" s="4" t="s">
        <v>7050</v>
      </c>
      <c r="J840" s="4" t="s">
        <v>7688</v>
      </c>
      <c r="K840" s="4" t="s">
        <v>7497</v>
      </c>
      <c r="L840" s="4" t="s">
        <v>7708</v>
      </c>
      <c r="M840">
        <v>23182</v>
      </c>
      <c r="N840" s="4" t="s">
        <v>7647</v>
      </c>
      <c r="O840" s="4" t="s">
        <v>7709</v>
      </c>
      <c r="P840" s="4" t="s">
        <v>7695</v>
      </c>
      <c r="Q840" s="9">
        <v>21353</v>
      </c>
      <c r="R840" s="4" t="s">
        <v>652</v>
      </c>
      <c r="S840" s="4" t="s">
        <v>7615</v>
      </c>
      <c r="T840" s="4" t="s">
        <v>47</v>
      </c>
      <c r="U840" s="4" t="s">
        <v>116</v>
      </c>
      <c r="V840">
        <v>1958</v>
      </c>
      <c r="W840" s="4" t="s">
        <v>7710</v>
      </c>
      <c r="X840" s="4" t="s">
        <v>47</v>
      </c>
      <c r="Y840" s="4" t="s">
        <v>7711</v>
      </c>
      <c r="Z840" s="4" t="s">
        <v>47</v>
      </c>
      <c r="AA840" s="4" t="s">
        <v>47</v>
      </c>
      <c r="AB840" s="4" t="s">
        <v>47</v>
      </c>
      <c r="AC840" s="4" t="s">
        <v>47</v>
      </c>
      <c r="AD840" s="4" t="s">
        <v>47</v>
      </c>
      <c r="AE840" s="4" t="s">
        <v>47</v>
      </c>
      <c r="AF840" s="4" t="s">
        <v>47</v>
      </c>
      <c r="AG840" s="4" t="s">
        <v>47</v>
      </c>
      <c r="AH840" s="4" t="s">
        <v>47</v>
      </c>
      <c r="AI840" s="4" t="s">
        <v>47</v>
      </c>
      <c r="AJ840" s="4" t="s">
        <v>47</v>
      </c>
      <c r="AK840" s="4" t="s">
        <v>47</v>
      </c>
      <c r="AL840" s="4" t="s">
        <v>47</v>
      </c>
      <c r="AM840" s="4" t="s">
        <v>47</v>
      </c>
      <c r="AN840" s="4" t="s">
        <v>47</v>
      </c>
      <c r="AO840" s="4" t="s">
        <v>47</v>
      </c>
      <c r="AP840" s="4" t="s">
        <v>47</v>
      </c>
      <c r="AQ840" s="4" t="s">
        <v>47</v>
      </c>
      <c r="AR840" s="4" t="s">
        <v>47</v>
      </c>
    </row>
    <row r="841" spans="1:44" x14ac:dyDescent="0.2">
      <c r="A841" s="4" t="s">
        <v>116</v>
      </c>
      <c r="B841" s="4" t="s">
        <v>197</v>
      </c>
      <c r="C841">
        <v>0</v>
      </c>
      <c r="F841">
        <v>0</v>
      </c>
      <c r="I841" s="4" t="s">
        <v>7636</v>
      </c>
      <c r="J841" s="4" t="s">
        <v>7712</v>
      </c>
      <c r="K841" s="4" t="s">
        <v>7682</v>
      </c>
      <c r="L841" s="4" t="s">
        <v>7683</v>
      </c>
      <c r="M841">
        <v>30287</v>
      </c>
      <c r="N841" s="4" t="s">
        <v>7638</v>
      </c>
      <c r="O841" s="4" t="s">
        <v>7713</v>
      </c>
      <c r="P841" s="4" t="s">
        <v>811</v>
      </c>
      <c r="Q841" s="9">
        <v>21351</v>
      </c>
      <c r="R841" s="4" t="s">
        <v>869</v>
      </c>
      <c r="S841" s="4" t="s">
        <v>7714</v>
      </c>
      <c r="T841" s="4" t="s">
        <v>47</v>
      </c>
      <c r="U841" s="4" t="s">
        <v>116</v>
      </c>
      <c r="V841">
        <v>1958</v>
      </c>
      <c r="W841" s="4" t="s">
        <v>47</v>
      </c>
      <c r="X841" s="4" t="s">
        <v>47</v>
      </c>
      <c r="Y841" s="4" t="s">
        <v>47</v>
      </c>
      <c r="Z841" s="4" t="s">
        <v>47</v>
      </c>
      <c r="AA841" s="4" t="s">
        <v>47</v>
      </c>
      <c r="AB841" s="4" t="s">
        <v>47</v>
      </c>
      <c r="AC841" s="4" t="s">
        <v>47</v>
      </c>
      <c r="AD841" s="4" t="s">
        <v>47</v>
      </c>
      <c r="AE841" s="4" t="s">
        <v>47</v>
      </c>
      <c r="AF841" s="4" t="s">
        <v>47</v>
      </c>
      <c r="AG841" s="4" t="s">
        <v>47</v>
      </c>
      <c r="AH841" s="4" t="s">
        <v>47</v>
      </c>
      <c r="AI841" s="4" t="s">
        <v>47</v>
      </c>
      <c r="AJ841" s="4" t="s">
        <v>47</v>
      </c>
      <c r="AK841" s="4" t="s">
        <v>47</v>
      </c>
      <c r="AL841" s="4" t="s">
        <v>47</v>
      </c>
      <c r="AM841" s="4" t="s">
        <v>47</v>
      </c>
      <c r="AN841" s="4" t="s">
        <v>47</v>
      </c>
      <c r="AO841" s="4" t="s">
        <v>47</v>
      </c>
      <c r="AP841" s="4" t="s">
        <v>47</v>
      </c>
      <c r="AQ841" s="4" t="s">
        <v>47</v>
      </c>
      <c r="AR841" s="4" t="s">
        <v>47</v>
      </c>
    </row>
    <row r="842" spans="1:44" x14ac:dyDescent="0.2">
      <c r="A842" s="4" t="s">
        <v>202</v>
      </c>
      <c r="B842" s="4" t="s">
        <v>4991</v>
      </c>
      <c r="C842">
        <v>3</v>
      </c>
      <c r="F842">
        <v>3</v>
      </c>
      <c r="I842" s="4" t="s">
        <v>7715</v>
      </c>
      <c r="J842" s="4" t="s">
        <v>7716</v>
      </c>
      <c r="K842" s="4" t="s">
        <v>7675</v>
      </c>
      <c r="L842" s="4" t="s">
        <v>7676</v>
      </c>
      <c r="M842">
        <v>13103</v>
      </c>
      <c r="N842" s="4" t="s">
        <v>7717</v>
      </c>
      <c r="O842" s="4" t="s">
        <v>7718</v>
      </c>
      <c r="P842" s="4" t="s">
        <v>811</v>
      </c>
      <c r="Q842" s="9">
        <v>21351</v>
      </c>
      <c r="R842" s="4" t="s">
        <v>982</v>
      </c>
      <c r="S842" s="4" t="s">
        <v>7719</v>
      </c>
      <c r="T842" s="4" t="s">
        <v>47</v>
      </c>
      <c r="U842" s="4" t="s">
        <v>116</v>
      </c>
      <c r="V842">
        <v>1958</v>
      </c>
      <c r="W842" s="4" t="s">
        <v>7720</v>
      </c>
      <c r="X842" s="4" t="s">
        <v>7721</v>
      </c>
      <c r="Y842" s="4" t="s">
        <v>7722</v>
      </c>
      <c r="Z842" s="4" t="s">
        <v>7723</v>
      </c>
      <c r="AA842" s="4" t="s">
        <v>47</v>
      </c>
      <c r="AB842" s="4" t="s">
        <v>47</v>
      </c>
      <c r="AC842" s="4" t="s">
        <v>47</v>
      </c>
      <c r="AD842" s="4" t="s">
        <v>47</v>
      </c>
      <c r="AE842" s="4" t="s">
        <v>47</v>
      </c>
      <c r="AF842" s="4" t="s">
        <v>47</v>
      </c>
      <c r="AG842" s="4" t="s">
        <v>47</v>
      </c>
      <c r="AH842" s="4" t="s">
        <v>47</v>
      </c>
      <c r="AI842" s="4" t="s">
        <v>47</v>
      </c>
      <c r="AJ842" s="4" t="s">
        <v>47</v>
      </c>
      <c r="AK842" s="4" t="s">
        <v>47</v>
      </c>
      <c r="AL842" s="4" t="s">
        <v>47</v>
      </c>
      <c r="AM842" s="4" t="s">
        <v>47</v>
      </c>
      <c r="AN842" s="4" t="s">
        <v>47</v>
      </c>
      <c r="AO842" s="4" t="s">
        <v>47</v>
      </c>
      <c r="AP842" s="4" t="s">
        <v>47</v>
      </c>
      <c r="AQ842" s="4" t="s">
        <v>47</v>
      </c>
      <c r="AR842" s="4" t="s">
        <v>47</v>
      </c>
    </row>
    <row r="843" spans="1:44" x14ac:dyDescent="0.2">
      <c r="A843" s="4" t="s">
        <v>104</v>
      </c>
      <c r="B843" s="4" t="s">
        <v>258</v>
      </c>
      <c r="C843">
        <v>2</v>
      </c>
      <c r="F843">
        <v>2</v>
      </c>
      <c r="I843" s="4" t="s">
        <v>7509</v>
      </c>
      <c r="J843" s="4" t="s">
        <v>7510</v>
      </c>
      <c r="K843" s="4" t="s">
        <v>7669</v>
      </c>
      <c r="L843" s="4" t="s">
        <v>7670</v>
      </c>
      <c r="M843">
        <v>21990</v>
      </c>
      <c r="N843" s="4" t="s">
        <v>7677</v>
      </c>
      <c r="O843" s="4" t="s">
        <v>7724</v>
      </c>
      <c r="P843" s="4" t="s">
        <v>811</v>
      </c>
      <c r="Q843" s="9">
        <v>21351</v>
      </c>
      <c r="R843" s="4" t="s">
        <v>1487</v>
      </c>
      <c r="S843" s="4" t="s">
        <v>7360</v>
      </c>
      <c r="T843" s="4" t="s">
        <v>47</v>
      </c>
      <c r="U843" s="4" t="s">
        <v>116</v>
      </c>
      <c r="V843">
        <v>1958</v>
      </c>
      <c r="W843" s="4" t="s">
        <v>7725</v>
      </c>
      <c r="X843" s="4" t="s">
        <v>7726</v>
      </c>
      <c r="Y843" s="4" t="s">
        <v>7727</v>
      </c>
      <c r="Z843" s="4" t="s">
        <v>7728</v>
      </c>
      <c r="AA843" s="4" t="s">
        <v>47</v>
      </c>
      <c r="AB843" s="4" t="s">
        <v>47</v>
      </c>
      <c r="AC843" s="4" t="s">
        <v>47</v>
      </c>
      <c r="AD843" s="4" t="s">
        <v>47</v>
      </c>
      <c r="AE843" s="4" t="s">
        <v>47</v>
      </c>
      <c r="AF843" s="4" t="s">
        <v>47</v>
      </c>
      <c r="AG843" s="4" t="s">
        <v>47</v>
      </c>
      <c r="AH843" s="4" t="s">
        <v>47</v>
      </c>
      <c r="AI843" s="4" t="s">
        <v>47</v>
      </c>
      <c r="AJ843" s="4" t="s">
        <v>47</v>
      </c>
      <c r="AK843" s="4" t="s">
        <v>47</v>
      </c>
      <c r="AL843" s="4" t="s">
        <v>47</v>
      </c>
      <c r="AM843" s="4" t="s">
        <v>47</v>
      </c>
      <c r="AN843" s="4" t="s">
        <v>47</v>
      </c>
      <c r="AO843" s="4" t="s">
        <v>47</v>
      </c>
      <c r="AP843" s="4" t="s">
        <v>47</v>
      </c>
      <c r="AQ843" s="4" t="s">
        <v>47</v>
      </c>
      <c r="AR843" s="4" t="s">
        <v>47</v>
      </c>
    </row>
    <row r="844" spans="1:44" x14ac:dyDescent="0.2">
      <c r="A844" s="4" t="s">
        <v>114</v>
      </c>
      <c r="B844" s="4" t="s">
        <v>26</v>
      </c>
      <c r="C844">
        <v>6</v>
      </c>
      <c r="F844">
        <v>1</v>
      </c>
      <c r="I844" s="4" t="s">
        <v>7693</v>
      </c>
      <c r="J844" s="4" t="s">
        <v>7458</v>
      </c>
      <c r="K844" s="4" t="s">
        <v>7729</v>
      </c>
      <c r="L844" s="4" t="s">
        <v>7730</v>
      </c>
      <c r="M844">
        <v>16418</v>
      </c>
      <c r="N844" s="4" t="s">
        <v>7731</v>
      </c>
      <c r="O844" s="4" t="s">
        <v>7732</v>
      </c>
      <c r="P844" s="4" t="s">
        <v>811</v>
      </c>
      <c r="Q844" s="9">
        <v>21351</v>
      </c>
      <c r="R844" s="4" t="s">
        <v>728</v>
      </c>
      <c r="S844" s="4" t="s">
        <v>7733</v>
      </c>
      <c r="T844" s="4" t="s">
        <v>47</v>
      </c>
      <c r="U844" s="4" t="s">
        <v>116</v>
      </c>
      <c r="V844">
        <v>1958</v>
      </c>
      <c r="W844" s="4" t="s">
        <v>7734</v>
      </c>
      <c r="X844" s="4" t="s">
        <v>47</v>
      </c>
      <c r="Y844" s="4" t="s">
        <v>7735</v>
      </c>
      <c r="Z844" s="4" t="s">
        <v>47</v>
      </c>
      <c r="AA844" s="4" t="s">
        <v>47</v>
      </c>
      <c r="AB844" s="4" t="s">
        <v>47</v>
      </c>
      <c r="AC844" s="4" t="s">
        <v>47</v>
      </c>
      <c r="AD844" s="4" t="s">
        <v>7736</v>
      </c>
      <c r="AE844" s="4" t="s">
        <v>47</v>
      </c>
      <c r="AF844" s="4" t="s">
        <v>47</v>
      </c>
      <c r="AG844" s="4" t="s">
        <v>47</v>
      </c>
      <c r="AH844" s="4" t="s">
        <v>47</v>
      </c>
      <c r="AI844" s="4" t="s">
        <v>47</v>
      </c>
      <c r="AJ844" s="4" t="s">
        <v>47</v>
      </c>
      <c r="AK844" s="4" t="s">
        <v>47</v>
      </c>
      <c r="AL844" s="4" t="s">
        <v>47</v>
      </c>
      <c r="AM844" s="4" t="s">
        <v>47</v>
      </c>
      <c r="AN844" s="4" t="s">
        <v>47</v>
      </c>
      <c r="AO844" s="4" t="s">
        <v>47</v>
      </c>
      <c r="AP844" s="4" t="s">
        <v>47</v>
      </c>
      <c r="AQ844" s="4" t="s">
        <v>47</v>
      </c>
      <c r="AR844" s="4" t="s">
        <v>47</v>
      </c>
    </row>
    <row r="845" spans="1:44" x14ac:dyDescent="0.2">
      <c r="A845" s="4" t="s">
        <v>52</v>
      </c>
      <c r="B845" s="4" t="s">
        <v>173</v>
      </c>
      <c r="C845">
        <v>2</v>
      </c>
      <c r="F845">
        <v>2</v>
      </c>
      <c r="I845" s="4" t="s">
        <v>7497</v>
      </c>
      <c r="J845" s="4" t="s">
        <v>7708</v>
      </c>
      <c r="K845" s="4" t="s">
        <v>7737</v>
      </c>
      <c r="L845" s="4" t="s">
        <v>7738</v>
      </c>
      <c r="M845">
        <v>15872</v>
      </c>
      <c r="N845" s="4" t="s">
        <v>7739</v>
      </c>
      <c r="O845" s="4" t="s">
        <v>7740</v>
      </c>
      <c r="P845" s="4" t="s">
        <v>811</v>
      </c>
      <c r="Q845" s="9">
        <v>21351</v>
      </c>
      <c r="R845" s="4" t="s">
        <v>1487</v>
      </c>
      <c r="S845" s="4" t="s">
        <v>7741</v>
      </c>
      <c r="T845" s="4" t="s">
        <v>47</v>
      </c>
      <c r="U845" s="4" t="s">
        <v>116</v>
      </c>
      <c r="V845">
        <v>1958</v>
      </c>
      <c r="W845" s="4" t="s">
        <v>7742</v>
      </c>
      <c r="X845" s="4" t="s">
        <v>7743</v>
      </c>
      <c r="Y845" s="4" t="s">
        <v>7744</v>
      </c>
      <c r="Z845" s="4" t="s">
        <v>7745</v>
      </c>
      <c r="AA845" s="4" t="s">
        <v>47</v>
      </c>
      <c r="AB845" s="4" t="s">
        <v>47</v>
      </c>
      <c r="AC845" s="4" t="s">
        <v>47</v>
      </c>
      <c r="AD845" s="4" t="s">
        <v>47</v>
      </c>
      <c r="AE845" s="4" t="s">
        <v>47</v>
      </c>
      <c r="AF845" s="4" t="s">
        <v>47</v>
      </c>
      <c r="AG845" s="4" t="s">
        <v>47</v>
      </c>
      <c r="AH845" s="4" t="s">
        <v>47</v>
      </c>
      <c r="AI845" s="4" t="s">
        <v>47</v>
      </c>
      <c r="AJ845" s="4" t="s">
        <v>47</v>
      </c>
      <c r="AK845" s="4" t="s">
        <v>47</v>
      </c>
      <c r="AL845" s="4" t="s">
        <v>47</v>
      </c>
      <c r="AM845" s="4" t="s">
        <v>47</v>
      </c>
      <c r="AN845" s="4" t="s">
        <v>47</v>
      </c>
      <c r="AO845" s="4" t="s">
        <v>47</v>
      </c>
      <c r="AP845" s="4" t="s">
        <v>47</v>
      </c>
      <c r="AQ845" s="4" t="s">
        <v>47</v>
      </c>
      <c r="AR845" s="4" t="s">
        <v>47</v>
      </c>
    </row>
    <row r="846" spans="1:44" x14ac:dyDescent="0.2">
      <c r="A846" s="4" t="s">
        <v>12</v>
      </c>
      <c r="B846" s="4" t="s">
        <v>5211</v>
      </c>
      <c r="C846">
        <v>2</v>
      </c>
      <c r="F846">
        <v>0</v>
      </c>
      <c r="I846" s="4" t="s">
        <v>7363</v>
      </c>
      <c r="J846" s="4" t="s">
        <v>7407</v>
      </c>
      <c r="K846" s="4" t="s">
        <v>7050</v>
      </c>
      <c r="L846" s="4" t="s">
        <v>7489</v>
      </c>
      <c r="M846">
        <v>50928</v>
      </c>
      <c r="N846" s="4" t="s">
        <v>7647</v>
      </c>
      <c r="O846" s="4" t="s">
        <v>7746</v>
      </c>
      <c r="P846" s="4" t="s">
        <v>811</v>
      </c>
      <c r="Q846" s="9">
        <v>21351</v>
      </c>
      <c r="R846" s="4" t="s">
        <v>630</v>
      </c>
      <c r="S846" s="4" t="s">
        <v>7640</v>
      </c>
      <c r="T846" s="4" t="s">
        <v>47</v>
      </c>
      <c r="U846" s="4" t="s">
        <v>116</v>
      </c>
      <c r="V846">
        <v>1958</v>
      </c>
      <c r="W846" s="4" t="s">
        <v>7747</v>
      </c>
      <c r="X846" s="4" t="s">
        <v>47</v>
      </c>
      <c r="Y846" s="4" t="s">
        <v>7748</v>
      </c>
      <c r="Z846" s="4" t="s">
        <v>47</v>
      </c>
      <c r="AA846" s="4" t="s">
        <v>47</v>
      </c>
      <c r="AB846" s="4" t="s">
        <v>47</v>
      </c>
      <c r="AC846" s="4" t="s">
        <v>47</v>
      </c>
      <c r="AD846" s="4" t="s">
        <v>47</v>
      </c>
      <c r="AE846" s="4" t="s">
        <v>47</v>
      </c>
      <c r="AF846" s="4" t="s">
        <v>47</v>
      </c>
      <c r="AG846" s="4" t="s">
        <v>47</v>
      </c>
      <c r="AH846" s="4" t="s">
        <v>47</v>
      </c>
      <c r="AI846" s="4" t="s">
        <v>47</v>
      </c>
      <c r="AJ846" s="4" t="s">
        <v>47</v>
      </c>
      <c r="AK846" s="4" t="s">
        <v>47</v>
      </c>
      <c r="AL846" s="4" t="s">
        <v>47</v>
      </c>
      <c r="AM846" s="4" t="s">
        <v>47</v>
      </c>
      <c r="AN846" s="4" t="s">
        <v>47</v>
      </c>
      <c r="AO846" s="4" t="s">
        <v>47</v>
      </c>
      <c r="AP846" s="4" t="s">
        <v>47</v>
      </c>
      <c r="AQ846" s="4" t="s">
        <v>47</v>
      </c>
      <c r="AR846" s="4" t="s">
        <v>47</v>
      </c>
    </row>
    <row r="847" spans="1:44" x14ac:dyDescent="0.2">
      <c r="A847" s="4" t="s">
        <v>119</v>
      </c>
      <c r="B847" s="4" t="s">
        <v>106</v>
      </c>
      <c r="C847">
        <v>4</v>
      </c>
      <c r="F847">
        <v>0</v>
      </c>
      <c r="I847" s="4" t="s">
        <v>6531</v>
      </c>
      <c r="J847" s="4" t="s">
        <v>7749</v>
      </c>
      <c r="K847" s="4" t="s">
        <v>7750</v>
      </c>
      <c r="L847" s="4" t="s">
        <v>7518</v>
      </c>
      <c r="M847">
        <v>13300</v>
      </c>
      <c r="N847" s="4" t="s">
        <v>7751</v>
      </c>
      <c r="O847" s="4" t="s">
        <v>7752</v>
      </c>
      <c r="P847" s="4" t="s">
        <v>811</v>
      </c>
      <c r="Q847" s="9">
        <v>21351</v>
      </c>
      <c r="R847" s="4" t="s">
        <v>2300</v>
      </c>
      <c r="S847" s="4" t="s">
        <v>7753</v>
      </c>
      <c r="T847" s="4" t="s">
        <v>47</v>
      </c>
      <c r="U847" s="4" t="s">
        <v>116</v>
      </c>
      <c r="V847">
        <v>1958</v>
      </c>
      <c r="W847" s="4" t="s">
        <v>7754</v>
      </c>
      <c r="X847" s="4" t="s">
        <v>47</v>
      </c>
      <c r="Y847" s="4" t="s">
        <v>7755</v>
      </c>
      <c r="Z847" s="4" t="s">
        <v>47</v>
      </c>
      <c r="AA847" s="4" t="s">
        <v>47</v>
      </c>
      <c r="AB847" s="4" t="s">
        <v>47</v>
      </c>
      <c r="AC847" s="4" t="s">
        <v>47</v>
      </c>
      <c r="AD847" s="4" t="s">
        <v>47</v>
      </c>
      <c r="AE847" s="4" t="s">
        <v>47</v>
      </c>
      <c r="AF847" s="4" t="s">
        <v>47</v>
      </c>
      <c r="AG847" s="4" t="s">
        <v>47</v>
      </c>
      <c r="AH847" s="4" t="s">
        <v>47</v>
      </c>
      <c r="AI847" s="4" t="s">
        <v>47</v>
      </c>
      <c r="AJ847" s="4" t="s">
        <v>47</v>
      </c>
      <c r="AK847" s="4" t="s">
        <v>47</v>
      </c>
      <c r="AL847" s="4" t="s">
        <v>47</v>
      </c>
      <c r="AM847" s="4" t="s">
        <v>47</v>
      </c>
      <c r="AN847" s="4" t="s">
        <v>47</v>
      </c>
      <c r="AO847" s="4" t="s">
        <v>47</v>
      </c>
      <c r="AP847" s="4" t="s">
        <v>47</v>
      </c>
      <c r="AQ847" s="4" t="s">
        <v>47</v>
      </c>
      <c r="AR847" s="4" t="s">
        <v>47</v>
      </c>
    </row>
    <row r="848" spans="1:44" x14ac:dyDescent="0.2">
      <c r="A848" s="4" t="s">
        <v>87</v>
      </c>
      <c r="B848" s="4" t="s">
        <v>205</v>
      </c>
      <c r="C848">
        <v>2</v>
      </c>
      <c r="F848">
        <v>1</v>
      </c>
      <c r="I848" s="4" t="s">
        <v>7645</v>
      </c>
      <c r="J848" s="4" t="s">
        <v>7662</v>
      </c>
      <c r="K848" s="4" t="s">
        <v>7756</v>
      </c>
      <c r="L848" s="4" t="s">
        <v>7757</v>
      </c>
      <c r="M848">
        <v>13554</v>
      </c>
      <c r="N848" s="4" t="s">
        <v>7758</v>
      </c>
      <c r="O848" s="4" t="s">
        <v>7759</v>
      </c>
      <c r="P848" s="4" t="s">
        <v>811</v>
      </c>
      <c r="Q848" s="9">
        <v>21351</v>
      </c>
      <c r="R848" s="4" t="s">
        <v>617</v>
      </c>
      <c r="S848" s="4" t="s">
        <v>7650</v>
      </c>
      <c r="T848" s="4" t="s">
        <v>47</v>
      </c>
      <c r="U848" s="4" t="s">
        <v>116</v>
      </c>
      <c r="V848">
        <v>1958</v>
      </c>
      <c r="W848" s="4" t="s">
        <v>7760</v>
      </c>
      <c r="X848" s="4" t="s">
        <v>7761</v>
      </c>
      <c r="Y848" s="4" t="s">
        <v>7762</v>
      </c>
      <c r="Z848" s="4" t="s">
        <v>7763</v>
      </c>
      <c r="AA848" s="4" t="s">
        <v>47</v>
      </c>
      <c r="AB848" s="4" t="s">
        <v>47</v>
      </c>
      <c r="AC848" s="4" t="s">
        <v>47</v>
      </c>
      <c r="AD848" s="4" t="s">
        <v>47</v>
      </c>
      <c r="AE848" s="4" t="s">
        <v>47</v>
      </c>
      <c r="AF848" s="4" t="s">
        <v>47</v>
      </c>
      <c r="AG848" s="4" t="s">
        <v>47</v>
      </c>
      <c r="AH848" s="4" t="s">
        <v>47</v>
      </c>
      <c r="AI848" s="4" t="s">
        <v>47</v>
      </c>
      <c r="AJ848" s="4" t="s">
        <v>47</v>
      </c>
      <c r="AK848" s="4" t="s">
        <v>47</v>
      </c>
      <c r="AL848" s="4" t="s">
        <v>47</v>
      </c>
      <c r="AM848" s="4" t="s">
        <v>47</v>
      </c>
      <c r="AN848" s="4" t="s">
        <v>47</v>
      </c>
      <c r="AO848" s="4" t="s">
        <v>47</v>
      </c>
      <c r="AP848" s="4" t="s">
        <v>47</v>
      </c>
      <c r="AQ848" s="4" t="s">
        <v>47</v>
      </c>
      <c r="AR848" s="4" t="s">
        <v>47</v>
      </c>
    </row>
    <row r="849" spans="1:44" x14ac:dyDescent="0.2">
      <c r="A849" s="4" t="s">
        <v>116</v>
      </c>
      <c r="B849" s="4" t="s">
        <v>119</v>
      </c>
      <c r="C849">
        <v>2</v>
      </c>
      <c r="F849">
        <v>1</v>
      </c>
      <c r="I849" s="4" t="s">
        <v>7636</v>
      </c>
      <c r="J849" s="4" t="s">
        <v>7637</v>
      </c>
      <c r="K849" s="4" t="s">
        <v>6531</v>
      </c>
      <c r="L849" s="4" t="s">
        <v>7701</v>
      </c>
      <c r="M849">
        <v>38850</v>
      </c>
      <c r="N849" s="4" t="s">
        <v>7638</v>
      </c>
      <c r="O849" s="4" t="s">
        <v>7764</v>
      </c>
      <c r="P849" s="4" t="s">
        <v>811</v>
      </c>
      <c r="Q849" s="9">
        <v>21348</v>
      </c>
      <c r="R849" s="4" t="s">
        <v>617</v>
      </c>
      <c r="S849" s="4" t="s">
        <v>7765</v>
      </c>
      <c r="T849" s="4" t="s">
        <v>47</v>
      </c>
      <c r="U849" s="4" t="s">
        <v>116</v>
      </c>
      <c r="V849">
        <v>1958</v>
      </c>
      <c r="W849" s="4" t="s">
        <v>7766</v>
      </c>
      <c r="X849" s="4" t="s">
        <v>7767</v>
      </c>
      <c r="Y849" s="4" t="s">
        <v>7768</v>
      </c>
      <c r="Z849" s="4" t="s">
        <v>7769</v>
      </c>
      <c r="AA849" s="4" t="s">
        <v>47</v>
      </c>
      <c r="AB849" s="4" t="s">
        <v>47</v>
      </c>
      <c r="AC849" s="4" t="s">
        <v>47</v>
      </c>
      <c r="AD849" s="4" t="s">
        <v>47</v>
      </c>
      <c r="AE849" s="4" t="s">
        <v>47</v>
      </c>
      <c r="AF849" s="4" t="s">
        <v>47</v>
      </c>
      <c r="AG849" s="4" t="s">
        <v>47</v>
      </c>
      <c r="AH849" s="4" t="s">
        <v>47</v>
      </c>
      <c r="AI849" s="4" t="s">
        <v>47</v>
      </c>
      <c r="AJ849" s="4" t="s">
        <v>47</v>
      </c>
      <c r="AK849" s="4" t="s">
        <v>47</v>
      </c>
      <c r="AL849" s="4" t="s">
        <v>47</v>
      </c>
      <c r="AM849" s="4" t="s">
        <v>47</v>
      </c>
      <c r="AN849" s="4" t="s">
        <v>47</v>
      </c>
      <c r="AO849" s="4" t="s">
        <v>47</v>
      </c>
      <c r="AP849" s="4" t="s">
        <v>47</v>
      </c>
      <c r="AQ849" s="4" t="s">
        <v>47</v>
      </c>
      <c r="AR849" s="4" t="s">
        <v>47</v>
      </c>
    </row>
    <row r="850" spans="1:44" x14ac:dyDescent="0.2">
      <c r="A850" s="4" t="s">
        <v>5211</v>
      </c>
      <c r="B850" s="4" t="s">
        <v>173</v>
      </c>
      <c r="C850">
        <v>2</v>
      </c>
      <c r="F850">
        <v>0</v>
      </c>
      <c r="I850" s="4" t="s">
        <v>7050</v>
      </c>
      <c r="J850" s="4" t="s">
        <v>7688</v>
      </c>
      <c r="K850" s="4" t="s">
        <v>7737</v>
      </c>
      <c r="L850" s="4" t="s">
        <v>7738</v>
      </c>
      <c r="M850">
        <v>21239</v>
      </c>
      <c r="N850" s="4" t="s">
        <v>7739</v>
      </c>
      <c r="O850" s="4" t="s">
        <v>7770</v>
      </c>
      <c r="P850" s="4" t="s">
        <v>811</v>
      </c>
      <c r="Q850" s="9">
        <v>21347</v>
      </c>
      <c r="R850" s="4" t="s">
        <v>630</v>
      </c>
      <c r="S850" s="4" t="s">
        <v>7771</v>
      </c>
      <c r="T850" s="4" t="s">
        <v>47</v>
      </c>
      <c r="U850" s="4" t="s">
        <v>116</v>
      </c>
      <c r="V850">
        <v>1958</v>
      </c>
      <c r="W850" s="4" t="s">
        <v>7772</v>
      </c>
      <c r="X850" s="4" t="s">
        <v>47</v>
      </c>
      <c r="Y850" s="4" t="s">
        <v>7773</v>
      </c>
      <c r="Z850" s="4" t="s">
        <v>47</v>
      </c>
      <c r="AA850" s="4" t="s">
        <v>47</v>
      </c>
      <c r="AB850" s="4" t="s">
        <v>47</v>
      </c>
      <c r="AC850" s="4" t="s">
        <v>47</v>
      </c>
      <c r="AD850" s="4" t="s">
        <v>47</v>
      </c>
      <c r="AE850" s="4" t="s">
        <v>47</v>
      </c>
      <c r="AF850" s="4" t="s">
        <v>47</v>
      </c>
      <c r="AG850" s="4" t="s">
        <v>47</v>
      </c>
      <c r="AH850" s="4" t="s">
        <v>47</v>
      </c>
      <c r="AI850" s="4" t="s">
        <v>47</v>
      </c>
      <c r="AJ850" s="4" t="s">
        <v>47</v>
      </c>
      <c r="AK850" s="4" t="s">
        <v>47</v>
      </c>
      <c r="AL850" s="4" t="s">
        <v>47</v>
      </c>
      <c r="AM850" s="4" t="s">
        <v>47</v>
      </c>
      <c r="AN850" s="4" t="s">
        <v>47</v>
      </c>
      <c r="AO850" s="4" t="s">
        <v>47</v>
      </c>
      <c r="AP850" s="4" t="s">
        <v>47</v>
      </c>
      <c r="AQ850" s="4" t="s">
        <v>47</v>
      </c>
      <c r="AR850" s="4" t="s">
        <v>47</v>
      </c>
    </row>
    <row r="851" spans="1:44" x14ac:dyDescent="0.2">
      <c r="A851" s="4" t="s">
        <v>104</v>
      </c>
      <c r="B851" s="4" t="s">
        <v>114</v>
      </c>
      <c r="C851">
        <v>2</v>
      </c>
      <c r="F851">
        <v>2</v>
      </c>
      <c r="I851" s="4" t="s">
        <v>7509</v>
      </c>
      <c r="J851" s="4" t="s">
        <v>7510</v>
      </c>
      <c r="K851" s="4" t="s">
        <v>7693</v>
      </c>
      <c r="L851" s="4" t="s">
        <v>7458</v>
      </c>
      <c r="M851">
        <v>25000</v>
      </c>
      <c r="N851" s="4" t="s">
        <v>7731</v>
      </c>
      <c r="O851" s="4" t="s">
        <v>7732</v>
      </c>
      <c r="P851" s="4" t="s">
        <v>811</v>
      </c>
      <c r="Q851" s="9">
        <v>21347</v>
      </c>
      <c r="R851" s="4" t="s">
        <v>1487</v>
      </c>
      <c r="S851" s="4" t="s">
        <v>7733</v>
      </c>
      <c r="T851" s="4" t="s">
        <v>47</v>
      </c>
      <c r="U851" s="4" t="s">
        <v>116</v>
      </c>
      <c r="V851">
        <v>1958</v>
      </c>
      <c r="W851" s="4" t="s">
        <v>7774</v>
      </c>
      <c r="X851" s="4" t="s">
        <v>7775</v>
      </c>
      <c r="Y851" s="4" t="s">
        <v>7776</v>
      </c>
      <c r="Z851" s="4" t="s">
        <v>7777</v>
      </c>
      <c r="AA851" s="4" t="s">
        <v>47</v>
      </c>
      <c r="AB851" s="4" t="s">
        <v>47</v>
      </c>
      <c r="AC851" s="4" t="s">
        <v>47</v>
      </c>
      <c r="AD851" s="4" t="s">
        <v>7778</v>
      </c>
      <c r="AE851" s="4" t="s">
        <v>47</v>
      </c>
      <c r="AF851" s="4" t="s">
        <v>47</v>
      </c>
      <c r="AG851" s="4" t="s">
        <v>47</v>
      </c>
      <c r="AH851" s="4" t="s">
        <v>47</v>
      </c>
      <c r="AI851" s="4" t="s">
        <v>47</v>
      </c>
      <c r="AJ851" s="4" t="s">
        <v>47</v>
      </c>
      <c r="AK851" s="4" t="s">
        <v>47</v>
      </c>
      <c r="AL851" s="4" t="s">
        <v>47</v>
      </c>
      <c r="AM851" s="4" t="s">
        <v>47</v>
      </c>
      <c r="AN851" s="4" t="s">
        <v>47</v>
      </c>
      <c r="AO851" s="4" t="s">
        <v>47</v>
      </c>
      <c r="AP851" s="4" t="s">
        <v>47</v>
      </c>
      <c r="AQ851" s="4" t="s">
        <v>47</v>
      </c>
      <c r="AR851" s="4" t="s">
        <v>47</v>
      </c>
    </row>
    <row r="852" spans="1:44" x14ac:dyDescent="0.2">
      <c r="A852" s="4" t="s">
        <v>26</v>
      </c>
      <c r="B852" s="4" t="s">
        <v>258</v>
      </c>
      <c r="C852">
        <v>3</v>
      </c>
      <c r="F852">
        <v>1</v>
      </c>
      <c r="I852" s="4" t="s">
        <v>7729</v>
      </c>
      <c r="J852" s="4" t="s">
        <v>7730</v>
      </c>
      <c r="K852" s="4" t="s">
        <v>7669</v>
      </c>
      <c r="L852" s="4" t="s">
        <v>7670</v>
      </c>
      <c r="M852">
        <v>14174</v>
      </c>
      <c r="N852" s="4" t="s">
        <v>7779</v>
      </c>
      <c r="O852" s="4" t="s">
        <v>7780</v>
      </c>
      <c r="P852" s="4" t="s">
        <v>811</v>
      </c>
      <c r="Q852" s="9">
        <v>21347</v>
      </c>
      <c r="R852" s="4" t="s">
        <v>770</v>
      </c>
      <c r="S852" s="4" t="s">
        <v>7781</v>
      </c>
      <c r="T852" s="4" t="s">
        <v>47</v>
      </c>
      <c r="U852" s="4" t="s">
        <v>116</v>
      </c>
      <c r="V852">
        <v>1958</v>
      </c>
      <c r="W852" s="4" t="s">
        <v>7782</v>
      </c>
      <c r="X852" s="4" t="s">
        <v>7783</v>
      </c>
      <c r="Y852" s="4" t="s">
        <v>7784</v>
      </c>
      <c r="Z852" s="4" t="s">
        <v>7785</v>
      </c>
      <c r="AA852" s="4" t="s">
        <v>47</v>
      </c>
      <c r="AB852" s="4" t="s">
        <v>47</v>
      </c>
      <c r="AC852" s="4" t="s">
        <v>7786</v>
      </c>
      <c r="AD852" s="4" t="s">
        <v>47</v>
      </c>
      <c r="AE852" s="4" t="s">
        <v>47</v>
      </c>
      <c r="AF852" s="4" t="s">
        <v>47</v>
      </c>
      <c r="AG852" s="4" t="s">
        <v>47</v>
      </c>
      <c r="AH852" s="4" t="s">
        <v>47</v>
      </c>
      <c r="AI852" s="4" t="s">
        <v>47</v>
      </c>
      <c r="AJ852" s="4" t="s">
        <v>47</v>
      </c>
      <c r="AK852" s="4" t="s">
        <v>47</v>
      </c>
      <c r="AL852" s="4" t="s">
        <v>47</v>
      </c>
      <c r="AM852" s="4" t="s">
        <v>47</v>
      </c>
      <c r="AN852" s="4" t="s">
        <v>47</v>
      </c>
      <c r="AO852" s="4" t="s">
        <v>47</v>
      </c>
      <c r="AP852" s="4" t="s">
        <v>47</v>
      </c>
      <c r="AQ852" s="4" t="s">
        <v>47</v>
      </c>
      <c r="AR852" s="4" t="s">
        <v>47</v>
      </c>
    </row>
    <row r="853" spans="1:44" x14ac:dyDescent="0.2">
      <c r="A853" s="4" t="s">
        <v>4991</v>
      </c>
      <c r="B853" s="4" t="s">
        <v>87</v>
      </c>
      <c r="C853">
        <v>3</v>
      </c>
      <c r="F853">
        <v>2</v>
      </c>
      <c r="I853" s="4" t="s">
        <v>7675</v>
      </c>
      <c r="J853" s="4" t="s">
        <v>7676</v>
      </c>
      <c r="K853" s="4" t="s">
        <v>7645</v>
      </c>
      <c r="L853" s="4" t="s">
        <v>7787</v>
      </c>
      <c r="M853">
        <v>12217</v>
      </c>
      <c r="N853" s="4" t="s">
        <v>7788</v>
      </c>
      <c r="O853" s="4" t="s">
        <v>7789</v>
      </c>
      <c r="P853" s="4" t="s">
        <v>811</v>
      </c>
      <c r="Q853" s="9">
        <v>21347</v>
      </c>
      <c r="R853" s="4" t="s">
        <v>1130</v>
      </c>
      <c r="S853" s="4" t="s">
        <v>7664</v>
      </c>
      <c r="T853" s="4" t="s">
        <v>47</v>
      </c>
      <c r="U853" s="4" t="s">
        <v>116</v>
      </c>
      <c r="V853">
        <v>1958</v>
      </c>
      <c r="W853" s="4" t="s">
        <v>7790</v>
      </c>
      <c r="X853" s="4" t="s">
        <v>7791</v>
      </c>
      <c r="Y853" s="4" t="s">
        <v>7792</v>
      </c>
      <c r="Z853" s="4" t="s">
        <v>7793</v>
      </c>
      <c r="AA853" s="4" t="s">
        <v>47</v>
      </c>
      <c r="AB853" s="4" t="s">
        <v>47</v>
      </c>
      <c r="AC853" s="4" t="s">
        <v>47</v>
      </c>
      <c r="AD853" s="4" t="s">
        <v>47</v>
      </c>
      <c r="AE853" s="4" t="s">
        <v>47</v>
      </c>
      <c r="AF853" s="4" t="s">
        <v>47</v>
      </c>
      <c r="AG853" s="4" t="s">
        <v>47</v>
      </c>
      <c r="AH853" s="4" t="s">
        <v>47</v>
      </c>
      <c r="AI853" s="4" t="s">
        <v>47</v>
      </c>
      <c r="AJ853" s="4" t="s">
        <v>47</v>
      </c>
      <c r="AK853" s="4" t="s">
        <v>47</v>
      </c>
      <c r="AL853" s="4" t="s">
        <v>47</v>
      </c>
      <c r="AM853" s="4" t="s">
        <v>47</v>
      </c>
      <c r="AN853" s="4" t="s">
        <v>47</v>
      </c>
      <c r="AO853" s="4" t="s">
        <v>47</v>
      </c>
      <c r="AP853" s="4" t="s">
        <v>47</v>
      </c>
      <c r="AQ853" s="4" t="s">
        <v>47</v>
      </c>
      <c r="AR853" s="4" t="s">
        <v>47</v>
      </c>
    </row>
    <row r="854" spans="1:44" x14ac:dyDescent="0.2">
      <c r="A854" s="4" t="s">
        <v>202</v>
      </c>
      <c r="B854" s="4" t="s">
        <v>205</v>
      </c>
      <c r="C854">
        <v>3</v>
      </c>
      <c r="F854">
        <v>2</v>
      </c>
      <c r="I854" s="4" t="s">
        <v>7715</v>
      </c>
      <c r="J854" s="4" t="s">
        <v>7716</v>
      </c>
      <c r="K854" s="4" t="s">
        <v>7756</v>
      </c>
      <c r="L854" s="4" t="s">
        <v>7794</v>
      </c>
      <c r="M854">
        <v>11665</v>
      </c>
      <c r="N854" s="4" t="s">
        <v>7671</v>
      </c>
      <c r="O854" s="4" t="s">
        <v>7795</v>
      </c>
      <c r="P854" s="4" t="s">
        <v>811</v>
      </c>
      <c r="Q854" s="9">
        <v>21347</v>
      </c>
      <c r="R854" s="4" t="s">
        <v>1130</v>
      </c>
      <c r="S854" s="4" t="s">
        <v>7796</v>
      </c>
      <c r="T854" s="4" t="s">
        <v>47</v>
      </c>
      <c r="U854" s="4" t="s">
        <v>116</v>
      </c>
      <c r="V854">
        <v>1958</v>
      </c>
      <c r="W854" s="4" t="s">
        <v>7797</v>
      </c>
      <c r="X854" s="4" t="s">
        <v>7798</v>
      </c>
      <c r="Y854" s="4" t="s">
        <v>7799</v>
      </c>
      <c r="Z854" s="4" t="s">
        <v>7800</v>
      </c>
      <c r="AA854" s="4" t="s">
        <v>47</v>
      </c>
      <c r="AB854" s="4" t="s">
        <v>47</v>
      </c>
      <c r="AC854" s="4" t="s">
        <v>47</v>
      </c>
      <c r="AD854" s="4" t="s">
        <v>47</v>
      </c>
      <c r="AE854" s="4" t="s">
        <v>47</v>
      </c>
      <c r="AF854" s="4" t="s">
        <v>47</v>
      </c>
      <c r="AG854" s="4" t="s">
        <v>47</v>
      </c>
      <c r="AH854" s="4" t="s">
        <v>47</v>
      </c>
      <c r="AI854" s="4" t="s">
        <v>47</v>
      </c>
      <c r="AJ854" s="4" t="s">
        <v>47</v>
      </c>
      <c r="AK854" s="4" t="s">
        <v>47</v>
      </c>
      <c r="AL854" s="4" t="s">
        <v>47</v>
      </c>
      <c r="AM854" s="4" t="s">
        <v>47</v>
      </c>
      <c r="AN854" s="4" t="s">
        <v>47</v>
      </c>
      <c r="AO854" s="4" t="s">
        <v>47</v>
      </c>
      <c r="AP854" s="4" t="s">
        <v>47</v>
      </c>
      <c r="AQ854" s="4" t="s">
        <v>47</v>
      </c>
      <c r="AR854" s="4" t="s">
        <v>47</v>
      </c>
    </row>
    <row r="855" spans="1:44" x14ac:dyDescent="0.2">
      <c r="A855" s="4" t="s">
        <v>12</v>
      </c>
      <c r="B855" s="4" t="s">
        <v>52</v>
      </c>
      <c r="C855">
        <v>0</v>
      </c>
      <c r="F855">
        <v>0</v>
      </c>
      <c r="I855" s="4" t="s">
        <v>7363</v>
      </c>
      <c r="J855" s="4" t="s">
        <v>7407</v>
      </c>
      <c r="K855" s="4" t="s">
        <v>7497</v>
      </c>
      <c r="L855" s="4" t="s">
        <v>7708</v>
      </c>
      <c r="M855">
        <v>40895</v>
      </c>
      <c r="N855" s="4" t="s">
        <v>7647</v>
      </c>
      <c r="O855" s="4" t="s">
        <v>7801</v>
      </c>
      <c r="P855" s="4" t="s">
        <v>811</v>
      </c>
      <c r="Q855" s="9">
        <v>21347</v>
      </c>
      <c r="R855" s="4" t="s">
        <v>869</v>
      </c>
      <c r="S855" s="4" t="s">
        <v>7615</v>
      </c>
      <c r="T855" s="4" t="s">
        <v>47</v>
      </c>
      <c r="U855" s="4" t="s">
        <v>116</v>
      </c>
      <c r="V855">
        <v>1958</v>
      </c>
      <c r="W855" s="4" t="s">
        <v>47</v>
      </c>
      <c r="X855" s="4" t="s">
        <v>47</v>
      </c>
      <c r="Y855" s="4" t="s">
        <v>47</v>
      </c>
      <c r="Z855" s="4" t="s">
        <v>47</v>
      </c>
      <c r="AA855" s="4" t="s">
        <v>47</v>
      </c>
      <c r="AB855" s="4" t="s">
        <v>47</v>
      </c>
      <c r="AC855" s="4" t="s">
        <v>47</v>
      </c>
      <c r="AD855" s="4" t="s">
        <v>47</v>
      </c>
      <c r="AE855" s="4" t="s">
        <v>47</v>
      </c>
      <c r="AF855" s="4" t="s">
        <v>47</v>
      </c>
      <c r="AG855" s="4" t="s">
        <v>47</v>
      </c>
      <c r="AH855" s="4" t="s">
        <v>47</v>
      </c>
      <c r="AI855" s="4" t="s">
        <v>47</v>
      </c>
      <c r="AJ855" s="4" t="s">
        <v>47</v>
      </c>
      <c r="AK855" s="4" t="s">
        <v>47</v>
      </c>
      <c r="AL855" s="4" t="s">
        <v>47</v>
      </c>
      <c r="AM855" s="4" t="s">
        <v>47</v>
      </c>
      <c r="AN855" s="4" t="s">
        <v>47</v>
      </c>
      <c r="AO855" s="4" t="s">
        <v>47</v>
      </c>
      <c r="AP855" s="4" t="s">
        <v>47</v>
      </c>
      <c r="AQ855" s="4" t="s">
        <v>47</v>
      </c>
      <c r="AR855" s="4" t="s">
        <v>47</v>
      </c>
    </row>
    <row r="856" spans="1:44" x14ac:dyDescent="0.2">
      <c r="A856" s="4" t="s">
        <v>106</v>
      </c>
      <c r="B856" s="4" t="s">
        <v>197</v>
      </c>
      <c r="C856">
        <v>1</v>
      </c>
      <c r="F856">
        <v>1</v>
      </c>
      <c r="I856" s="4" t="s">
        <v>7750</v>
      </c>
      <c r="J856" s="4" t="s">
        <v>7518</v>
      </c>
      <c r="K856" s="4" t="s">
        <v>7682</v>
      </c>
      <c r="L856" s="4" t="s">
        <v>7683</v>
      </c>
      <c r="M856">
        <v>15150</v>
      </c>
      <c r="N856" s="4" t="s">
        <v>7638</v>
      </c>
      <c r="O856" s="4" t="s">
        <v>7802</v>
      </c>
      <c r="P856" s="4" t="s">
        <v>811</v>
      </c>
      <c r="Q856" s="9">
        <v>21347</v>
      </c>
      <c r="R856" s="4" t="s">
        <v>1046</v>
      </c>
      <c r="S856" s="4" t="s">
        <v>7803</v>
      </c>
      <c r="T856" s="4" t="s">
        <v>47</v>
      </c>
      <c r="U856" s="4" t="s">
        <v>116</v>
      </c>
      <c r="V856">
        <v>1958</v>
      </c>
      <c r="W856" s="4" t="s">
        <v>7804</v>
      </c>
      <c r="X856" s="4" t="s">
        <v>7805</v>
      </c>
      <c r="Y856" s="4" t="s">
        <v>7806</v>
      </c>
      <c r="Z856" s="4" t="s">
        <v>7807</v>
      </c>
      <c r="AA856" s="4" t="s">
        <v>47</v>
      </c>
      <c r="AB856" s="4" t="s">
        <v>47</v>
      </c>
      <c r="AC856" s="4" t="s">
        <v>47</v>
      </c>
      <c r="AD856" s="4" t="s">
        <v>47</v>
      </c>
      <c r="AE856" s="4" t="s">
        <v>47</v>
      </c>
      <c r="AF856" s="4" t="s">
        <v>47</v>
      </c>
      <c r="AG856" s="4" t="s">
        <v>47</v>
      </c>
      <c r="AH856" s="4" t="s">
        <v>47</v>
      </c>
      <c r="AI856" s="4" t="s">
        <v>47</v>
      </c>
      <c r="AJ856" s="4" t="s">
        <v>47</v>
      </c>
      <c r="AK856" s="4" t="s">
        <v>47</v>
      </c>
      <c r="AL856" s="4" t="s">
        <v>47</v>
      </c>
      <c r="AM856" s="4" t="s">
        <v>47</v>
      </c>
      <c r="AN856" s="4" t="s">
        <v>47</v>
      </c>
      <c r="AO856" s="4" t="s">
        <v>47</v>
      </c>
      <c r="AP856" s="4" t="s">
        <v>47</v>
      </c>
      <c r="AQ856" s="4" t="s">
        <v>47</v>
      </c>
      <c r="AR856" s="4" t="s">
        <v>47</v>
      </c>
    </row>
    <row r="857" spans="1:44" x14ac:dyDescent="0.2">
      <c r="A857" s="4" t="s">
        <v>116</v>
      </c>
      <c r="B857" s="4" t="s">
        <v>106</v>
      </c>
      <c r="C857">
        <v>3</v>
      </c>
      <c r="F857">
        <v>0</v>
      </c>
      <c r="I857" s="4" t="s">
        <v>7636</v>
      </c>
      <c r="J857" s="4" t="s">
        <v>7637</v>
      </c>
      <c r="K857" s="4" t="s">
        <v>7750</v>
      </c>
      <c r="L857" s="4" t="s">
        <v>7518</v>
      </c>
      <c r="M857">
        <v>34107</v>
      </c>
      <c r="N857" s="4" t="s">
        <v>7638</v>
      </c>
      <c r="O857" s="4" t="s">
        <v>7808</v>
      </c>
      <c r="P857" s="4" t="s">
        <v>811</v>
      </c>
      <c r="Q857" s="9">
        <v>21344</v>
      </c>
      <c r="R857" s="4" t="s">
        <v>638</v>
      </c>
      <c r="S857" s="4" t="s">
        <v>7461</v>
      </c>
      <c r="T857" s="4" t="s">
        <v>47</v>
      </c>
      <c r="U857" s="4" t="s">
        <v>116</v>
      </c>
      <c r="V857">
        <v>1958</v>
      </c>
      <c r="W857" s="4" t="s">
        <v>7809</v>
      </c>
      <c r="X857" s="4" t="s">
        <v>47</v>
      </c>
      <c r="Y857" s="4" t="s">
        <v>7810</v>
      </c>
      <c r="Z857" s="4" t="s">
        <v>47</v>
      </c>
      <c r="AA857" s="4" t="s">
        <v>47</v>
      </c>
      <c r="AB857" s="4" t="s">
        <v>47</v>
      </c>
      <c r="AC857" s="4" t="s">
        <v>7811</v>
      </c>
      <c r="AD857" s="4" t="s">
        <v>47</v>
      </c>
      <c r="AE857" s="4" t="s">
        <v>47</v>
      </c>
      <c r="AF857" s="4" t="s">
        <v>47</v>
      </c>
      <c r="AG857" s="4" t="s">
        <v>47</v>
      </c>
      <c r="AH857" s="4" t="s">
        <v>47</v>
      </c>
      <c r="AI857" s="4" t="s">
        <v>47</v>
      </c>
      <c r="AJ857" s="4" t="s">
        <v>47</v>
      </c>
      <c r="AK857" s="4" t="s">
        <v>47</v>
      </c>
      <c r="AL857" s="4" t="s">
        <v>47</v>
      </c>
      <c r="AM857" s="4" t="s">
        <v>47</v>
      </c>
      <c r="AN857" s="4" t="s">
        <v>47</v>
      </c>
      <c r="AO857" s="4" t="s">
        <v>47</v>
      </c>
      <c r="AP857" s="4" t="s">
        <v>47</v>
      </c>
      <c r="AQ857" s="4" t="s">
        <v>47</v>
      </c>
      <c r="AR857" s="4" t="s">
        <v>47</v>
      </c>
    </row>
    <row r="858" spans="1:44" x14ac:dyDescent="0.2">
      <c r="A858" s="4" t="s">
        <v>258</v>
      </c>
      <c r="B858" s="4" t="s">
        <v>114</v>
      </c>
      <c r="C858">
        <v>1</v>
      </c>
      <c r="F858">
        <v>0</v>
      </c>
      <c r="I858" s="4" t="s">
        <v>7669</v>
      </c>
      <c r="J858" s="4" t="s">
        <v>7670</v>
      </c>
      <c r="K858" s="4" t="s">
        <v>7693</v>
      </c>
      <c r="L858" s="4" t="s">
        <v>7458</v>
      </c>
      <c r="M858">
        <v>10647</v>
      </c>
      <c r="N858" s="4" t="s">
        <v>7779</v>
      </c>
      <c r="O858" s="4" t="s">
        <v>7812</v>
      </c>
      <c r="P858" s="4" t="s">
        <v>811</v>
      </c>
      <c r="Q858" s="9">
        <v>21344</v>
      </c>
      <c r="R858" s="4" t="s">
        <v>652</v>
      </c>
      <c r="S858" s="4" t="s">
        <v>7685</v>
      </c>
      <c r="T858" s="4" t="s">
        <v>47</v>
      </c>
      <c r="U858" s="4" t="s">
        <v>116</v>
      </c>
      <c r="V858">
        <v>1958</v>
      </c>
      <c r="W858" s="4" t="s">
        <v>7813</v>
      </c>
      <c r="X858" s="4" t="s">
        <v>47</v>
      </c>
      <c r="Y858" s="4" t="s">
        <v>7814</v>
      </c>
      <c r="Z858" s="4" t="s">
        <v>47</v>
      </c>
      <c r="AA858" s="4" t="s">
        <v>47</v>
      </c>
      <c r="AB858" s="4" t="s">
        <v>47</v>
      </c>
      <c r="AC858" s="4" t="s">
        <v>47</v>
      </c>
      <c r="AD858" s="4" t="s">
        <v>47</v>
      </c>
      <c r="AE858" s="4" t="s">
        <v>47</v>
      </c>
      <c r="AF858" s="4" t="s">
        <v>47</v>
      </c>
      <c r="AG858" s="4" t="s">
        <v>47</v>
      </c>
      <c r="AH858" s="4" t="s">
        <v>47</v>
      </c>
      <c r="AI858" s="4" t="s">
        <v>47</v>
      </c>
      <c r="AJ858" s="4" t="s">
        <v>47</v>
      </c>
      <c r="AK858" s="4" t="s">
        <v>47</v>
      </c>
      <c r="AL858" s="4" t="s">
        <v>47</v>
      </c>
      <c r="AM858" s="4" t="s">
        <v>47</v>
      </c>
      <c r="AN858" s="4" t="s">
        <v>47</v>
      </c>
      <c r="AO858" s="4" t="s">
        <v>47</v>
      </c>
      <c r="AP858" s="4" t="s">
        <v>47</v>
      </c>
      <c r="AQ858" s="4" t="s">
        <v>47</v>
      </c>
      <c r="AR858" s="4" t="s">
        <v>47</v>
      </c>
    </row>
    <row r="859" spans="1:44" x14ac:dyDescent="0.2">
      <c r="A859" s="4" t="s">
        <v>119</v>
      </c>
      <c r="B859" s="4" t="s">
        <v>197</v>
      </c>
      <c r="C859">
        <v>1</v>
      </c>
      <c r="F859">
        <v>1</v>
      </c>
      <c r="I859" s="4" t="s">
        <v>6531</v>
      </c>
      <c r="J859" s="4" t="s">
        <v>7749</v>
      </c>
      <c r="K859" s="4" t="s">
        <v>7682</v>
      </c>
      <c r="L859" s="4" t="s">
        <v>7683</v>
      </c>
      <c r="M859">
        <v>15343</v>
      </c>
      <c r="N859" s="4" t="s">
        <v>7751</v>
      </c>
      <c r="O859" s="4" t="s">
        <v>7815</v>
      </c>
      <c r="P859" s="4" t="s">
        <v>811</v>
      </c>
      <c r="Q859" s="9">
        <v>21344</v>
      </c>
      <c r="R859" s="4" t="s">
        <v>1046</v>
      </c>
      <c r="S859" s="4" t="s">
        <v>7386</v>
      </c>
      <c r="T859" s="4" t="s">
        <v>47</v>
      </c>
      <c r="U859" s="4" t="s">
        <v>116</v>
      </c>
      <c r="V859">
        <v>1958</v>
      </c>
      <c r="W859" s="4" t="s">
        <v>7816</v>
      </c>
      <c r="X859" s="4" t="s">
        <v>7817</v>
      </c>
      <c r="Y859" s="4" t="s">
        <v>7818</v>
      </c>
      <c r="Z859" s="4" t="s">
        <v>7819</v>
      </c>
      <c r="AA859" s="4" t="s">
        <v>47</v>
      </c>
      <c r="AB859" s="4" t="s">
        <v>47</v>
      </c>
      <c r="AC859" s="4" t="s">
        <v>47</v>
      </c>
      <c r="AD859" s="4" t="s">
        <v>47</v>
      </c>
      <c r="AE859" s="4" t="s">
        <v>47</v>
      </c>
      <c r="AF859" s="4" t="s">
        <v>47</v>
      </c>
      <c r="AG859" s="4" t="s">
        <v>47</v>
      </c>
      <c r="AH859" s="4" t="s">
        <v>47</v>
      </c>
      <c r="AI859" s="4" t="s">
        <v>47</v>
      </c>
      <c r="AJ859" s="4" t="s">
        <v>47</v>
      </c>
      <c r="AK859" s="4" t="s">
        <v>47</v>
      </c>
      <c r="AL859" s="4" t="s">
        <v>47</v>
      </c>
      <c r="AM859" s="4" t="s">
        <v>47</v>
      </c>
      <c r="AN859" s="4" t="s">
        <v>47</v>
      </c>
      <c r="AO859" s="4" t="s">
        <v>47</v>
      </c>
      <c r="AP859" s="4" t="s">
        <v>47</v>
      </c>
      <c r="AQ859" s="4" t="s">
        <v>47</v>
      </c>
      <c r="AR859" s="4" t="s">
        <v>47</v>
      </c>
    </row>
    <row r="860" spans="1:44" x14ac:dyDescent="0.2">
      <c r="A860" s="4" t="s">
        <v>4991</v>
      </c>
      <c r="B860" s="4" t="s">
        <v>205</v>
      </c>
      <c r="C860">
        <v>1</v>
      </c>
      <c r="F860">
        <v>1</v>
      </c>
      <c r="I860" s="4" t="s">
        <v>7675</v>
      </c>
      <c r="J860" s="4" t="s">
        <v>7676</v>
      </c>
      <c r="K860" s="4" t="s">
        <v>7756</v>
      </c>
      <c r="L860" s="4" t="s">
        <v>7794</v>
      </c>
      <c r="M860">
        <v>9591</v>
      </c>
      <c r="N860" s="4" t="s">
        <v>7788</v>
      </c>
      <c r="O860" s="4" t="s">
        <v>7820</v>
      </c>
      <c r="P860" s="4" t="s">
        <v>811</v>
      </c>
      <c r="Q860" s="9">
        <v>21344</v>
      </c>
      <c r="R860" s="4" t="s">
        <v>1046</v>
      </c>
      <c r="S860" s="4" t="s">
        <v>7679</v>
      </c>
      <c r="T860" s="4" t="s">
        <v>47</v>
      </c>
      <c r="U860" s="4" t="s">
        <v>116</v>
      </c>
      <c r="V860">
        <v>1958</v>
      </c>
      <c r="W860" s="4" t="s">
        <v>7821</v>
      </c>
      <c r="X860" s="4" t="s">
        <v>7822</v>
      </c>
      <c r="Y860" s="4" t="s">
        <v>7823</v>
      </c>
      <c r="Z860" s="4" t="s">
        <v>7824</v>
      </c>
      <c r="AA860" s="4" t="s">
        <v>47</v>
      </c>
      <c r="AB860" s="4" t="s">
        <v>47</v>
      </c>
      <c r="AC860" s="4" t="s">
        <v>47</v>
      </c>
      <c r="AD860" s="4" t="s">
        <v>47</v>
      </c>
      <c r="AE860" s="4" t="s">
        <v>47</v>
      </c>
      <c r="AF860" s="4" t="s">
        <v>47</v>
      </c>
      <c r="AG860" s="4" t="s">
        <v>47</v>
      </c>
      <c r="AH860" s="4" t="s">
        <v>47</v>
      </c>
      <c r="AI860" s="4" t="s">
        <v>47</v>
      </c>
      <c r="AJ860" s="4" t="s">
        <v>47</v>
      </c>
      <c r="AK860" s="4" t="s">
        <v>47</v>
      </c>
      <c r="AL860" s="4" t="s">
        <v>47</v>
      </c>
      <c r="AM860" s="4" t="s">
        <v>47</v>
      </c>
      <c r="AN860" s="4" t="s">
        <v>47</v>
      </c>
      <c r="AO860" s="4" t="s">
        <v>47</v>
      </c>
      <c r="AP860" s="4" t="s">
        <v>47</v>
      </c>
      <c r="AQ860" s="4" t="s">
        <v>47</v>
      </c>
      <c r="AR860" s="4" t="s">
        <v>47</v>
      </c>
    </row>
    <row r="861" spans="1:44" x14ac:dyDescent="0.2">
      <c r="A861" s="4" t="s">
        <v>12</v>
      </c>
      <c r="B861" s="4" t="s">
        <v>173</v>
      </c>
      <c r="C861">
        <v>3</v>
      </c>
      <c r="F861">
        <v>0</v>
      </c>
      <c r="I861" s="4" t="s">
        <v>7363</v>
      </c>
      <c r="J861" s="4" t="s">
        <v>7407</v>
      </c>
      <c r="K861" s="4" t="s">
        <v>7737</v>
      </c>
      <c r="L861" s="4" t="s">
        <v>7738</v>
      </c>
      <c r="M861">
        <v>17788</v>
      </c>
      <c r="N861" s="4" t="s">
        <v>7825</v>
      </c>
      <c r="O861" s="4" t="s">
        <v>7826</v>
      </c>
      <c r="P861" s="4" t="s">
        <v>811</v>
      </c>
      <c r="Q861" s="9">
        <v>21344</v>
      </c>
      <c r="R861" s="4" t="s">
        <v>638</v>
      </c>
      <c r="S861" s="4" t="s">
        <v>7640</v>
      </c>
      <c r="T861" s="4" t="s">
        <v>47</v>
      </c>
      <c r="U861" s="4" t="s">
        <v>116</v>
      </c>
      <c r="V861">
        <v>1958</v>
      </c>
      <c r="W861" s="4" t="s">
        <v>7827</v>
      </c>
      <c r="X861" s="4" t="s">
        <v>47</v>
      </c>
      <c r="Y861" s="4" t="s">
        <v>7828</v>
      </c>
      <c r="Z861" s="4" t="s">
        <v>47</v>
      </c>
      <c r="AA861" s="4" t="s">
        <v>47</v>
      </c>
      <c r="AB861" s="4" t="s">
        <v>47</v>
      </c>
      <c r="AC861" s="4" t="s">
        <v>47</v>
      </c>
      <c r="AD861" s="4" t="s">
        <v>47</v>
      </c>
      <c r="AE861" s="4" t="s">
        <v>47</v>
      </c>
      <c r="AF861" s="4" t="s">
        <v>47</v>
      </c>
      <c r="AG861" s="4" t="s">
        <v>47</v>
      </c>
      <c r="AH861" s="4" t="s">
        <v>47</v>
      </c>
      <c r="AI861" s="4" t="s">
        <v>47</v>
      </c>
      <c r="AJ861" s="4" t="s">
        <v>47</v>
      </c>
      <c r="AK861" s="4" t="s">
        <v>47</v>
      </c>
      <c r="AL861" s="4" t="s">
        <v>47</v>
      </c>
      <c r="AM861" s="4" t="s">
        <v>47</v>
      </c>
      <c r="AN861" s="4" t="s">
        <v>47</v>
      </c>
      <c r="AO861" s="4" t="s">
        <v>47</v>
      </c>
      <c r="AP861" s="4" t="s">
        <v>47</v>
      </c>
      <c r="AQ861" s="4" t="s">
        <v>47</v>
      </c>
      <c r="AR861" s="4" t="s">
        <v>47</v>
      </c>
    </row>
    <row r="862" spans="1:44" x14ac:dyDescent="0.2">
      <c r="A862" s="4" t="s">
        <v>5211</v>
      </c>
      <c r="B862" s="4" t="s">
        <v>52</v>
      </c>
      <c r="C862">
        <v>2</v>
      </c>
      <c r="F862">
        <v>2</v>
      </c>
      <c r="I862" s="4" t="s">
        <v>7050</v>
      </c>
      <c r="J862" s="4" t="s">
        <v>7688</v>
      </c>
      <c r="K862" s="4" t="s">
        <v>7497</v>
      </c>
      <c r="L862" s="4" t="s">
        <v>7708</v>
      </c>
      <c r="M862">
        <v>49348</v>
      </c>
      <c r="N862" s="4" t="s">
        <v>7647</v>
      </c>
      <c r="O862" s="4" t="s">
        <v>7829</v>
      </c>
      <c r="P862" s="4" t="s">
        <v>811</v>
      </c>
      <c r="Q862" s="9">
        <v>21344</v>
      </c>
      <c r="R862" s="4" t="s">
        <v>1487</v>
      </c>
      <c r="S862" s="4" t="s">
        <v>7455</v>
      </c>
      <c r="T862" s="4" t="s">
        <v>47</v>
      </c>
      <c r="U862" s="4" t="s">
        <v>116</v>
      </c>
      <c r="V862">
        <v>1958</v>
      </c>
      <c r="W862" s="4" t="s">
        <v>7830</v>
      </c>
      <c r="X862" s="4" t="s">
        <v>7831</v>
      </c>
      <c r="Y862" s="4" t="s">
        <v>7832</v>
      </c>
      <c r="Z862" s="4" t="s">
        <v>7833</v>
      </c>
      <c r="AA862" s="4" t="s">
        <v>47</v>
      </c>
      <c r="AB862" s="4" t="s">
        <v>47</v>
      </c>
      <c r="AC862" s="4" t="s">
        <v>47</v>
      </c>
      <c r="AD862" s="4" t="s">
        <v>7834</v>
      </c>
      <c r="AE862" s="4" t="s">
        <v>47</v>
      </c>
      <c r="AF862" s="4" t="s">
        <v>47</v>
      </c>
      <c r="AG862" s="4" t="s">
        <v>47</v>
      </c>
      <c r="AH862" s="4" t="s">
        <v>47</v>
      </c>
      <c r="AI862" s="4" t="s">
        <v>47</v>
      </c>
      <c r="AJ862" s="4" t="s">
        <v>47</v>
      </c>
      <c r="AK862" s="4" t="s">
        <v>47</v>
      </c>
      <c r="AL862" s="4" t="s">
        <v>47</v>
      </c>
      <c r="AM862" s="4" t="s">
        <v>47</v>
      </c>
      <c r="AN862" s="4" t="s">
        <v>47</v>
      </c>
      <c r="AO862" s="4" t="s">
        <v>47</v>
      </c>
      <c r="AP862" s="4" t="s">
        <v>47</v>
      </c>
      <c r="AQ862" s="4" t="s">
        <v>47</v>
      </c>
      <c r="AR862" s="4" t="s">
        <v>47</v>
      </c>
    </row>
    <row r="863" spans="1:44" x14ac:dyDescent="0.2">
      <c r="A863" s="4" t="s">
        <v>87</v>
      </c>
      <c r="B863" s="4" t="s">
        <v>202</v>
      </c>
      <c r="C863">
        <v>7</v>
      </c>
      <c r="F863">
        <v>3</v>
      </c>
      <c r="I863" s="4" t="s">
        <v>7645</v>
      </c>
      <c r="J863" s="4" t="s">
        <v>7662</v>
      </c>
      <c r="K863" s="4" t="s">
        <v>7715</v>
      </c>
      <c r="L863" s="4" t="s">
        <v>7716</v>
      </c>
      <c r="M863">
        <v>16518</v>
      </c>
      <c r="N863" s="4" t="s">
        <v>7671</v>
      </c>
      <c r="O863" s="4" t="s">
        <v>7835</v>
      </c>
      <c r="P863" s="4" t="s">
        <v>811</v>
      </c>
      <c r="Q863" s="9">
        <v>21344</v>
      </c>
      <c r="R863" s="4" t="s">
        <v>7836</v>
      </c>
      <c r="S863" s="4" t="s">
        <v>7307</v>
      </c>
      <c r="T863" s="4" t="s">
        <v>47</v>
      </c>
      <c r="U863" s="4" t="s">
        <v>116</v>
      </c>
      <c r="V863">
        <v>1958</v>
      </c>
      <c r="W863" s="4" t="s">
        <v>7837</v>
      </c>
      <c r="X863" s="4" t="s">
        <v>7838</v>
      </c>
      <c r="Y863" s="4" t="s">
        <v>7839</v>
      </c>
      <c r="Z863" s="4" t="s">
        <v>7840</v>
      </c>
      <c r="AA863" s="4" t="s">
        <v>47</v>
      </c>
      <c r="AB863" s="4" t="s">
        <v>47</v>
      </c>
      <c r="AC863" s="4" t="s">
        <v>47</v>
      </c>
      <c r="AD863" s="4" t="s">
        <v>7841</v>
      </c>
      <c r="AE863" s="4" t="s">
        <v>47</v>
      </c>
      <c r="AF863" s="4" t="s">
        <v>47</v>
      </c>
      <c r="AG863" s="4" t="s">
        <v>47</v>
      </c>
      <c r="AH863" s="4" t="s">
        <v>47</v>
      </c>
      <c r="AI863" s="4" t="s">
        <v>47</v>
      </c>
      <c r="AJ863" s="4" t="s">
        <v>47</v>
      </c>
      <c r="AK863" s="4" t="s">
        <v>47</v>
      </c>
      <c r="AL863" s="4" t="s">
        <v>47</v>
      </c>
      <c r="AM863" s="4" t="s">
        <v>47</v>
      </c>
      <c r="AN863" s="4" t="s">
        <v>47</v>
      </c>
      <c r="AO863" s="4" t="s">
        <v>47</v>
      </c>
      <c r="AP863" s="4" t="s">
        <v>47</v>
      </c>
      <c r="AQ863" s="4" t="s">
        <v>47</v>
      </c>
      <c r="AR863" s="4" t="s">
        <v>47</v>
      </c>
    </row>
    <row r="864" spans="1:44" x14ac:dyDescent="0.2">
      <c r="A864" s="4" t="s">
        <v>26</v>
      </c>
      <c r="B864" s="4" t="s">
        <v>104</v>
      </c>
      <c r="C864">
        <v>1</v>
      </c>
      <c r="F864">
        <v>3</v>
      </c>
      <c r="I864" s="4" t="s">
        <v>7729</v>
      </c>
      <c r="J864" s="4" t="s">
        <v>7730</v>
      </c>
      <c r="K864" s="4" t="s">
        <v>7509</v>
      </c>
      <c r="L864" s="4" t="s">
        <v>7510</v>
      </c>
      <c r="M864">
        <v>31156</v>
      </c>
      <c r="N864" s="4" t="s">
        <v>7677</v>
      </c>
      <c r="O864" s="4" t="s">
        <v>7842</v>
      </c>
      <c r="P864" s="4" t="s">
        <v>811</v>
      </c>
      <c r="Q864" s="9">
        <v>21344</v>
      </c>
      <c r="R864" s="4" t="s">
        <v>1098</v>
      </c>
      <c r="S864" s="4" t="s">
        <v>7690</v>
      </c>
      <c r="T864" s="4" t="s">
        <v>47</v>
      </c>
      <c r="U864" s="4" t="s">
        <v>116</v>
      </c>
      <c r="V864">
        <v>1958</v>
      </c>
      <c r="W864" s="4" t="s">
        <v>7843</v>
      </c>
      <c r="X864" s="4" t="s">
        <v>7844</v>
      </c>
      <c r="Y864" s="4" t="s">
        <v>7845</v>
      </c>
      <c r="Z864" s="4" t="s">
        <v>7846</v>
      </c>
      <c r="AA864" s="4" t="s">
        <v>47</v>
      </c>
      <c r="AB864" s="4" t="s">
        <v>47</v>
      </c>
      <c r="AC864" s="4" t="s">
        <v>47</v>
      </c>
      <c r="AD864" s="4" t="s">
        <v>47</v>
      </c>
      <c r="AE864" s="4" t="s">
        <v>47</v>
      </c>
      <c r="AF864" s="4" t="s">
        <v>47</v>
      </c>
      <c r="AG864" s="4" t="s">
        <v>47</v>
      </c>
      <c r="AH864" s="4" t="s">
        <v>47</v>
      </c>
      <c r="AI864" s="4" t="s">
        <v>47</v>
      </c>
      <c r="AJ864" s="4" t="s">
        <v>47</v>
      </c>
      <c r="AK864" s="4" t="s">
        <v>47</v>
      </c>
      <c r="AL864" s="4" t="s">
        <v>47</v>
      </c>
      <c r="AM864" s="4" t="s">
        <v>47</v>
      </c>
      <c r="AN864" s="4" t="s">
        <v>47</v>
      </c>
      <c r="AO864" s="4" t="s">
        <v>47</v>
      </c>
      <c r="AP864" s="4" t="s">
        <v>47</v>
      </c>
      <c r="AQ864" s="4" t="s">
        <v>47</v>
      </c>
      <c r="AR864" s="4" t="s">
        <v>47</v>
      </c>
    </row>
    <row r="865" spans="1:44" x14ac:dyDescent="0.2">
      <c r="A865" s="4" t="s">
        <v>92</v>
      </c>
      <c r="B865" s="4" t="s">
        <v>119</v>
      </c>
      <c r="C865">
        <v>3</v>
      </c>
      <c r="F865">
        <v>2</v>
      </c>
      <c r="I865" s="4" t="s">
        <v>7509</v>
      </c>
      <c r="J865" s="4" t="s">
        <v>7847</v>
      </c>
      <c r="K865" s="4" t="s">
        <v>7848</v>
      </c>
      <c r="L865" s="4" t="s">
        <v>7849</v>
      </c>
      <c r="M865">
        <v>62500</v>
      </c>
      <c r="N865" s="4" t="s">
        <v>7850</v>
      </c>
      <c r="O865" s="4" t="s">
        <v>7851</v>
      </c>
      <c r="P865" s="4" t="s">
        <v>593</v>
      </c>
      <c r="Q865" s="9">
        <v>19909</v>
      </c>
      <c r="R865" s="4" t="s">
        <v>1130</v>
      </c>
      <c r="S865" s="4" t="s">
        <v>7852</v>
      </c>
      <c r="T865" s="4" t="s">
        <v>47</v>
      </c>
      <c r="U865" s="4" t="s">
        <v>118</v>
      </c>
      <c r="V865">
        <v>1954</v>
      </c>
      <c r="W865" s="4" t="s">
        <v>7853</v>
      </c>
      <c r="X865" s="4" t="s">
        <v>7854</v>
      </c>
      <c r="Y865" s="4" t="s">
        <v>7855</v>
      </c>
      <c r="Z865" s="4" t="s">
        <v>7856</v>
      </c>
      <c r="AA865" s="4" t="s">
        <v>47</v>
      </c>
      <c r="AB865" s="4" t="s">
        <v>47</v>
      </c>
      <c r="AC865" s="4" t="s">
        <v>47</v>
      </c>
      <c r="AD865" s="4" t="s">
        <v>47</v>
      </c>
      <c r="AE865" s="4" t="s">
        <v>47</v>
      </c>
      <c r="AF865" s="4" t="s">
        <v>47</v>
      </c>
      <c r="AG865" s="4" t="s">
        <v>47</v>
      </c>
      <c r="AH865" s="4" t="s">
        <v>47</v>
      </c>
      <c r="AI865" s="4" t="s">
        <v>47</v>
      </c>
      <c r="AJ865" s="4" t="s">
        <v>47</v>
      </c>
      <c r="AK865" s="4" t="s">
        <v>47</v>
      </c>
      <c r="AL865" s="4" t="s">
        <v>47</v>
      </c>
      <c r="AM865" s="4" t="s">
        <v>47</v>
      </c>
      <c r="AN865" s="4" t="s">
        <v>47</v>
      </c>
      <c r="AO865" s="4" t="s">
        <v>47</v>
      </c>
      <c r="AP865" s="4" t="s">
        <v>47</v>
      </c>
      <c r="AQ865" s="4" t="s">
        <v>47</v>
      </c>
      <c r="AR865" s="4" t="s">
        <v>47</v>
      </c>
    </row>
    <row r="866" spans="1:44" x14ac:dyDescent="0.2">
      <c r="A866" s="4" t="s">
        <v>173</v>
      </c>
      <c r="B866" s="4" t="s">
        <v>121</v>
      </c>
      <c r="C866">
        <v>3</v>
      </c>
      <c r="F866">
        <v>1</v>
      </c>
      <c r="I866" s="4" t="s">
        <v>7857</v>
      </c>
      <c r="J866" s="4" t="s">
        <v>7858</v>
      </c>
      <c r="K866" s="4" t="s">
        <v>7859</v>
      </c>
      <c r="L866" s="4" t="s">
        <v>7860</v>
      </c>
      <c r="M866">
        <v>32000</v>
      </c>
      <c r="N866" s="4" t="s">
        <v>7861</v>
      </c>
      <c r="O866" s="4" t="s">
        <v>7862</v>
      </c>
      <c r="P866" s="4" t="s">
        <v>616</v>
      </c>
      <c r="Q866" s="9">
        <v>19908</v>
      </c>
      <c r="R866" s="4" t="s">
        <v>770</v>
      </c>
      <c r="S866" s="4" t="s">
        <v>7679</v>
      </c>
      <c r="T866" s="4" t="s">
        <v>47</v>
      </c>
      <c r="U866" s="4" t="s">
        <v>118</v>
      </c>
      <c r="V866">
        <v>1954</v>
      </c>
      <c r="W866" s="4" t="s">
        <v>7863</v>
      </c>
      <c r="X866" s="4" t="s">
        <v>7864</v>
      </c>
      <c r="Y866" s="4" t="s">
        <v>7865</v>
      </c>
      <c r="Z866" s="4" t="s">
        <v>7866</v>
      </c>
      <c r="AA866" s="4" t="s">
        <v>7867</v>
      </c>
      <c r="AB866" s="4" t="s">
        <v>47</v>
      </c>
      <c r="AC866" s="4" t="s">
        <v>7868</v>
      </c>
      <c r="AD866" s="4" t="s">
        <v>47</v>
      </c>
      <c r="AE866" s="4" t="s">
        <v>47</v>
      </c>
      <c r="AF866" s="4" t="s">
        <v>47</v>
      </c>
      <c r="AG866" s="4" t="s">
        <v>47</v>
      </c>
      <c r="AH866" s="4" t="s">
        <v>47</v>
      </c>
      <c r="AI866" s="4" t="s">
        <v>47</v>
      </c>
      <c r="AJ866" s="4" t="s">
        <v>47</v>
      </c>
      <c r="AK866" s="4" t="s">
        <v>47</v>
      </c>
      <c r="AL866" s="4" t="s">
        <v>47</v>
      </c>
      <c r="AM866" s="4" t="s">
        <v>47</v>
      </c>
      <c r="AN866" s="4" t="s">
        <v>47</v>
      </c>
      <c r="AO866" s="4" t="s">
        <v>47</v>
      </c>
      <c r="AP866" s="4" t="s">
        <v>47</v>
      </c>
      <c r="AQ866" s="4" t="s">
        <v>47</v>
      </c>
      <c r="AR866" s="4" t="s">
        <v>47</v>
      </c>
    </row>
    <row r="867" spans="1:44" x14ac:dyDescent="0.2">
      <c r="A867" s="4" t="s">
        <v>119</v>
      </c>
      <c r="B867" s="4" t="s">
        <v>121</v>
      </c>
      <c r="C867">
        <v>4</v>
      </c>
      <c r="F867">
        <v>2</v>
      </c>
      <c r="I867" s="4" t="s">
        <v>7848</v>
      </c>
      <c r="J867" s="4" t="s">
        <v>7701</v>
      </c>
      <c r="K867" s="4" t="s">
        <v>7859</v>
      </c>
      <c r="L867" s="4" t="s">
        <v>7860</v>
      </c>
      <c r="M867">
        <v>45000</v>
      </c>
      <c r="N867" s="4" t="s">
        <v>7869</v>
      </c>
      <c r="O867" s="4" t="s">
        <v>7870</v>
      </c>
      <c r="P867" s="4" t="s">
        <v>629</v>
      </c>
      <c r="Q867" s="9">
        <v>19905</v>
      </c>
      <c r="R867" s="4" t="s">
        <v>1236</v>
      </c>
      <c r="S867" s="4" t="s">
        <v>7664</v>
      </c>
      <c r="T867" s="4" t="s">
        <v>1258</v>
      </c>
      <c r="U867" s="4" t="s">
        <v>118</v>
      </c>
      <c r="V867">
        <v>1954</v>
      </c>
      <c r="W867" s="4" t="s">
        <v>7871</v>
      </c>
      <c r="X867" s="4" t="s">
        <v>7872</v>
      </c>
      <c r="Y867" s="4" t="s">
        <v>7873</v>
      </c>
      <c r="Z867" s="4" t="s">
        <v>7874</v>
      </c>
      <c r="AA867" s="4" t="s">
        <v>47</v>
      </c>
      <c r="AB867" s="4" t="s">
        <v>47</v>
      </c>
      <c r="AC867" s="4" t="s">
        <v>47</v>
      </c>
      <c r="AD867" s="4" t="s">
        <v>47</v>
      </c>
      <c r="AE867" s="4" t="s">
        <v>47</v>
      </c>
      <c r="AF867" s="4" t="s">
        <v>47</v>
      </c>
      <c r="AG867" s="4" t="s">
        <v>47</v>
      </c>
      <c r="AH867" s="4" t="s">
        <v>47</v>
      </c>
      <c r="AI867" s="4" t="s">
        <v>47</v>
      </c>
      <c r="AJ867" s="4" t="s">
        <v>47</v>
      </c>
      <c r="AK867" s="4" t="s">
        <v>47</v>
      </c>
      <c r="AL867" s="4" t="s">
        <v>47</v>
      </c>
      <c r="AM867" s="4" t="s">
        <v>47</v>
      </c>
      <c r="AN867" s="4" t="s">
        <v>47</v>
      </c>
      <c r="AO867" s="4" t="s">
        <v>47</v>
      </c>
      <c r="AP867" s="4" t="s">
        <v>47</v>
      </c>
      <c r="AQ867" s="4" t="s">
        <v>47</v>
      </c>
      <c r="AR867" s="4" t="s">
        <v>47</v>
      </c>
    </row>
    <row r="868" spans="1:44" x14ac:dyDescent="0.2">
      <c r="A868" s="4" t="s">
        <v>92</v>
      </c>
      <c r="B868" s="4" t="s">
        <v>173</v>
      </c>
      <c r="C868">
        <v>6</v>
      </c>
      <c r="F868">
        <v>1</v>
      </c>
      <c r="I868" s="4" t="s">
        <v>7509</v>
      </c>
      <c r="J868" s="4" t="s">
        <v>7847</v>
      </c>
      <c r="K868" s="4" t="s">
        <v>7857</v>
      </c>
      <c r="L868" s="4" t="s">
        <v>7858</v>
      </c>
      <c r="M868">
        <v>58000</v>
      </c>
      <c r="N868" s="4" t="s">
        <v>7875</v>
      </c>
      <c r="O868" s="4" t="s">
        <v>7876</v>
      </c>
      <c r="P868" s="4" t="s">
        <v>629</v>
      </c>
      <c r="Q868" s="9">
        <v>19905</v>
      </c>
      <c r="R868" s="4" t="s">
        <v>728</v>
      </c>
      <c r="S868" s="4" t="s">
        <v>7796</v>
      </c>
      <c r="T868" s="4" t="s">
        <v>47</v>
      </c>
      <c r="U868" s="4" t="s">
        <v>118</v>
      </c>
      <c r="V868">
        <v>1954</v>
      </c>
      <c r="W868" s="4" t="s">
        <v>7877</v>
      </c>
      <c r="X868" s="4" t="s">
        <v>7878</v>
      </c>
      <c r="Y868" s="4" t="s">
        <v>7879</v>
      </c>
      <c r="Z868" s="4" t="s">
        <v>7880</v>
      </c>
      <c r="AA868" s="4" t="s">
        <v>47</v>
      </c>
      <c r="AB868" s="4" t="s">
        <v>47</v>
      </c>
      <c r="AC868" s="4" t="s">
        <v>7881</v>
      </c>
      <c r="AD868" s="4" t="s">
        <v>47</v>
      </c>
      <c r="AE868" s="4" t="s">
        <v>47</v>
      </c>
      <c r="AF868" s="4" t="s">
        <v>47</v>
      </c>
      <c r="AG868" s="4" t="s">
        <v>47</v>
      </c>
      <c r="AH868" s="4" t="s">
        <v>47</v>
      </c>
      <c r="AI868" s="4" t="s">
        <v>47</v>
      </c>
      <c r="AJ868" s="4" t="s">
        <v>47</v>
      </c>
      <c r="AK868" s="4" t="s">
        <v>47</v>
      </c>
      <c r="AL868" s="4" t="s">
        <v>47</v>
      </c>
      <c r="AM868" s="4" t="s">
        <v>47</v>
      </c>
      <c r="AN868" s="4" t="s">
        <v>47</v>
      </c>
      <c r="AO868" s="4" t="s">
        <v>47</v>
      </c>
      <c r="AP868" s="4" t="s">
        <v>47</v>
      </c>
      <c r="AQ868" s="4" t="s">
        <v>47</v>
      </c>
      <c r="AR868" s="4" t="s">
        <v>47</v>
      </c>
    </row>
    <row r="869" spans="1:44" x14ac:dyDescent="0.2">
      <c r="A869" s="4" t="s">
        <v>92</v>
      </c>
      <c r="B869" s="4" t="s">
        <v>4991</v>
      </c>
      <c r="C869">
        <v>2</v>
      </c>
      <c r="F869">
        <v>0</v>
      </c>
      <c r="I869" s="4" t="s">
        <v>7509</v>
      </c>
      <c r="J869" s="4" t="s">
        <v>7847</v>
      </c>
      <c r="K869" s="4" t="s">
        <v>7675</v>
      </c>
      <c r="L869" s="4" t="s">
        <v>7882</v>
      </c>
      <c r="M869">
        <v>17000</v>
      </c>
      <c r="N869" s="4" t="s">
        <v>7883</v>
      </c>
      <c r="O869" s="4" t="s">
        <v>7884</v>
      </c>
      <c r="P869" s="4" t="s">
        <v>651</v>
      </c>
      <c r="Q869" s="9">
        <v>19902</v>
      </c>
      <c r="R869" s="4" t="s">
        <v>630</v>
      </c>
      <c r="S869" s="4" t="s">
        <v>7455</v>
      </c>
      <c r="T869" s="4" t="s">
        <v>47</v>
      </c>
      <c r="U869" s="4" t="s">
        <v>118</v>
      </c>
      <c r="V869">
        <v>1954</v>
      </c>
      <c r="W869" s="4" t="s">
        <v>7885</v>
      </c>
      <c r="X869" s="4" t="s">
        <v>47</v>
      </c>
      <c r="Y869" s="4" t="s">
        <v>7886</v>
      </c>
      <c r="Z869" s="4" t="s">
        <v>47</v>
      </c>
      <c r="AA869" s="4" t="s">
        <v>7887</v>
      </c>
      <c r="AB869" s="4" t="s">
        <v>47</v>
      </c>
      <c r="AC869" s="4" t="s">
        <v>47</v>
      </c>
      <c r="AD869" s="4" t="s">
        <v>47</v>
      </c>
      <c r="AE869" s="4" t="s">
        <v>47</v>
      </c>
      <c r="AF869" s="4" t="s">
        <v>47</v>
      </c>
      <c r="AG869" s="4" t="s">
        <v>47</v>
      </c>
      <c r="AH869" s="4" t="s">
        <v>47</v>
      </c>
      <c r="AI869" s="4" t="s">
        <v>47</v>
      </c>
      <c r="AJ869" s="4" t="s">
        <v>47</v>
      </c>
      <c r="AK869" s="4" t="s">
        <v>47</v>
      </c>
      <c r="AL869" s="4" t="s">
        <v>47</v>
      </c>
      <c r="AM869" s="4" t="s">
        <v>47</v>
      </c>
      <c r="AN869" s="4" t="s">
        <v>47</v>
      </c>
      <c r="AO869" s="4" t="s">
        <v>47</v>
      </c>
      <c r="AP869" s="4" t="s">
        <v>47</v>
      </c>
      <c r="AQ869" s="4" t="s">
        <v>47</v>
      </c>
      <c r="AR869" s="4" t="s">
        <v>47</v>
      </c>
    </row>
    <row r="870" spans="1:44" x14ac:dyDescent="0.2">
      <c r="A870" s="4" t="s">
        <v>119</v>
      </c>
      <c r="B870" s="4" t="s">
        <v>12</v>
      </c>
      <c r="C870">
        <v>4</v>
      </c>
      <c r="F870">
        <v>2</v>
      </c>
      <c r="I870" s="4" t="s">
        <v>7848</v>
      </c>
      <c r="J870" s="4" t="s">
        <v>7701</v>
      </c>
      <c r="K870" s="4" t="s">
        <v>7888</v>
      </c>
      <c r="L870" s="4" t="s">
        <v>7889</v>
      </c>
      <c r="M870">
        <v>40000</v>
      </c>
      <c r="N870" s="4" t="s">
        <v>7850</v>
      </c>
      <c r="O870" s="4" t="s">
        <v>7890</v>
      </c>
      <c r="P870" s="4" t="s">
        <v>651</v>
      </c>
      <c r="Q870" s="9">
        <v>19902</v>
      </c>
      <c r="R870" s="4" t="s">
        <v>1236</v>
      </c>
      <c r="S870" s="4" t="s">
        <v>7733</v>
      </c>
      <c r="T870" s="4" t="s">
        <v>47</v>
      </c>
      <c r="U870" s="4" t="s">
        <v>118</v>
      </c>
      <c r="V870">
        <v>1954</v>
      </c>
      <c r="W870" s="4" t="s">
        <v>7891</v>
      </c>
      <c r="X870" s="4" t="s">
        <v>7892</v>
      </c>
      <c r="Y870" s="4" t="s">
        <v>7893</v>
      </c>
      <c r="Z870" s="4" t="s">
        <v>7894</v>
      </c>
      <c r="AA870" s="4" t="s">
        <v>47</v>
      </c>
      <c r="AB870" s="4" t="s">
        <v>47</v>
      </c>
      <c r="AC870" s="4" t="s">
        <v>7895</v>
      </c>
      <c r="AD870" s="4" t="s">
        <v>7896</v>
      </c>
      <c r="AE870" s="4" t="s">
        <v>47</v>
      </c>
      <c r="AF870" s="4" t="s">
        <v>47</v>
      </c>
      <c r="AG870" s="4" t="s">
        <v>47</v>
      </c>
      <c r="AH870" s="4" t="s">
        <v>47</v>
      </c>
      <c r="AI870" s="4" t="s">
        <v>47</v>
      </c>
      <c r="AJ870" s="4" t="s">
        <v>47</v>
      </c>
      <c r="AK870" s="4" t="s">
        <v>7897</v>
      </c>
      <c r="AL870" s="4" t="s">
        <v>7898</v>
      </c>
      <c r="AM870" s="4" t="s">
        <v>47</v>
      </c>
      <c r="AN870" s="4" t="s">
        <v>47</v>
      </c>
      <c r="AO870" s="4" t="s">
        <v>47</v>
      </c>
      <c r="AP870" s="4" t="s">
        <v>47</v>
      </c>
      <c r="AQ870" s="4" t="s">
        <v>47</v>
      </c>
      <c r="AR870" s="4" t="s">
        <v>47</v>
      </c>
    </row>
    <row r="871" spans="1:44" x14ac:dyDescent="0.2">
      <c r="A871" s="4" t="s">
        <v>121</v>
      </c>
      <c r="B871" s="4" t="s">
        <v>52</v>
      </c>
      <c r="C871">
        <v>4</v>
      </c>
      <c r="F871">
        <v>2</v>
      </c>
      <c r="I871" s="4" t="s">
        <v>7859</v>
      </c>
      <c r="J871" s="4" t="s">
        <v>7899</v>
      </c>
      <c r="K871" s="4" t="s">
        <v>7497</v>
      </c>
      <c r="L871" s="4" t="s">
        <v>7708</v>
      </c>
      <c r="M871">
        <v>28000</v>
      </c>
      <c r="N871" s="4" t="s">
        <v>7875</v>
      </c>
      <c r="O871" s="4" t="s">
        <v>7900</v>
      </c>
      <c r="P871" s="4" t="s">
        <v>651</v>
      </c>
      <c r="Q871" s="9">
        <v>19901</v>
      </c>
      <c r="R871" s="4" t="s">
        <v>1236</v>
      </c>
      <c r="S871" s="4" t="s">
        <v>7611</v>
      </c>
      <c r="T871" s="4" t="s">
        <v>47</v>
      </c>
      <c r="U871" s="4" t="s">
        <v>118</v>
      </c>
      <c r="V871">
        <v>1954</v>
      </c>
      <c r="W871" s="4" t="s">
        <v>7901</v>
      </c>
      <c r="X871" s="4" t="s">
        <v>7902</v>
      </c>
      <c r="Y871" s="4" t="s">
        <v>7903</v>
      </c>
      <c r="Z871" s="4" t="s">
        <v>7904</v>
      </c>
      <c r="AA871" s="4" t="s">
        <v>47</v>
      </c>
      <c r="AB871" s="4" t="s">
        <v>47</v>
      </c>
      <c r="AC871" s="4" t="s">
        <v>47</v>
      </c>
      <c r="AD871" s="4" t="s">
        <v>47</v>
      </c>
      <c r="AE871" s="4" t="s">
        <v>47</v>
      </c>
      <c r="AF871" s="4" t="s">
        <v>47</v>
      </c>
      <c r="AG871" s="4" t="s">
        <v>47</v>
      </c>
      <c r="AH871" s="4" t="s">
        <v>47</v>
      </c>
      <c r="AI871" s="4" t="s">
        <v>47</v>
      </c>
      <c r="AJ871" s="4" t="s">
        <v>47</v>
      </c>
      <c r="AK871" s="4" t="s">
        <v>47</v>
      </c>
      <c r="AL871" s="4" t="s">
        <v>47</v>
      </c>
      <c r="AM871" s="4" t="s">
        <v>47</v>
      </c>
      <c r="AN871" s="4" t="s">
        <v>47</v>
      </c>
      <c r="AO871" s="4" t="s">
        <v>47</v>
      </c>
      <c r="AP871" s="4" t="s">
        <v>47</v>
      </c>
      <c r="AQ871" s="4" t="s">
        <v>47</v>
      </c>
      <c r="AR871" s="4" t="s">
        <v>47</v>
      </c>
    </row>
    <row r="872" spans="1:44" x14ac:dyDescent="0.2">
      <c r="A872" s="4" t="s">
        <v>118</v>
      </c>
      <c r="B872" s="4" t="s">
        <v>173</v>
      </c>
      <c r="C872">
        <v>5</v>
      </c>
      <c r="F872">
        <v>7</v>
      </c>
      <c r="I872" s="4" t="s">
        <v>7527</v>
      </c>
      <c r="J872" s="4" t="s">
        <v>7905</v>
      </c>
      <c r="K872" s="4" t="s">
        <v>7857</v>
      </c>
      <c r="L872" s="4" t="s">
        <v>7858</v>
      </c>
      <c r="M872">
        <v>35000</v>
      </c>
      <c r="N872" s="4" t="s">
        <v>7869</v>
      </c>
      <c r="O872" s="4" t="s">
        <v>7906</v>
      </c>
      <c r="P872" s="4" t="s">
        <v>651</v>
      </c>
      <c r="Q872" s="9">
        <v>19901</v>
      </c>
      <c r="R872" s="4" t="s">
        <v>7907</v>
      </c>
      <c r="S872" s="4" t="s">
        <v>7908</v>
      </c>
      <c r="T872" s="4" t="s">
        <v>47</v>
      </c>
      <c r="U872" s="4" t="s">
        <v>118</v>
      </c>
      <c r="V872">
        <v>1954</v>
      </c>
      <c r="W872" s="4" t="s">
        <v>7909</v>
      </c>
      <c r="X872" s="4" t="s">
        <v>7910</v>
      </c>
      <c r="Y872" s="4" t="s">
        <v>7911</v>
      </c>
      <c r="Z872" s="4" t="s">
        <v>7912</v>
      </c>
      <c r="AA872" s="4" t="s">
        <v>47</v>
      </c>
      <c r="AB872" s="4" t="s">
        <v>47</v>
      </c>
      <c r="AC872" s="4" t="s">
        <v>47</v>
      </c>
      <c r="AD872" s="4" t="s">
        <v>47</v>
      </c>
      <c r="AE872" s="4" t="s">
        <v>47</v>
      </c>
      <c r="AF872" s="4" t="s">
        <v>47</v>
      </c>
      <c r="AG872" s="4" t="s">
        <v>47</v>
      </c>
      <c r="AH872" s="4" t="s">
        <v>47</v>
      </c>
      <c r="AI872" s="4" t="s">
        <v>47</v>
      </c>
      <c r="AJ872" s="4" t="s">
        <v>47</v>
      </c>
      <c r="AK872" s="4" t="s">
        <v>47</v>
      </c>
      <c r="AL872" s="4" t="s">
        <v>47</v>
      </c>
      <c r="AM872" s="4" t="s">
        <v>47</v>
      </c>
      <c r="AN872" s="4" t="s">
        <v>47</v>
      </c>
      <c r="AO872" s="4" t="s">
        <v>47</v>
      </c>
      <c r="AP872" s="4" t="s">
        <v>47</v>
      </c>
      <c r="AQ872" s="4" t="s">
        <v>47</v>
      </c>
      <c r="AR872" s="4" t="s">
        <v>47</v>
      </c>
    </row>
    <row r="873" spans="1:44" x14ac:dyDescent="0.2">
      <c r="A873" s="4" t="s">
        <v>92</v>
      </c>
      <c r="B873" s="4" t="s">
        <v>169</v>
      </c>
      <c r="C873">
        <v>7</v>
      </c>
      <c r="F873">
        <v>2</v>
      </c>
      <c r="I873" s="4" t="s">
        <v>7509</v>
      </c>
      <c r="J873" s="4" t="s">
        <v>7847</v>
      </c>
      <c r="K873" s="4" t="s">
        <v>7913</v>
      </c>
      <c r="L873" s="4" t="s">
        <v>7914</v>
      </c>
      <c r="M873">
        <v>17000</v>
      </c>
      <c r="N873" s="4" t="s">
        <v>7861</v>
      </c>
      <c r="O873" s="4" t="s">
        <v>7915</v>
      </c>
      <c r="P873" s="4" t="s">
        <v>7695</v>
      </c>
      <c r="Q873" s="9">
        <v>19898</v>
      </c>
      <c r="R873" s="4" t="s">
        <v>7916</v>
      </c>
      <c r="S873" s="4" t="s">
        <v>7917</v>
      </c>
      <c r="T873" s="4" t="s">
        <v>47</v>
      </c>
      <c r="U873" s="4" t="s">
        <v>118</v>
      </c>
      <c r="V873">
        <v>1954</v>
      </c>
      <c r="W873" s="4" t="s">
        <v>7918</v>
      </c>
      <c r="X873" s="4" t="s">
        <v>7919</v>
      </c>
      <c r="Y873" s="4" t="s">
        <v>7920</v>
      </c>
      <c r="Z873" s="4" t="s">
        <v>7921</v>
      </c>
      <c r="AA873" s="4" t="s">
        <v>47</v>
      </c>
      <c r="AB873" s="4" t="s">
        <v>47</v>
      </c>
      <c r="AC873" s="4" t="s">
        <v>47</v>
      </c>
      <c r="AD873" s="4" t="s">
        <v>47</v>
      </c>
      <c r="AE873" s="4" t="s">
        <v>47</v>
      </c>
      <c r="AF873" s="4" t="s">
        <v>47</v>
      </c>
      <c r="AG873" s="4" t="s">
        <v>47</v>
      </c>
      <c r="AH873" s="4" t="s">
        <v>47</v>
      </c>
      <c r="AI873" s="4" t="s">
        <v>47</v>
      </c>
      <c r="AJ873" s="4" t="s">
        <v>47</v>
      </c>
      <c r="AK873" s="4" t="s">
        <v>47</v>
      </c>
      <c r="AL873" s="4" t="s">
        <v>47</v>
      </c>
      <c r="AM873" s="4" t="s">
        <v>47</v>
      </c>
      <c r="AN873" s="4" t="s">
        <v>47</v>
      </c>
      <c r="AO873" s="4" t="s">
        <v>47</v>
      </c>
      <c r="AP873" s="4" t="s">
        <v>47</v>
      </c>
      <c r="AQ873" s="4" t="s">
        <v>47</v>
      </c>
      <c r="AR873" s="4" t="s">
        <v>47</v>
      </c>
    </row>
    <row r="874" spans="1:44" x14ac:dyDescent="0.2">
      <c r="A874" s="4" t="s">
        <v>118</v>
      </c>
      <c r="B874" s="4" t="s">
        <v>97</v>
      </c>
      <c r="C874">
        <v>4</v>
      </c>
      <c r="F874">
        <v>1</v>
      </c>
      <c r="I874" s="4" t="s">
        <v>7527</v>
      </c>
      <c r="J874" s="4" t="s">
        <v>7905</v>
      </c>
      <c r="K874" s="4" t="s">
        <v>7922</v>
      </c>
      <c r="L874" s="4" t="s">
        <v>7923</v>
      </c>
      <c r="M874">
        <v>30000</v>
      </c>
      <c r="N874" s="4" t="s">
        <v>7875</v>
      </c>
      <c r="O874" s="4" t="s">
        <v>7924</v>
      </c>
      <c r="P874" s="4" t="s">
        <v>7695</v>
      </c>
      <c r="Q874" s="9">
        <v>19898</v>
      </c>
      <c r="R874" s="4" t="s">
        <v>757</v>
      </c>
      <c r="S874" s="4" t="s">
        <v>7664</v>
      </c>
      <c r="T874" s="4" t="s">
        <v>47</v>
      </c>
      <c r="U874" s="4" t="s">
        <v>118</v>
      </c>
      <c r="V874">
        <v>1954</v>
      </c>
      <c r="W874" s="4" t="s">
        <v>7925</v>
      </c>
      <c r="X874" s="4" t="s">
        <v>7926</v>
      </c>
      <c r="Y874" s="4" t="s">
        <v>7927</v>
      </c>
      <c r="Z874" s="4" t="s">
        <v>7928</v>
      </c>
      <c r="AA874" s="4" t="s">
        <v>47</v>
      </c>
      <c r="AB874" s="4" t="s">
        <v>47</v>
      </c>
      <c r="AC874" s="4" t="s">
        <v>47</v>
      </c>
      <c r="AD874" s="4" t="s">
        <v>47</v>
      </c>
      <c r="AE874" s="4" t="s">
        <v>47</v>
      </c>
      <c r="AF874" s="4" t="s">
        <v>47</v>
      </c>
      <c r="AG874" s="4" t="s">
        <v>47</v>
      </c>
      <c r="AH874" s="4" t="s">
        <v>47</v>
      </c>
      <c r="AI874" s="4" t="s">
        <v>47</v>
      </c>
      <c r="AJ874" s="4" t="s">
        <v>47</v>
      </c>
      <c r="AK874" s="4" t="s">
        <v>47</v>
      </c>
      <c r="AL874" s="4" t="s">
        <v>47</v>
      </c>
      <c r="AM874" s="4" t="s">
        <v>47</v>
      </c>
      <c r="AN874" s="4" t="s">
        <v>47</v>
      </c>
      <c r="AO874" s="4" t="s">
        <v>47</v>
      </c>
      <c r="AP874" s="4" t="s">
        <v>47</v>
      </c>
      <c r="AQ874" s="4" t="s">
        <v>47</v>
      </c>
      <c r="AR874" s="4" t="s">
        <v>47</v>
      </c>
    </row>
    <row r="875" spans="1:44" x14ac:dyDescent="0.2">
      <c r="A875" s="4" t="s">
        <v>119</v>
      </c>
      <c r="B875" s="4" t="s">
        <v>92</v>
      </c>
      <c r="C875">
        <v>8</v>
      </c>
      <c r="F875">
        <v>3</v>
      </c>
      <c r="I875" s="4" t="s">
        <v>7848</v>
      </c>
      <c r="J875" s="4" t="s">
        <v>7849</v>
      </c>
      <c r="K875" s="4" t="s">
        <v>7509</v>
      </c>
      <c r="L875" s="4" t="s">
        <v>7847</v>
      </c>
      <c r="M875">
        <v>56000</v>
      </c>
      <c r="N875" s="4" t="s">
        <v>7875</v>
      </c>
      <c r="O875" s="4" t="s">
        <v>7929</v>
      </c>
      <c r="P875" s="4" t="s">
        <v>811</v>
      </c>
      <c r="Q875" s="9">
        <v>19895</v>
      </c>
      <c r="R875" s="4" t="s">
        <v>7930</v>
      </c>
      <c r="S875" s="4" t="s">
        <v>7852</v>
      </c>
      <c r="T875" s="4" t="s">
        <v>47</v>
      </c>
      <c r="U875" s="4" t="s">
        <v>118</v>
      </c>
      <c r="V875">
        <v>1954</v>
      </c>
      <c r="W875" s="4" t="s">
        <v>7931</v>
      </c>
      <c r="X875" s="4" t="s">
        <v>7932</v>
      </c>
      <c r="Y875" s="4" t="s">
        <v>7933</v>
      </c>
      <c r="Z875" s="4" t="s">
        <v>7934</v>
      </c>
      <c r="AA875" s="4" t="s">
        <v>47</v>
      </c>
      <c r="AB875" s="4" t="s">
        <v>47</v>
      </c>
      <c r="AC875" s="4" t="s">
        <v>47</v>
      </c>
      <c r="AD875" s="4" t="s">
        <v>47</v>
      </c>
      <c r="AE875" s="4" t="s">
        <v>47</v>
      </c>
      <c r="AF875" s="4" t="s">
        <v>47</v>
      </c>
      <c r="AG875" s="4" t="s">
        <v>47</v>
      </c>
      <c r="AH875" s="4" t="s">
        <v>47</v>
      </c>
      <c r="AI875" s="4" t="s">
        <v>47</v>
      </c>
      <c r="AJ875" s="4" t="s">
        <v>47</v>
      </c>
      <c r="AK875" s="4" t="s">
        <v>47</v>
      </c>
      <c r="AL875" s="4" t="s">
        <v>47</v>
      </c>
      <c r="AM875" s="4" t="s">
        <v>47</v>
      </c>
      <c r="AN875" s="4" t="s">
        <v>47</v>
      </c>
      <c r="AO875" s="4" t="s">
        <v>47</v>
      </c>
      <c r="AP875" s="4" t="s">
        <v>47</v>
      </c>
      <c r="AQ875" s="4" t="s">
        <v>47</v>
      </c>
      <c r="AR875" s="4" t="s">
        <v>47</v>
      </c>
    </row>
    <row r="876" spans="1:44" x14ac:dyDescent="0.2">
      <c r="A876" s="4" t="s">
        <v>169</v>
      </c>
      <c r="B876" s="4" t="s">
        <v>175</v>
      </c>
      <c r="C876">
        <v>7</v>
      </c>
      <c r="F876">
        <v>0</v>
      </c>
      <c r="I876" s="4" t="s">
        <v>7913</v>
      </c>
      <c r="J876" s="4" t="s">
        <v>7935</v>
      </c>
      <c r="K876" s="4" t="s">
        <v>7936</v>
      </c>
      <c r="L876" s="4" t="s">
        <v>7937</v>
      </c>
      <c r="M876">
        <v>4000</v>
      </c>
      <c r="N876" s="4" t="s">
        <v>7883</v>
      </c>
      <c r="O876" s="4" t="s">
        <v>7938</v>
      </c>
      <c r="P876" s="4" t="s">
        <v>811</v>
      </c>
      <c r="Q876" s="9">
        <v>19895</v>
      </c>
      <c r="R876" s="4" t="s">
        <v>1157</v>
      </c>
      <c r="S876" s="4" t="s">
        <v>7939</v>
      </c>
      <c r="T876" s="4" t="s">
        <v>47</v>
      </c>
      <c r="U876" s="4" t="s">
        <v>118</v>
      </c>
      <c r="V876">
        <v>1954</v>
      </c>
      <c r="W876" s="4" t="s">
        <v>7940</v>
      </c>
      <c r="X876" s="4" t="s">
        <v>47</v>
      </c>
      <c r="Y876" s="4" t="s">
        <v>7941</v>
      </c>
      <c r="Z876" s="4" t="s">
        <v>47</v>
      </c>
      <c r="AA876" s="4" t="s">
        <v>47</v>
      </c>
      <c r="AB876" s="4" t="s">
        <v>47</v>
      </c>
      <c r="AC876" s="4" t="s">
        <v>47</v>
      </c>
      <c r="AD876" s="4" t="s">
        <v>47</v>
      </c>
      <c r="AE876" s="4" t="s">
        <v>47</v>
      </c>
      <c r="AF876" s="4" t="s">
        <v>47</v>
      </c>
      <c r="AG876" s="4" t="s">
        <v>47</v>
      </c>
      <c r="AH876" s="4" t="s">
        <v>47</v>
      </c>
      <c r="AI876" s="4" t="s">
        <v>47</v>
      </c>
      <c r="AJ876" s="4" t="s">
        <v>47</v>
      </c>
      <c r="AK876" s="4" t="s">
        <v>47</v>
      </c>
      <c r="AL876" s="4" t="s">
        <v>47</v>
      </c>
      <c r="AM876" s="4" t="s">
        <v>47</v>
      </c>
      <c r="AN876" s="4" t="s">
        <v>47</v>
      </c>
      <c r="AO876" s="4" t="s">
        <v>47</v>
      </c>
      <c r="AP876" s="4" t="s">
        <v>47</v>
      </c>
      <c r="AQ876" s="4" t="s">
        <v>47</v>
      </c>
      <c r="AR876" s="4" t="s">
        <v>47</v>
      </c>
    </row>
    <row r="877" spans="1:44" x14ac:dyDescent="0.2">
      <c r="A877" s="4" t="s">
        <v>97</v>
      </c>
      <c r="B877" s="4" t="s">
        <v>148</v>
      </c>
      <c r="C877">
        <v>4</v>
      </c>
      <c r="F877">
        <v>1</v>
      </c>
      <c r="I877" s="4" t="s">
        <v>7922</v>
      </c>
      <c r="J877" s="4" t="s">
        <v>7923</v>
      </c>
      <c r="K877" s="4" t="s">
        <v>7942</v>
      </c>
      <c r="L877" s="4" t="s">
        <v>7943</v>
      </c>
      <c r="M877">
        <v>24000</v>
      </c>
      <c r="N877" s="4" t="s">
        <v>7944</v>
      </c>
      <c r="O877" s="4" t="s">
        <v>7945</v>
      </c>
      <c r="P877" s="4" t="s">
        <v>811</v>
      </c>
      <c r="Q877" s="9">
        <v>19895</v>
      </c>
      <c r="R877" s="4" t="s">
        <v>757</v>
      </c>
      <c r="S877" s="4" t="s">
        <v>7611</v>
      </c>
      <c r="T877" s="4" t="s">
        <v>47</v>
      </c>
      <c r="U877" s="4" t="s">
        <v>118</v>
      </c>
      <c r="V877">
        <v>1954</v>
      </c>
      <c r="W877" s="4" t="s">
        <v>7946</v>
      </c>
      <c r="X877" s="4" t="s">
        <v>7947</v>
      </c>
      <c r="Y877" s="4" t="s">
        <v>7948</v>
      </c>
      <c r="Z877" s="4" t="s">
        <v>7949</v>
      </c>
      <c r="AA877" s="4" t="s">
        <v>47</v>
      </c>
      <c r="AB877" s="4" t="s">
        <v>47</v>
      </c>
      <c r="AC877" s="4" t="s">
        <v>7950</v>
      </c>
      <c r="AD877" s="4" t="s">
        <v>47</v>
      </c>
      <c r="AE877" s="4" t="s">
        <v>47</v>
      </c>
      <c r="AF877" s="4" t="s">
        <v>47</v>
      </c>
      <c r="AG877" s="4" t="s">
        <v>47</v>
      </c>
      <c r="AH877" s="4" t="s">
        <v>47</v>
      </c>
      <c r="AI877" s="4" t="s">
        <v>47</v>
      </c>
      <c r="AJ877" s="4" t="s">
        <v>47</v>
      </c>
      <c r="AK877" s="4" t="s">
        <v>47</v>
      </c>
      <c r="AL877" s="4" t="s">
        <v>47</v>
      </c>
      <c r="AM877" s="4" t="s">
        <v>47</v>
      </c>
      <c r="AN877" s="4" t="s">
        <v>47</v>
      </c>
      <c r="AO877" s="4" t="s">
        <v>47</v>
      </c>
      <c r="AP877" s="4" t="s">
        <v>47</v>
      </c>
      <c r="AQ877" s="4" t="s">
        <v>47</v>
      </c>
      <c r="AR877" s="4" t="s">
        <v>47</v>
      </c>
    </row>
    <row r="878" spans="1:44" x14ac:dyDescent="0.2">
      <c r="A878" s="4" t="s">
        <v>118</v>
      </c>
      <c r="B878" s="4" t="s">
        <v>52</v>
      </c>
      <c r="C878">
        <v>0</v>
      </c>
      <c r="F878">
        <v>2</v>
      </c>
      <c r="I878" s="4" t="s">
        <v>7527</v>
      </c>
      <c r="J878" s="4" t="s">
        <v>7905</v>
      </c>
      <c r="K878" s="4" t="s">
        <v>7497</v>
      </c>
      <c r="L878" s="4" t="s">
        <v>7708</v>
      </c>
      <c r="M878">
        <v>43500</v>
      </c>
      <c r="N878" s="4" t="s">
        <v>7850</v>
      </c>
      <c r="O878" s="4" t="s">
        <v>7951</v>
      </c>
      <c r="P878" s="4" t="s">
        <v>811</v>
      </c>
      <c r="Q878" s="9">
        <v>19895</v>
      </c>
      <c r="R878" s="4" t="s">
        <v>824</v>
      </c>
      <c r="S878" s="4" t="s">
        <v>7455</v>
      </c>
      <c r="T878" s="4" t="s">
        <v>47</v>
      </c>
      <c r="U878" s="4" t="s">
        <v>118</v>
      </c>
      <c r="V878">
        <v>1954</v>
      </c>
      <c r="W878" s="4" t="s">
        <v>47</v>
      </c>
      <c r="X878" s="4" t="s">
        <v>7952</v>
      </c>
      <c r="Y878" s="4" t="s">
        <v>47</v>
      </c>
      <c r="Z878" s="4" t="s">
        <v>7953</v>
      </c>
      <c r="AA878" s="4" t="s">
        <v>47</v>
      </c>
      <c r="AB878" s="4" t="s">
        <v>47</v>
      </c>
      <c r="AC878" s="4" t="s">
        <v>47</v>
      </c>
      <c r="AD878" s="4" t="s">
        <v>47</v>
      </c>
      <c r="AE878" s="4" t="s">
        <v>47</v>
      </c>
      <c r="AF878" s="4" t="s">
        <v>47</v>
      </c>
      <c r="AG878" s="4" t="s">
        <v>47</v>
      </c>
      <c r="AH878" s="4" t="s">
        <v>47</v>
      </c>
      <c r="AI878" s="4" t="s">
        <v>47</v>
      </c>
      <c r="AJ878" s="4" t="s">
        <v>47</v>
      </c>
      <c r="AK878" s="4" t="s">
        <v>47</v>
      </c>
      <c r="AL878" s="4" t="s">
        <v>47</v>
      </c>
      <c r="AM878" s="4" t="s">
        <v>47</v>
      </c>
      <c r="AN878" s="4" t="s">
        <v>47</v>
      </c>
      <c r="AO878" s="4" t="s">
        <v>47</v>
      </c>
      <c r="AP878" s="4" t="s">
        <v>47</v>
      </c>
      <c r="AQ878" s="4" t="s">
        <v>47</v>
      </c>
      <c r="AR878" s="4" t="s">
        <v>47</v>
      </c>
    </row>
    <row r="879" spans="1:44" x14ac:dyDescent="0.2">
      <c r="A879" s="4" t="s">
        <v>121</v>
      </c>
      <c r="B879" s="4" t="s">
        <v>205</v>
      </c>
      <c r="C879">
        <v>7</v>
      </c>
      <c r="F879">
        <v>0</v>
      </c>
      <c r="I879" s="4" t="s">
        <v>7859</v>
      </c>
      <c r="J879" s="4" t="s">
        <v>7899</v>
      </c>
      <c r="K879" s="4" t="s">
        <v>7954</v>
      </c>
      <c r="L879" s="4" t="s">
        <v>7955</v>
      </c>
      <c r="M879">
        <v>34000</v>
      </c>
      <c r="N879" s="4" t="s">
        <v>7875</v>
      </c>
      <c r="O879" s="4" t="s">
        <v>7956</v>
      </c>
      <c r="P879" s="4" t="s">
        <v>811</v>
      </c>
      <c r="Q879" s="9">
        <v>19894</v>
      </c>
      <c r="R879" s="4" t="s">
        <v>1157</v>
      </c>
      <c r="S879" s="4" t="s">
        <v>7796</v>
      </c>
      <c r="T879" s="4" t="s">
        <v>47</v>
      </c>
      <c r="U879" s="4" t="s">
        <v>118</v>
      </c>
      <c r="V879">
        <v>1954</v>
      </c>
      <c r="W879" s="4" t="s">
        <v>7957</v>
      </c>
      <c r="X879" s="4" t="s">
        <v>47</v>
      </c>
      <c r="Y879" s="4" t="s">
        <v>7958</v>
      </c>
      <c r="Z879" s="4" t="s">
        <v>47</v>
      </c>
      <c r="AA879" s="4" t="s">
        <v>47</v>
      </c>
      <c r="AB879" s="4" t="s">
        <v>47</v>
      </c>
      <c r="AC879" s="4" t="s">
        <v>47</v>
      </c>
      <c r="AD879" s="4" t="s">
        <v>47</v>
      </c>
      <c r="AE879" s="4" t="s">
        <v>47</v>
      </c>
      <c r="AF879" s="4" t="s">
        <v>47</v>
      </c>
      <c r="AG879" s="4" t="s">
        <v>47</v>
      </c>
      <c r="AH879" s="4" t="s">
        <v>47</v>
      </c>
      <c r="AI879" s="4" t="s">
        <v>47</v>
      </c>
      <c r="AJ879" s="4" t="s">
        <v>47</v>
      </c>
      <c r="AK879" s="4" t="s">
        <v>47</v>
      </c>
      <c r="AL879" s="4" t="s">
        <v>47</v>
      </c>
      <c r="AM879" s="4" t="s">
        <v>47</v>
      </c>
      <c r="AN879" s="4" t="s">
        <v>47</v>
      </c>
      <c r="AO879" s="4" t="s">
        <v>47</v>
      </c>
      <c r="AP879" s="4" t="s">
        <v>47</v>
      </c>
      <c r="AQ879" s="4" t="s">
        <v>47</v>
      </c>
      <c r="AR879" s="4" t="s">
        <v>47</v>
      </c>
    </row>
    <row r="880" spans="1:44" x14ac:dyDescent="0.2">
      <c r="A880" s="4" t="s">
        <v>12</v>
      </c>
      <c r="B880" s="4" t="s">
        <v>4991</v>
      </c>
      <c r="C880">
        <v>1</v>
      </c>
      <c r="F880">
        <v>1</v>
      </c>
      <c r="I880" s="4" t="s">
        <v>7888</v>
      </c>
      <c r="J880" s="4" t="s">
        <v>7889</v>
      </c>
      <c r="K880" s="4" t="s">
        <v>7675</v>
      </c>
      <c r="L880" s="4" t="s">
        <v>7882</v>
      </c>
      <c r="M880">
        <v>24637</v>
      </c>
      <c r="N880" s="4" t="s">
        <v>7869</v>
      </c>
      <c r="O880" s="4" t="s">
        <v>7959</v>
      </c>
      <c r="P880" s="4" t="s">
        <v>811</v>
      </c>
      <c r="Q880" s="9">
        <v>19894</v>
      </c>
      <c r="R880" s="4" t="s">
        <v>1046</v>
      </c>
      <c r="S880" s="4" t="s">
        <v>7908</v>
      </c>
      <c r="T880" s="4" t="s">
        <v>1258</v>
      </c>
      <c r="U880" s="4" t="s">
        <v>118</v>
      </c>
      <c r="V880">
        <v>1954</v>
      </c>
      <c r="W880" s="4" t="s">
        <v>7960</v>
      </c>
      <c r="X880" s="4" t="s">
        <v>7961</v>
      </c>
      <c r="Y880" s="4" t="s">
        <v>7962</v>
      </c>
      <c r="Z880" s="4" t="s">
        <v>7963</v>
      </c>
      <c r="AA880" s="4" t="s">
        <v>47</v>
      </c>
      <c r="AB880" s="4" t="s">
        <v>47</v>
      </c>
      <c r="AC880" s="4" t="s">
        <v>47</v>
      </c>
      <c r="AD880" s="4" t="s">
        <v>47</v>
      </c>
      <c r="AE880" s="4" t="s">
        <v>47</v>
      </c>
      <c r="AF880" s="4" t="s">
        <v>47</v>
      </c>
      <c r="AG880" s="4" t="s">
        <v>47</v>
      </c>
      <c r="AH880" s="4" t="s">
        <v>47</v>
      </c>
      <c r="AI880" s="4" t="s">
        <v>47</v>
      </c>
      <c r="AJ880" s="4" t="s">
        <v>47</v>
      </c>
      <c r="AK880" s="4" t="s">
        <v>47</v>
      </c>
      <c r="AL880" s="4" t="s">
        <v>47</v>
      </c>
      <c r="AM880" s="4" t="s">
        <v>47</v>
      </c>
      <c r="AN880" s="4" t="s">
        <v>47</v>
      </c>
      <c r="AO880" s="4" t="s">
        <v>47</v>
      </c>
      <c r="AP880" s="4" t="s">
        <v>47</v>
      </c>
      <c r="AQ880" s="4" t="s">
        <v>47</v>
      </c>
      <c r="AR880" s="4" t="s">
        <v>47</v>
      </c>
    </row>
    <row r="881" spans="1:44" x14ac:dyDescent="0.2">
      <c r="A881" s="4" t="s">
        <v>173</v>
      </c>
      <c r="B881" s="4" t="s">
        <v>114</v>
      </c>
      <c r="C881">
        <v>5</v>
      </c>
      <c r="F881">
        <v>0</v>
      </c>
      <c r="I881" s="4" t="s">
        <v>7857</v>
      </c>
      <c r="J881" s="4" t="s">
        <v>7858</v>
      </c>
      <c r="K881" s="4" t="s">
        <v>7964</v>
      </c>
      <c r="L881" s="4" t="s">
        <v>7458</v>
      </c>
      <c r="M881">
        <v>26000</v>
      </c>
      <c r="N881" s="4" t="s">
        <v>7861</v>
      </c>
      <c r="O881" s="4" t="s">
        <v>7965</v>
      </c>
      <c r="P881" s="4" t="s">
        <v>811</v>
      </c>
      <c r="Q881" s="9">
        <v>19894</v>
      </c>
      <c r="R881" s="4" t="s">
        <v>1840</v>
      </c>
      <c r="S881" s="4" t="s">
        <v>7966</v>
      </c>
      <c r="T881" s="4" t="s">
        <v>47</v>
      </c>
      <c r="U881" s="4" t="s">
        <v>118</v>
      </c>
      <c r="V881">
        <v>1954</v>
      </c>
      <c r="W881" s="4" t="s">
        <v>7967</v>
      </c>
      <c r="X881" s="4" t="s">
        <v>47</v>
      </c>
      <c r="Y881" s="4" t="s">
        <v>7968</v>
      </c>
      <c r="Z881" s="4" t="s">
        <v>47</v>
      </c>
      <c r="AA881" s="4" t="s">
        <v>47</v>
      </c>
      <c r="AB881" s="4" t="s">
        <v>47</v>
      </c>
      <c r="AC881" s="4" t="s">
        <v>47</v>
      </c>
      <c r="AD881" s="4" t="s">
        <v>47</v>
      </c>
      <c r="AE881" s="4" t="s">
        <v>47</v>
      </c>
      <c r="AF881" s="4" t="s">
        <v>47</v>
      </c>
      <c r="AG881" s="4" t="s">
        <v>47</v>
      </c>
      <c r="AH881" s="4" t="s">
        <v>47</v>
      </c>
      <c r="AI881" s="4" t="s">
        <v>47</v>
      </c>
      <c r="AJ881" s="4" t="s">
        <v>47</v>
      </c>
      <c r="AK881" s="4" t="s">
        <v>47</v>
      </c>
      <c r="AL881" s="4" t="s">
        <v>47</v>
      </c>
      <c r="AM881" s="4" t="s">
        <v>47</v>
      </c>
      <c r="AN881" s="4" t="s">
        <v>47</v>
      </c>
      <c r="AO881" s="4" t="s">
        <v>47</v>
      </c>
      <c r="AP881" s="4" t="s">
        <v>47</v>
      </c>
      <c r="AQ881" s="4" t="s">
        <v>47</v>
      </c>
      <c r="AR881" s="4" t="s">
        <v>47</v>
      </c>
    </row>
    <row r="882" spans="1:44" x14ac:dyDescent="0.2">
      <c r="A882" s="4" t="s">
        <v>87</v>
      </c>
      <c r="B882" s="4" t="s">
        <v>106</v>
      </c>
      <c r="C882">
        <v>3</v>
      </c>
      <c r="F882">
        <v>2</v>
      </c>
      <c r="I882" s="4" t="s">
        <v>7969</v>
      </c>
      <c r="J882" s="4" t="s">
        <v>7787</v>
      </c>
      <c r="K882" s="4" t="s">
        <v>7750</v>
      </c>
      <c r="L882" s="4" t="s">
        <v>7970</v>
      </c>
      <c r="M882">
        <v>19000</v>
      </c>
      <c r="N882" s="4" t="s">
        <v>7883</v>
      </c>
      <c r="O882" s="4" t="s">
        <v>7971</v>
      </c>
      <c r="P882" s="4" t="s">
        <v>811</v>
      </c>
      <c r="Q882" s="9">
        <v>19894</v>
      </c>
      <c r="R882" s="4" t="s">
        <v>1130</v>
      </c>
      <c r="S882" s="4" t="s">
        <v>7972</v>
      </c>
      <c r="T882" s="4" t="s">
        <v>47</v>
      </c>
      <c r="U882" s="4" t="s">
        <v>118</v>
      </c>
      <c r="V882">
        <v>1954</v>
      </c>
      <c r="W882" s="4" t="s">
        <v>7973</v>
      </c>
      <c r="X882" s="4" t="s">
        <v>7974</v>
      </c>
      <c r="Y882" s="4" t="s">
        <v>7975</v>
      </c>
      <c r="Z882" s="4" t="s">
        <v>7976</v>
      </c>
      <c r="AA882" s="4" t="s">
        <v>7977</v>
      </c>
      <c r="AB882" s="4" t="s">
        <v>47</v>
      </c>
      <c r="AC882" s="4" t="s">
        <v>7978</v>
      </c>
      <c r="AD882" s="4" t="s">
        <v>47</v>
      </c>
      <c r="AE882" s="4" t="s">
        <v>47</v>
      </c>
      <c r="AF882" s="4" t="s">
        <v>47</v>
      </c>
      <c r="AG882" s="4" t="s">
        <v>47</v>
      </c>
      <c r="AH882" s="4" t="s">
        <v>47</v>
      </c>
      <c r="AI882" s="4" t="s">
        <v>47</v>
      </c>
      <c r="AJ882" s="4" t="s">
        <v>47</v>
      </c>
      <c r="AK882" s="4" t="s">
        <v>47</v>
      </c>
      <c r="AL882" s="4" t="s">
        <v>47</v>
      </c>
      <c r="AM882" s="4" t="s">
        <v>47</v>
      </c>
      <c r="AN882" s="4" t="s">
        <v>47</v>
      </c>
      <c r="AO882" s="4" t="s">
        <v>47</v>
      </c>
      <c r="AP882" s="4" t="s">
        <v>47</v>
      </c>
      <c r="AQ882" s="4" t="s">
        <v>47</v>
      </c>
      <c r="AR882" s="4" t="s">
        <v>47</v>
      </c>
    </row>
    <row r="883" spans="1:44" x14ac:dyDescent="0.2">
      <c r="A883" s="4" t="s">
        <v>118</v>
      </c>
      <c r="B883" s="4" t="s">
        <v>97</v>
      </c>
      <c r="C883">
        <v>2</v>
      </c>
      <c r="F883">
        <v>1</v>
      </c>
      <c r="I883" s="4" t="s">
        <v>7527</v>
      </c>
      <c r="J883" s="4" t="s">
        <v>7905</v>
      </c>
      <c r="K883" s="4" t="s">
        <v>7922</v>
      </c>
      <c r="L883" s="4" t="s">
        <v>7979</v>
      </c>
      <c r="M883">
        <v>43000</v>
      </c>
      <c r="N883" s="4" t="s">
        <v>7869</v>
      </c>
      <c r="O883" s="4" t="s">
        <v>7980</v>
      </c>
      <c r="P883" s="4" t="s">
        <v>811</v>
      </c>
      <c r="Q883" s="9">
        <v>19892</v>
      </c>
      <c r="R883" s="4" t="s">
        <v>617</v>
      </c>
      <c r="S883" s="4" t="s">
        <v>7981</v>
      </c>
      <c r="T883" s="4" t="s">
        <v>47</v>
      </c>
      <c r="U883" s="4" t="s">
        <v>118</v>
      </c>
      <c r="V883">
        <v>1954</v>
      </c>
      <c r="W883" s="4" t="s">
        <v>7982</v>
      </c>
      <c r="X883" s="4" t="s">
        <v>7983</v>
      </c>
      <c r="Y883" s="4" t="s">
        <v>7984</v>
      </c>
      <c r="Z883" s="4" t="s">
        <v>7985</v>
      </c>
      <c r="AA883" s="4" t="s">
        <v>47</v>
      </c>
      <c r="AB883" s="4" t="s">
        <v>47</v>
      </c>
      <c r="AC883" s="4" t="s">
        <v>47</v>
      </c>
      <c r="AD883" s="4" t="s">
        <v>47</v>
      </c>
      <c r="AE883" s="4" t="s">
        <v>47</v>
      </c>
      <c r="AF883" s="4" t="s">
        <v>47</v>
      </c>
      <c r="AG883" s="4" t="s">
        <v>47</v>
      </c>
      <c r="AH883" s="4" t="s">
        <v>47</v>
      </c>
      <c r="AI883" s="4" t="s">
        <v>47</v>
      </c>
      <c r="AJ883" s="4" t="s">
        <v>47</v>
      </c>
      <c r="AK883" s="4" t="s">
        <v>47</v>
      </c>
      <c r="AL883" s="4" t="s">
        <v>47</v>
      </c>
      <c r="AM883" s="4" t="s">
        <v>47</v>
      </c>
      <c r="AN883" s="4" t="s">
        <v>47</v>
      </c>
      <c r="AO883" s="4" t="s">
        <v>47</v>
      </c>
      <c r="AP883" s="4" t="s">
        <v>47</v>
      </c>
      <c r="AQ883" s="4" t="s">
        <v>47</v>
      </c>
      <c r="AR883" s="4" t="s">
        <v>47</v>
      </c>
    </row>
    <row r="884" spans="1:44" x14ac:dyDescent="0.2">
      <c r="A884" s="4" t="s">
        <v>119</v>
      </c>
      <c r="B884" s="4" t="s">
        <v>175</v>
      </c>
      <c r="C884">
        <v>9</v>
      </c>
      <c r="F884">
        <v>0</v>
      </c>
      <c r="I884" s="4" t="s">
        <v>7848</v>
      </c>
      <c r="J884" s="4" t="s">
        <v>7849</v>
      </c>
      <c r="K884" s="4" t="s">
        <v>7936</v>
      </c>
      <c r="L884" s="4" t="s">
        <v>7986</v>
      </c>
      <c r="M884">
        <v>13000</v>
      </c>
      <c r="N884" s="4" t="s">
        <v>7861</v>
      </c>
      <c r="O884" s="4" t="s">
        <v>7987</v>
      </c>
      <c r="P884" s="4" t="s">
        <v>811</v>
      </c>
      <c r="Q884" s="9">
        <v>19892</v>
      </c>
      <c r="R884" s="4" t="s">
        <v>6920</v>
      </c>
      <c r="S884" s="4" t="s">
        <v>7917</v>
      </c>
      <c r="T884" s="4" t="s">
        <v>47</v>
      </c>
      <c r="U884" s="4" t="s">
        <v>118</v>
      </c>
      <c r="V884">
        <v>1954</v>
      </c>
      <c r="W884" s="4" t="s">
        <v>7988</v>
      </c>
      <c r="X884" s="4" t="s">
        <v>47</v>
      </c>
      <c r="Y884" s="4" t="s">
        <v>7989</v>
      </c>
      <c r="Z884" s="4" t="s">
        <v>47</v>
      </c>
      <c r="AA884" s="4" t="s">
        <v>47</v>
      </c>
      <c r="AB884" s="4" t="s">
        <v>47</v>
      </c>
      <c r="AC884" s="4" t="s">
        <v>47</v>
      </c>
      <c r="AD884" s="4" t="s">
        <v>47</v>
      </c>
      <c r="AE884" s="4" t="s">
        <v>47</v>
      </c>
      <c r="AF884" s="4" t="s">
        <v>47</v>
      </c>
      <c r="AG884" s="4" t="s">
        <v>47</v>
      </c>
      <c r="AH884" s="4" t="s">
        <v>47</v>
      </c>
      <c r="AI884" s="4" t="s">
        <v>47</v>
      </c>
      <c r="AJ884" s="4" t="s">
        <v>47</v>
      </c>
      <c r="AK884" s="4" t="s">
        <v>47</v>
      </c>
      <c r="AL884" s="4" t="s">
        <v>47</v>
      </c>
      <c r="AM884" s="4" t="s">
        <v>47</v>
      </c>
      <c r="AN884" s="4" t="s">
        <v>47</v>
      </c>
      <c r="AO884" s="4" t="s">
        <v>47</v>
      </c>
      <c r="AP884" s="4" t="s">
        <v>47</v>
      </c>
      <c r="AQ884" s="4" t="s">
        <v>47</v>
      </c>
      <c r="AR884" s="4" t="s">
        <v>47</v>
      </c>
    </row>
    <row r="885" spans="1:44" x14ac:dyDescent="0.2">
      <c r="A885" s="4" t="s">
        <v>92</v>
      </c>
      <c r="B885" s="4" t="s">
        <v>169</v>
      </c>
      <c r="C885">
        <v>4</v>
      </c>
      <c r="F885">
        <v>1</v>
      </c>
      <c r="I885" s="4" t="s">
        <v>7509</v>
      </c>
      <c r="J885" s="4" t="s">
        <v>7847</v>
      </c>
      <c r="K885" s="4" t="s">
        <v>7913</v>
      </c>
      <c r="L885" s="4" t="s">
        <v>7935</v>
      </c>
      <c r="M885">
        <v>28000</v>
      </c>
      <c r="N885" s="4" t="s">
        <v>7850</v>
      </c>
      <c r="O885" s="4" t="s">
        <v>7990</v>
      </c>
      <c r="P885" s="4" t="s">
        <v>811</v>
      </c>
      <c r="Q885" s="9">
        <v>19892</v>
      </c>
      <c r="R885" s="4" t="s">
        <v>757</v>
      </c>
      <c r="S885" s="4" t="s">
        <v>7991</v>
      </c>
      <c r="T885" s="4" t="s">
        <v>47</v>
      </c>
      <c r="U885" s="4" t="s">
        <v>118</v>
      </c>
      <c r="V885">
        <v>1954</v>
      </c>
      <c r="W885" s="4" t="s">
        <v>7992</v>
      </c>
      <c r="X885" s="4" t="s">
        <v>7993</v>
      </c>
      <c r="Y885" s="4" t="s">
        <v>7994</v>
      </c>
      <c r="Z885" s="4" t="s">
        <v>7995</v>
      </c>
      <c r="AA885" s="4" t="s">
        <v>47</v>
      </c>
      <c r="AB885" s="4" t="s">
        <v>47</v>
      </c>
      <c r="AC885" s="4" t="s">
        <v>47</v>
      </c>
      <c r="AD885" s="4" t="s">
        <v>47</v>
      </c>
      <c r="AE885" s="4" t="s">
        <v>47</v>
      </c>
      <c r="AF885" s="4" t="s">
        <v>47</v>
      </c>
      <c r="AG885" s="4" t="s">
        <v>47</v>
      </c>
      <c r="AH885" s="4" t="s">
        <v>47</v>
      </c>
      <c r="AI885" s="4" t="s">
        <v>47</v>
      </c>
      <c r="AJ885" s="4" t="s">
        <v>47</v>
      </c>
      <c r="AK885" s="4" t="s">
        <v>47</v>
      </c>
      <c r="AL885" s="4" t="s">
        <v>47</v>
      </c>
      <c r="AM885" s="4" t="s">
        <v>47</v>
      </c>
      <c r="AN885" s="4" t="s">
        <v>47</v>
      </c>
      <c r="AO885" s="4" t="s">
        <v>47</v>
      </c>
      <c r="AP885" s="4" t="s">
        <v>47</v>
      </c>
      <c r="AQ885" s="4" t="s">
        <v>47</v>
      </c>
      <c r="AR885" s="4" t="s">
        <v>47</v>
      </c>
    </row>
    <row r="886" spans="1:44" x14ac:dyDescent="0.2">
      <c r="A886" s="4" t="s">
        <v>52</v>
      </c>
      <c r="B886" s="4" t="s">
        <v>148</v>
      </c>
      <c r="C886">
        <v>4</v>
      </c>
      <c r="F886">
        <v>4</v>
      </c>
      <c r="I886" s="4" t="s">
        <v>7497</v>
      </c>
      <c r="J886" s="4" t="s">
        <v>7708</v>
      </c>
      <c r="K886" s="4" t="s">
        <v>7942</v>
      </c>
      <c r="L886" s="4" t="s">
        <v>7943</v>
      </c>
      <c r="M886">
        <v>14000</v>
      </c>
      <c r="N886" s="4" t="s">
        <v>7875</v>
      </c>
      <c r="O886" s="4" t="s">
        <v>7996</v>
      </c>
      <c r="P886" s="4" t="s">
        <v>811</v>
      </c>
      <c r="Q886" s="9">
        <v>19892</v>
      </c>
      <c r="R886" s="4" t="s">
        <v>7564</v>
      </c>
      <c r="S886" s="4" t="s">
        <v>7997</v>
      </c>
      <c r="T886" s="4" t="s">
        <v>1258</v>
      </c>
      <c r="U886" s="4" t="s">
        <v>118</v>
      </c>
      <c r="V886">
        <v>1954</v>
      </c>
      <c r="W886" s="4" t="s">
        <v>7998</v>
      </c>
      <c r="X886" s="4" t="s">
        <v>7999</v>
      </c>
      <c r="Y886" s="4" t="s">
        <v>8000</v>
      </c>
      <c r="Z886" s="4" t="s">
        <v>8001</v>
      </c>
      <c r="AA886" s="4" t="s">
        <v>47</v>
      </c>
      <c r="AB886" s="4" t="s">
        <v>8002</v>
      </c>
      <c r="AC886" s="4" t="s">
        <v>47</v>
      </c>
      <c r="AD886" s="4" t="s">
        <v>47</v>
      </c>
      <c r="AE886" s="4" t="s">
        <v>47</v>
      </c>
      <c r="AF886" s="4" t="s">
        <v>47</v>
      </c>
      <c r="AG886" s="4" t="s">
        <v>47</v>
      </c>
      <c r="AH886" s="4" t="s">
        <v>47</v>
      </c>
      <c r="AI886" s="4" t="s">
        <v>47</v>
      </c>
      <c r="AJ886" s="4" t="s">
        <v>47</v>
      </c>
      <c r="AK886" s="4" t="s">
        <v>47</v>
      </c>
      <c r="AL886" s="4" t="s">
        <v>47</v>
      </c>
      <c r="AM886" s="4" t="s">
        <v>47</v>
      </c>
      <c r="AN886" s="4" t="s">
        <v>47</v>
      </c>
      <c r="AO886" s="4" t="s">
        <v>47</v>
      </c>
      <c r="AP886" s="4" t="s">
        <v>47</v>
      </c>
      <c r="AQ886" s="4" t="s">
        <v>47</v>
      </c>
      <c r="AR886" s="4" t="s">
        <v>47</v>
      </c>
    </row>
    <row r="887" spans="1:44" x14ac:dyDescent="0.2">
      <c r="A887" s="4" t="s">
        <v>121</v>
      </c>
      <c r="B887" s="4" t="s">
        <v>114</v>
      </c>
      <c r="C887">
        <v>2</v>
      </c>
      <c r="F887">
        <v>0</v>
      </c>
      <c r="I887" s="4" t="s">
        <v>7859</v>
      </c>
      <c r="J887" s="4" t="s">
        <v>7899</v>
      </c>
      <c r="K887" s="4" t="s">
        <v>8003</v>
      </c>
      <c r="L887" s="4" t="s">
        <v>7458</v>
      </c>
      <c r="M887">
        <v>20500</v>
      </c>
      <c r="N887" s="4" t="s">
        <v>7850</v>
      </c>
      <c r="O887" s="4" t="s">
        <v>8004</v>
      </c>
      <c r="P887" s="4" t="s">
        <v>811</v>
      </c>
      <c r="Q887" s="9">
        <v>19891</v>
      </c>
      <c r="R887" s="4" t="s">
        <v>630</v>
      </c>
      <c r="S887" s="4" t="s">
        <v>7733</v>
      </c>
      <c r="T887" s="4" t="s">
        <v>47</v>
      </c>
      <c r="U887" s="4" t="s">
        <v>118</v>
      </c>
      <c r="V887">
        <v>1954</v>
      </c>
      <c r="W887" s="4" t="s">
        <v>8005</v>
      </c>
      <c r="X887" s="4" t="s">
        <v>47</v>
      </c>
      <c r="Y887" s="4" t="s">
        <v>8006</v>
      </c>
      <c r="Z887" s="4" t="s">
        <v>47</v>
      </c>
      <c r="AA887" s="4" t="s">
        <v>47</v>
      </c>
      <c r="AB887" s="4" t="s">
        <v>47</v>
      </c>
      <c r="AC887" s="4" t="s">
        <v>47</v>
      </c>
      <c r="AD887" s="4" t="s">
        <v>47</v>
      </c>
      <c r="AE887" s="4" t="s">
        <v>47</v>
      </c>
      <c r="AF887" s="4" t="s">
        <v>47</v>
      </c>
      <c r="AG887" s="4" t="s">
        <v>47</v>
      </c>
      <c r="AH887" s="4" t="s">
        <v>47</v>
      </c>
      <c r="AI887" s="4" t="s">
        <v>47</v>
      </c>
      <c r="AJ887" s="4" t="s">
        <v>47</v>
      </c>
      <c r="AK887" s="4" t="s">
        <v>47</v>
      </c>
      <c r="AL887" s="4" t="s">
        <v>47</v>
      </c>
      <c r="AM887" s="4" t="s">
        <v>47</v>
      </c>
      <c r="AN887" s="4" t="s">
        <v>47</v>
      </c>
      <c r="AO887" s="4" t="s">
        <v>47</v>
      </c>
      <c r="AP887" s="4" t="s">
        <v>47</v>
      </c>
      <c r="AQ887" s="4" t="s">
        <v>47</v>
      </c>
      <c r="AR887" s="4" t="s">
        <v>47</v>
      </c>
    </row>
    <row r="888" spans="1:44" x14ac:dyDescent="0.2">
      <c r="A888" s="4" t="s">
        <v>4991</v>
      </c>
      <c r="B888" s="4" t="s">
        <v>87</v>
      </c>
      <c r="C888">
        <v>1</v>
      </c>
      <c r="F888">
        <v>0</v>
      </c>
      <c r="I888" s="4" t="s">
        <v>7675</v>
      </c>
      <c r="J888" s="4" t="s">
        <v>8007</v>
      </c>
      <c r="K888" s="4" t="s">
        <v>7969</v>
      </c>
      <c r="L888" s="4" t="s">
        <v>7662</v>
      </c>
      <c r="M888">
        <v>16000</v>
      </c>
      <c r="N888" s="4" t="s">
        <v>7869</v>
      </c>
      <c r="O888" s="4" t="s">
        <v>8008</v>
      </c>
      <c r="P888" s="4" t="s">
        <v>811</v>
      </c>
      <c r="Q888" s="9">
        <v>19891</v>
      </c>
      <c r="R888" s="4" t="s">
        <v>652</v>
      </c>
      <c r="S888" s="4" t="s">
        <v>7664</v>
      </c>
      <c r="T888" s="4" t="s">
        <v>47</v>
      </c>
      <c r="U888" s="4" t="s">
        <v>118</v>
      </c>
      <c r="V888">
        <v>1954</v>
      </c>
      <c r="W888" s="4" t="s">
        <v>8009</v>
      </c>
      <c r="X888" s="4" t="s">
        <v>47</v>
      </c>
      <c r="Y888" s="4" t="s">
        <v>8010</v>
      </c>
      <c r="Z888" s="4" t="s">
        <v>47</v>
      </c>
      <c r="AA888" s="4" t="s">
        <v>47</v>
      </c>
      <c r="AB888" s="4" t="s">
        <v>47</v>
      </c>
      <c r="AC888" s="4" t="s">
        <v>47</v>
      </c>
      <c r="AD888" s="4" t="s">
        <v>47</v>
      </c>
      <c r="AE888" s="4" t="s">
        <v>47</v>
      </c>
      <c r="AF888" s="4" t="s">
        <v>47</v>
      </c>
      <c r="AG888" s="4" t="s">
        <v>47</v>
      </c>
      <c r="AH888" s="4" t="s">
        <v>47</v>
      </c>
      <c r="AI888" s="4" t="s">
        <v>47</v>
      </c>
      <c r="AJ888" s="4" t="s">
        <v>47</v>
      </c>
      <c r="AK888" s="4" t="s">
        <v>47</v>
      </c>
      <c r="AL888" s="4" t="s">
        <v>47</v>
      </c>
      <c r="AM888" s="4" t="s">
        <v>47</v>
      </c>
      <c r="AN888" s="4" t="s">
        <v>47</v>
      </c>
      <c r="AO888" s="4" t="s">
        <v>47</v>
      </c>
      <c r="AP888" s="4" t="s">
        <v>47</v>
      </c>
      <c r="AQ888" s="4" t="s">
        <v>47</v>
      </c>
      <c r="AR888" s="4" t="s">
        <v>47</v>
      </c>
    </row>
    <row r="889" spans="1:44" x14ac:dyDescent="0.2">
      <c r="A889" s="4" t="s">
        <v>12</v>
      </c>
      <c r="B889" s="4" t="s">
        <v>106</v>
      </c>
      <c r="C889">
        <v>5</v>
      </c>
      <c r="F889">
        <v>0</v>
      </c>
      <c r="I889" s="4" t="s">
        <v>7888</v>
      </c>
      <c r="J889" s="4" t="s">
        <v>7889</v>
      </c>
      <c r="K889" s="4" t="s">
        <v>7750</v>
      </c>
      <c r="L889" s="4" t="s">
        <v>7970</v>
      </c>
      <c r="M889">
        <v>13470</v>
      </c>
      <c r="N889" s="4" t="s">
        <v>7883</v>
      </c>
      <c r="O889" s="4" t="s">
        <v>8011</v>
      </c>
      <c r="P889" s="4" t="s">
        <v>811</v>
      </c>
      <c r="Q889" s="9">
        <v>19891</v>
      </c>
      <c r="R889" s="4" t="s">
        <v>1840</v>
      </c>
      <c r="S889" s="4" t="s">
        <v>7679</v>
      </c>
      <c r="T889" s="4" t="s">
        <v>47</v>
      </c>
      <c r="U889" s="4" t="s">
        <v>118</v>
      </c>
      <c r="V889">
        <v>1954</v>
      </c>
      <c r="W889" s="4" t="s">
        <v>8012</v>
      </c>
      <c r="X889" s="4" t="s">
        <v>47</v>
      </c>
      <c r="Y889" s="4" t="s">
        <v>8013</v>
      </c>
      <c r="Z889" s="4" t="s">
        <v>47</v>
      </c>
      <c r="AA889" s="4" t="s">
        <v>47</v>
      </c>
      <c r="AB889" s="4" t="s">
        <v>47</v>
      </c>
      <c r="AC889" s="4" t="s">
        <v>47</v>
      </c>
      <c r="AD889" s="4" t="s">
        <v>47</v>
      </c>
      <c r="AE889" s="4" t="s">
        <v>47</v>
      </c>
      <c r="AF889" s="4" t="s">
        <v>47</v>
      </c>
      <c r="AG889" s="4" t="s">
        <v>47</v>
      </c>
      <c r="AH889" s="4" t="s">
        <v>47</v>
      </c>
      <c r="AI889" s="4" t="s">
        <v>47</v>
      </c>
      <c r="AJ889" s="4" t="s">
        <v>47</v>
      </c>
      <c r="AK889" s="4" t="s">
        <v>47</v>
      </c>
      <c r="AL889" s="4" t="s">
        <v>47</v>
      </c>
      <c r="AM889" s="4" t="s">
        <v>47</v>
      </c>
      <c r="AN889" s="4" t="s">
        <v>47</v>
      </c>
      <c r="AO889" s="4" t="s">
        <v>47</v>
      </c>
      <c r="AP889" s="4" t="s">
        <v>47</v>
      </c>
      <c r="AQ889" s="4" t="s">
        <v>47</v>
      </c>
      <c r="AR889" s="4" t="s">
        <v>47</v>
      </c>
    </row>
    <row r="890" spans="1:44" x14ac:dyDescent="0.2">
      <c r="A890" s="4" t="s">
        <v>173</v>
      </c>
      <c r="B890" s="4" t="s">
        <v>205</v>
      </c>
      <c r="C890">
        <v>1</v>
      </c>
      <c r="F890">
        <v>0</v>
      </c>
      <c r="I890" s="4" t="s">
        <v>7857</v>
      </c>
      <c r="J890" s="4" t="s">
        <v>8014</v>
      </c>
      <c r="K890" s="4" t="s">
        <v>7954</v>
      </c>
      <c r="L890" s="4" t="s">
        <v>7955</v>
      </c>
      <c r="M890">
        <v>25000</v>
      </c>
      <c r="N890" s="4" t="s">
        <v>7861</v>
      </c>
      <c r="O890" s="4" t="s">
        <v>8015</v>
      </c>
      <c r="P890" s="4" t="s">
        <v>811</v>
      </c>
      <c r="Q890" s="9">
        <v>19891</v>
      </c>
      <c r="R890" s="4" t="s">
        <v>652</v>
      </c>
      <c r="S890" s="4" t="s">
        <v>8016</v>
      </c>
      <c r="T890" s="4" t="s">
        <v>47</v>
      </c>
      <c r="U890" s="4" t="s">
        <v>118</v>
      </c>
      <c r="V890">
        <v>1954</v>
      </c>
      <c r="W890" s="4" t="s">
        <v>8017</v>
      </c>
      <c r="X890" s="4" t="s">
        <v>47</v>
      </c>
      <c r="Y890" s="4" t="s">
        <v>8018</v>
      </c>
      <c r="Z890" s="4" t="s">
        <v>47</v>
      </c>
      <c r="AA890" s="4" t="s">
        <v>47</v>
      </c>
      <c r="AB890" s="4" t="s">
        <v>47</v>
      </c>
      <c r="AC890" s="4" t="s">
        <v>47</v>
      </c>
      <c r="AD890" s="4" t="s">
        <v>47</v>
      </c>
      <c r="AE890" s="4" t="s">
        <v>47</v>
      </c>
      <c r="AF890" s="4" t="s">
        <v>47</v>
      </c>
      <c r="AG890" s="4" t="s">
        <v>47</v>
      </c>
      <c r="AH890" s="4" t="s">
        <v>47</v>
      </c>
      <c r="AI890" s="4" t="s">
        <v>47</v>
      </c>
      <c r="AJ890" s="4" t="s">
        <v>47</v>
      </c>
      <c r="AK890" s="4" t="s">
        <v>47</v>
      </c>
      <c r="AL890" s="4" t="s">
        <v>47</v>
      </c>
      <c r="AM890" s="4" t="s">
        <v>47</v>
      </c>
      <c r="AN890" s="4" t="s">
        <v>47</v>
      </c>
      <c r="AO890" s="4" t="s">
        <v>47</v>
      </c>
      <c r="AP890" s="4" t="s">
        <v>47</v>
      </c>
      <c r="AQ890" s="4" t="s">
        <v>47</v>
      </c>
      <c r="AR890" s="4" t="s">
        <v>47</v>
      </c>
    </row>
    <row r="891" spans="1:44" x14ac:dyDescent="0.2">
      <c r="A891" s="4" t="s">
        <v>116</v>
      </c>
      <c r="B891" s="4" t="s">
        <v>20</v>
      </c>
      <c r="C891">
        <v>3</v>
      </c>
      <c r="F891">
        <v>1</v>
      </c>
      <c r="I891" s="4" t="s">
        <v>7636</v>
      </c>
      <c r="J891" s="4" t="s">
        <v>8019</v>
      </c>
      <c r="K891" s="4" t="s">
        <v>8020</v>
      </c>
      <c r="L891" s="4" t="s">
        <v>8021</v>
      </c>
      <c r="M891">
        <v>11227</v>
      </c>
      <c r="N891" s="4" t="s">
        <v>8022</v>
      </c>
      <c r="O891" s="4" t="s">
        <v>8023</v>
      </c>
      <c r="P891" s="4" t="s">
        <v>8024</v>
      </c>
      <c r="Q891" s="9">
        <v>18460</v>
      </c>
      <c r="R891" s="4" t="s">
        <v>770</v>
      </c>
      <c r="S891" s="4" t="s">
        <v>8025</v>
      </c>
      <c r="T891" s="4" t="s">
        <v>47</v>
      </c>
      <c r="U891" s="4" t="s">
        <v>12</v>
      </c>
      <c r="V891">
        <v>1950</v>
      </c>
      <c r="W891" s="4" t="s">
        <v>8026</v>
      </c>
      <c r="X891" s="4" t="s">
        <v>8027</v>
      </c>
      <c r="Y891" s="4" t="s">
        <v>8028</v>
      </c>
      <c r="Z891" s="4" t="s">
        <v>8029</v>
      </c>
      <c r="AA891" s="4" t="s">
        <v>47</v>
      </c>
      <c r="AB891" s="4" t="s">
        <v>47</v>
      </c>
      <c r="AC891" s="4" t="s">
        <v>47</v>
      </c>
      <c r="AD891" s="4" t="s">
        <v>47</v>
      </c>
      <c r="AE891" s="4" t="s">
        <v>47</v>
      </c>
      <c r="AF891" s="4" t="s">
        <v>47</v>
      </c>
      <c r="AG891" s="4" t="s">
        <v>47</v>
      </c>
      <c r="AH891" s="4" t="s">
        <v>47</v>
      </c>
      <c r="AI891" s="4" t="s">
        <v>47</v>
      </c>
      <c r="AJ891" s="4" t="s">
        <v>47</v>
      </c>
      <c r="AK891" s="4" t="s">
        <v>47</v>
      </c>
      <c r="AL891" s="4" t="s">
        <v>47</v>
      </c>
      <c r="AM891" s="4" t="s">
        <v>47</v>
      </c>
      <c r="AN891" s="4" t="s">
        <v>47</v>
      </c>
      <c r="AO891" s="4" t="s">
        <v>47</v>
      </c>
      <c r="AP891" s="4" t="s">
        <v>47</v>
      </c>
      <c r="AQ891" s="4" t="s">
        <v>47</v>
      </c>
      <c r="AR891" s="4" t="s">
        <v>47</v>
      </c>
    </row>
    <row r="892" spans="1:44" x14ac:dyDescent="0.2">
      <c r="A892" s="4" t="s">
        <v>121</v>
      </c>
      <c r="B892" s="4" t="s">
        <v>12</v>
      </c>
      <c r="C892">
        <v>2</v>
      </c>
      <c r="F892">
        <v>1</v>
      </c>
      <c r="I892" s="4" t="s">
        <v>7859</v>
      </c>
      <c r="J892" s="4" t="s">
        <v>7899</v>
      </c>
      <c r="K892" s="4" t="s">
        <v>8030</v>
      </c>
      <c r="L892" s="4" t="s">
        <v>8031</v>
      </c>
      <c r="M892">
        <v>173850</v>
      </c>
      <c r="N892" s="4" t="s">
        <v>8032</v>
      </c>
      <c r="O892" s="4" t="s">
        <v>8033</v>
      </c>
      <c r="P892" s="4" t="s">
        <v>8024</v>
      </c>
      <c r="Q892" s="9">
        <v>18460</v>
      </c>
      <c r="R892" s="4" t="s">
        <v>617</v>
      </c>
      <c r="S892" s="4" t="s">
        <v>8034</v>
      </c>
      <c r="T892" s="4" t="s">
        <v>47</v>
      </c>
      <c r="U892" s="4" t="s">
        <v>12</v>
      </c>
      <c r="V892">
        <v>1950</v>
      </c>
      <c r="W892" s="4" t="s">
        <v>8035</v>
      </c>
      <c r="X892" s="4" t="s">
        <v>8036</v>
      </c>
      <c r="Y892" s="4" t="s">
        <v>8037</v>
      </c>
      <c r="Z892" s="4" t="s">
        <v>8038</v>
      </c>
      <c r="AA892" s="4" t="s">
        <v>47</v>
      </c>
      <c r="AB892" s="4" t="s">
        <v>47</v>
      </c>
      <c r="AC892" s="4" t="s">
        <v>47</v>
      </c>
      <c r="AD892" s="4" t="s">
        <v>47</v>
      </c>
      <c r="AE892" s="4" t="s">
        <v>47</v>
      </c>
      <c r="AF892" s="4" t="s">
        <v>47</v>
      </c>
      <c r="AG892" s="4" t="s">
        <v>47</v>
      </c>
      <c r="AH892" s="4" t="s">
        <v>47</v>
      </c>
      <c r="AI892" s="4" t="s">
        <v>47</v>
      </c>
      <c r="AJ892" s="4" t="s">
        <v>47</v>
      </c>
      <c r="AK892" s="4" t="s">
        <v>47</v>
      </c>
      <c r="AL892" s="4" t="s">
        <v>47</v>
      </c>
      <c r="AM892" s="4" t="s">
        <v>47</v>
      </c>
      <c r="AN892" s="4" t="s">
        <v>47</v>
      </c>
      <c r="AO892" s="4" t="s">
        <v>47</v>
      </c>
      <c r="AP892" s="4" t="s">
        <v>47</v>
      </c>
      <c r="AQ892" s="4" t="s">
        <v>47</v>
      </c>
      <c r="AR892" s="4" t="s">
        <v>47</v>
      </c>
    </row>
    <row r="893" spans="1:44" x14ac:dyDescent="0.2">
      <c r="A893" s="4" t="s">
        <v>12</v>
      </c>
      <c r="B893" s="4" t="s">
        <v>20</v>
      </c>
      <c r="C893">
        <v>6</v>
      </c>
      <c r="F893">
        <v>1</v>
      </c>
      <c r="I893" s="4" t="s">
        <v>8030</v>
      </c>
      <c r="J893" s="4" t="s">
        <v>8031</v>
      </c>
      <c r="K893" s="4" t="s">
        <v>8020</v>
      </c>
      <c r="L893" s="4" t="s">
        <v>8039</v>
      </c>
      <c r="M893">
        <v>152772</v>
      </c>
      <c r="N893" s="4" t="s">
        <v>8032</v>
      </c>
      <c r="O893" s="4" t="s">
        <v>8040</v>
      </c>
      <c r="P893" s="4" t="s">
        <v>8024</v>
      </c>
      <c r="Q893" s="9">
        <v>18457</v>
      </c>
      <c r="R893" s="4" t="s">
        <v>728</v>
      </c>
      <c r="S893" s="4" t="s">
        <v>7690</v>
      </c>
      <c r="T893" s="4" t="s">
        <v>47</v>
      </c>
      <c r="U893" s="4" t="s">
        <v>12</v>
      </c>
      <c r="V893">
        <v>1950</v>
      </c>
      <c r="W893" s="4" t="s">
        <v>8041</v>
      </c>
      <c r="X893" s="4" t="s">
        <v>8042</v>
      </c>
      <c r="Y893" s="4" t="s">
        <v>8043</v>
      </c>
      <c r="Z893" s="4" t="s">
        <v>8044</v>
      </c>
      <c r="AA893" s="4" t="s">
        <v>8045</v>
      </c>
      <c r="AB893" s="4" t="s">
        <v>47</v>
      </c>
      <c r="AC893" s="4" t="s">
        <v>47</v>
      </c>
      <c r="AD893" s="4" t="s">
        <v>47</v>
      </c>
      <c r="AE893" s="4" t="s">
        <v>47</v>
      </c>
      <c r="AF893" s="4" t="s">
        <v>47</v>
      </c>
      <c r="AG893" s="4" t="s">
        <v>47</v>
      </c>
      <c r="AH893" s="4" t="s">
        <v>47</v>
      </c>
      <c r="AI893" s="4" t="s">
        <v>47</v>
      </c>
      <c r="AJ893" s="4" t="s">
        <v>47</v>
      </c>
      <c r="AK893" s="4" t="s">
        <v>47</v>
      </c>
      <c r="AL893" s="4" t="s">
        <v>47</v>
      </c>
      <c r="AM893" s="4" t="s">
        <v>47</v>
      </c>
      <c r="AN893" s="4" t="s">
        <v>47</v>
      </c>
      <c r="AO893" s="4" t="s">
        <v>8046</v>
      </c>
      <c r="AP893" s="4" t="s">
        <v>47</v>
      </c>
      <c r="AQ893" s="4" t="s">
        <v>47</v>
      </c>
      <c r="AR893" s="4" t="s">
        <v>47</v>
      </c>
    </row>
    <row r="894" spans="1:44" x14ac:dyDescent="0.2">
      <c r="A894" s="4" t="s">
        <v>121</v>
      </c>
      <c r="B894" s="4" t="s">
        <v>116</v>
      </c>
      <c r="C894">
        <v>3</v>
      </c>
      <c r="F894">
        <v>2</v>
      </c>
      <c r="I894" s="4" t="s">
        <v>7859</v>
      </c>
      <c r="J894" s="4" t="s">
        <v>7899</v>
      </c>
      <c r="K894" s="4" t="s">
        <v>7636</v>
      </c>
      <c r="L894" s="4" t="s">
        <v>8019</v>
      </c>
      <c r="M894">
        <v>7987</v>
      </c>
      <c r="N894" s="4" t="s">
        <v>8022</v>
      </c>
      <c r="O894" s="4" t="s">
        <v>8047</v>
      </c>
      <c r="P894" s="4" t="s">
        <v>8024</v>
      </c>
      <c r="Q894" s="9">
        <v>18457</v>
      </c>
      <c r="R894" s="4" t="s">
        <v>1130</v>
      </c>
      <c r="S894" s="4" t="s">
        <v>8048</v>
      </c>
      <c r="T894" s="4" t="s">
        <v>47</v>
      </c>
      <c r="U894" s="4" t="s">
        <v>12</v>
      </c>
      <c r="V894">
        <v>1950</v>
      </c>
      <c r="W894" s="4" t="s">
        <v>8049</v>
      </c>
      <c r="X894" s="4" t="s">
        <v>8050</v>
      </c>
      <c r="Y894" s="4" t="s">
        <v>8051</v>
      </c>
      <c r="Z894" s="4" t="s">
        <v>8052</v>
      </c>
      <c r="AA894" s="4" t="s">
        <v>47</v>
      </c>
      <c r="AB894" s="4" t="s">
        <v>47</v>
      </c>
      <c r="AC894" s="4" t="s">
        <v>47</v>
      </c>
      <c r="AD894" s="4" t="s">
        <v>47</v>
      </c>
      <c r="AE894" s="4" t="s">
        <v>47</v>
      </c>
      <c r="AF894" s="4" t="s">
        <v>47</v>
      </c>
      <c r="AG894" s="4" t="s">
        <v>47</v>
      </c>
      <c r="AH894" s="4" t="s">
        <v>47</v>
      </c>
      <c r="AI894" s="4" t="s">
        <v>47</v>
      </c>
      <c r="AJ894" s="4" t="s">
        <v>47</v>
      </c>
      <c r="AK894" s="4" t="s">
        <v>47</v>
      </c>
      <c r="AL894" s="4" t="s">
        <v>47</v>
      </c>
      <c r="AM894" s="4" t="s">
        <v>47</v>
      </c>
      <c r="AN894" s="4" t="s">
        <v>47</v>
      </c>
      <c r="AO894" s="4" t="s">
        <v>47</v>
      </c>
      <c r="AP894" s="4" t="s">
        <v>47</v>
      </c>
      <c r="AQ894" s="4" t="s">
        <v>47</v>
      </c>
      <c r="AR894" s="4" t="s">
        <v>47</v>
      </c>
    </row>
    <row r="895" spans="1:44" x14ac:dyDescent="0.2">
      <c r="A895" s="4" t="s">
        <v>12</v>
      </c>
      <c r="B895" s="4" t="s">
        <v>116</v>
      </c>
      <c r="C895">
        <v>7</v>
      </c>
      <c r="F895">
        <v>1</v>
      </c>
      <c r="I895" s="4" t="s">
        <v>8030</v>
      </c>
      <c r="J895" s="4" t="s">
        <v>8031</v>
      </c>
      <c r="K895" s="4" t="s">
        <v>7636</v>
      </c>
      <c r="L895" s="4" t="s">
        <v>8019</v>
      </c>
      <c r="M895">
        <v>138886</v>
      </c>
      <c r="N895" s="4" t="s">
        <v>8032</v>
      </c>
      <c r="O895" s="4" t="s">
        <v>8053</v>
      </c>
      <c r="P895" s="4" t="s">
        <v>8024</v>
      </c>
      <c r="Q895" s="9">
        <v>18453</v>
      </c>
      <c r="R895" s="4" t="s">
        <v>8054</v>
      </c>
      <c r="S895" s="4" t="s">
        <v>7733</v>
      </c>
      <c r="T895" s="4" t="s">
        <v>47</v>
      </c>
      <c r="U895" s="4" t="s">
        <v>12</v>
      </c>
      <c r="V895">
        <v>1950</v>
      </c>
      <c r="W895" s="4" t="s">
        <v>8055</v>
      </c>
      <c r="X895" s="4" t="s">
        <v>47</v>
      </c>
      <c r="Y895" s="4" t="s">
        <v>8056</v>
      </c>
      <c r="Z895" s="4" t="s">
        <v>47</v>
      </c>
      <c r="AA895" s="4" t="s">
        <v>47</v>
      </c>
      <c r="AB895" s="4" t="s">
        <v>47</v>
      </c>
      <c r="AC895" s="4" t="s">
        <v>47</v>
      </c>
      <c r="AD895" s="4" t="s">
        <v>8057</v>
      </c>
      <c r="AE895" s="4" t="s">
        <v>47</v>
      </c>
      <c r="AF895" s="4" t="s">
        <v>47</v>
      </c>
      <c r="AG895" s="4" t="s">
        <v>47</v>
      </c>
      <c r="AH895" s="4" t="s">
        <v>47</v>
      </c>
      <c r="AI895" s="4" t="s">
        <v>47</v>
      </c>
      <c r="AJ895" s="4" t="s">
        <v>47</v>
      </c>
      <c r="AK895" s="4" t="s">
        <v>47</v>
      </c>
      <c r="AL895" s="4" t="s">
        <v>47</v>
      </c>
      <c r="AM895" s="4" t="s">
        <v>47</v>
      </c>
      <c r="AN895" s="4" t="s">
        <v>47</v>
      </c>
      <c r="AO895" s="4" t="s">
        <v>47</v>
      </c>
      <c r="AP895" s="4" t="s">
        <v>47</v>
      </c>
      <c r="AQ895" s="4" t="s">
        <v>47</v>
      </c>
      <c r="AR895" s="4" t="s">
        <v>47</v>
      </c>
    </row>
    <row r="896" spans="1:44" x14ac:dyDescent="0.2">
      <c r="A896" s="4" t="s">
        <v>121</v>
      </c>
      <c r="B896" s="4" t="s">
        <v>20</v>
      </c>
      <c r="C896">
        <v>2</v>
      </c>
      <c r="F896">
        <v>2</v>
      </c>
      <c r="I896" s="4" t="s">
        <v>7859</v>
      </c>
      <c r="J896" s="4" t="s">
        <v>7899</v>
      </c>
      <c r="K896" s="4" t="s">
        <v>8020</v>
      </c>
      <c r="L896" s="4" t="s">
        <v>8039</v>
      </c>
      <c r="M896">
        <v>44802</v>
      </c>
      <c r="N896" s="4" t="s">
        <v>8022</v>
      </c>
      <c r="O896" s="4" t="s">
        <v>8058</v>
      </c>
      <c r="P896" s="4" t="s">
        <v>8024</v>
      </c>
      <c r="Q896" s="9">
        <v>18453</v>
      </c>
      <c r="R896" s="4" t="s">
        <v>1487</v>
      </c>
      <c r="S896" s="4" t="s">
        <v>7664</v>
      </c>
      <c r="T896" s="4" t="s">
        <v>47</v>
      </c>
      <c r="U896" s="4" t="s">
        <v>12</v>
      </c>
      <c r="V896">
        <v>1950</v>
      </c>
      <c r="W896" s="4" t="s">
        <v>8059</v>
      </c>
      <c r="X896" s="4" t="s">
        <v>8060</v>
      </c>
      <c r="Y896" s="4" t="s">
        <v>8061</v>
      </c>
      <c r="Z896" s="4" t="s">
        <v>8062</v>
      </c>
      <c r="AA896" s="4" t="s">
        <v>47</v>
      </c>
      <c r="AB896" s="4" t="s">
        <v>47</v>
      </c>
      <c r="AC896" s="4" t="s">
        <v>47</v>
      </c>
      <c r="AD896" s="4" t="s">
        <v>47</v>
      </c>
      <c r="AE896" s="4" t="s">
        <v>47</v>
      </c>
      <c r="AF896" s="4" t="s">
        <v>47</v>
      </c>
      <c r="AG896" s="4" t="s">
        <v>47</v>
      </c>
      <c r="AH896" s="4" t="s">
        <v>47</v>
      </c>
      <c r="AI896" s="4" t="s">
        <v>47</v>
      </c>
      <c r="AJ896" s="4" t="s">
        <v>47</v>
      </c>
      <c r="AK896" s="4" t="s">
        <v>47</v>
      </c>
      <c r="AL896" s="4" t="s">
        <v>47</v>
      </c>
      <c r="AM896" s="4" t="s">
        <v>47</v>
      </c>
      <c r="AN896" s="4" t="s">
        <v>47</v>
      </c>
      <c r="AO896" s="4" t="s">
        <v>47</v>
      </c>
      <c r="AP896" s="4" t="s">
        <v>47</v>
      </c>
      <c r="AQ896" s="4" t="s">
        <v>47</v>
      </c>
      <c r="AR896" s="4" t="s">
        <v>47</v>
      </c>
    </row>
    <row r="897" spans="1:44" x14ac:dyDescent="0.2">
      <c r="A897" s="4" t="s">
        <v>113</v>
      </c>
      <c r="B897" s="4" t="s">
        <v>102</v>
      </c>
      <c r="C897">
        <v>5</v>
      </c>
      <c r="F897">
        <v>2</v>
      </c>
      <c r="I897" s="4" t="s">
        <v>8063</v>
      </c>
      <c r="J897" s="4" t="s">
        <v>8064</v>
      </c>
      <c r="K897" s="4" t="s">
        <v>8065</v>
      </c>
      <c r="L897" s="4" t="s">
        <v>8066</v>
      </c>
      <c r="M897">
        <v>8501</v>
      </c>
      <c r="N897" s="4" t="s">
        <v>8067</v>
      </c>
      <c r="O897" s="4" t="s">
        <v>8068</v>
      </c>
      <c r="P897" s="4" t="s">
        <v>811</v>
      </c>
      <c r="Q897" s="9">
        <v>18446</v>
      </c>
      <c r="R897" s="4" t="s">
        <v>1614</v>
      </c>
      <c r="S897" s="4" t="s">
        <v>8069</v>
      </c>
      <c r="T897" s="4" t="s">
        <v>47</v>
      </c>
      <c r="U897" s="4" t="s">
        <v>12</v>
      </c>
      <c r="V897">
        <v>1950</v>
      </c>
      <c r="W897" s="4" t="s">
        <v>8070</v>
      </c>
      <c r="X897" s="4" t="s">
        <v>8071</v>
      </c>
      <c r="Y897" s="4" t="s">
        <v>8072</v>
      </c>
      <c r="Z897" s="4" t="s">
        <v>8073</v>
      </c>
      <c r="AA897" s="4" t="s">
        <v>47</v>
      </c>
      <c r="AB897" s="4" t="s">
        <v>47</v>
      </c>
      <c r="AC897" s="4" t="s">
        <v>47</v>
      </c>
      <c r="AD897" s="4" t="s">
        <v>8074</v>
      </c>
      <c r="AE897" s="4" t="s">
        <v>47</v>
      </c>
      <c r="AF897" s="4" t="s">
        <v>47</v>
      </c>
      <c r="AG897" s="4" t="s">
        <v>47</v>
      </c>
      <c r="AH897" s="4" t="s">
        <v>47</v>
      </c>
      <c r="AI897" s="4" t="s">
        <v>47</v>
      </c>
      <c r="AJ897" s="4" t="s">
        <v>47</v>
      </c>
      <c r="AK897" s="4" t="s">
        <v>47</v>
      </c>
      <c r="AL897" s="4" t="s">
        <v>47</v>
      </c>
      <c r="AM897" s="4" t="s">
        <v>47</v>
      </c>
      <c r="AN897" s="4" t="s">
        <v>47</v>
      </c>
      <c r="AO897" s="4" t="s">
        <v>47</v>
      </c>
      <c r="AP897" s="4" t="s">
        <v>47</v>
      </c>
      <c r="AQ897" s="4" t="s">
        <v>47</v>
      </c>
      <c r="AR897" s="4" t="s">
        <v>47</v>
      </c>
    </row>
    <row r="898" spans="1:44" x14ac:dyDescent="0.2">
      <c r="A898" s="4" t="s">
        <v>97</v>
      </c>
      <c r="B898" s="4" t="s">
        <v>202</v>
      </c>
      <c r="C898">
        <v>2</v>
      </c>
      <c r="F898">
        <v>0</v>
      </c>
      <c r="I898" s="4" t="s">
        <v>8075</v>
      </c>
      <c r="J898" s="4" t="s">
        <v>8076</v>
      </c>
      <c r="K898" s="4" t="s">
        <v>8077</v>
      </c>
      <c r="L898" s="4" t="s">
        <v>8078</v>
      </c>
      <c r="M898">
        <v>25811</v>
      </c>
      <c r="N898" s="4" t="s">
        <v>8022</v>
      </c>
      <c r="O898" s="4" t="s">
        <v>8053</v>
      </c>
      <c r="P898" s="4" t="s">
        <v>811</v>
      </c>
      <c r="Q898" s="9">
        <v>18446</v>
      </c>
      <c r="R898" s="4" t="s">
        <v>630</v>
      </c>
      <c r="S898" s="4" t="s">
        <v>7733</v>
      </c>
      <c r="T898" s="4" t="s">
        <v>47</v>
      </c>
      <c r="U898" s="4" t="s">
        <v>12</v>
      </c>
      <c r="V898">
        <v>1950</v>
      </c>
      <c r="W898" s="4" t="s">
        <v>8079</v>
      </c>
      <c r="X898" s="4" t="s">
        <v>47</v>
      </c>
      <c r="Y898" s="4" t="s">
        <v>8080</v>
      </c>
      <c r="Z898" s="4" t="s">
        <v>47</v>
      </c>
      <c r="AA898" s="4" t="s">
        <v>47</v>
      </c>
      <c r="AB898" s="4" t="s">
        <v>47</v>
      </c>
      <c r="AC898" s="4" t="s">
        <v>47</v>
      </c>
      <c r="AD898" s="4" t="s">
        <v>47</v>
      </c>
      <c r="AE898" s="4" t="s">
        <v>47</v>
      </c>
      <c r="AF898" s="4" t="s">
        <v>47</v>
      </c>
      <c r="AG898" s="4" t="s">
        <v>47</v>
      </c>
      <c r="AH898" s="4" t="s">
        <v>47</v>
      </c>
      <c r="AI898" s="4" t="s">
        <v>47</v>
      </c>
      <c r="AJ898" s="4" t="s">
        <v>47</v>
      </c>
      <c r="AK898" s="4" t="s">
        <v>47</v>
      </c>
      <c r="AL898" s="4" t="s">
        <v>47</v>
      </c>
      <c r="AM898" s="4" t="s">
        <v>47</v>
      </c>
      <c r="AN898" s="4" t="s">
        <v>47</v>
      </c>
      <c r="AO898" s="4" t="s">
        <v>47</v>
      </c>
      <c r="AP898" s="4" t="s">
        <v>47</v>
      </c>
      <c r="AQ898" s="4" t="s">
        <v>47</v>
      </c>
      <c r="AR898" s="4" t="s">
        <v>47</v>
      </c>
    </row>
    <row r="899" spans="1:44" x14ac:dyDescent="0.2">
      <c r="A899" s="4" t="s">
        <v>121</v>
      </c>
      <c r="B899" s="4" t="s">
        <v>272</v>
      </c>
      <c r="C899">
        <v>8</v>
      </c>
      <c r="F899">
        <v>0</v>
      </c>
      <c r="I899" s="4" t="s">
        <v>7859</v>
      </c>
      <c r="J899" s="4" t="s">
        <v>7899</v>
      </c>
      <c r="K899" s="4" t="s">
        <v>8081</v>
      </c>
      <c r="L899" s="4" t="s">
        <v>8082</v>
      </c>
      <c r="M899">
        <v>5284</v>
      </c>
      <c r="N899" s="4" t="s">
        <v>8083</v>
      </c>
      <c r="O899" s="4" t="s">
        <v>8084</v>
      </c>
      <c r="P899" s="4" t="s">
        <v>811</v>
      </c>
      <c r="Q899" s="9">
        <v>18446</v>
      </c>
      <c r="R899" s="4" t="s">
        <v>3860</v>
      </c>
      <c r="S899" s="4" t="s">
        <v>8034</v>
      </c>
      <c r="T899" s="4" t="s">
        <v>47</v>
      </c>
      <c r="U899" s="4" t="s">
        <v>12</v>
      </c>
      <c r="V899">
        <v>1950</v>
      </c>
      <c r="W899" s="4" t="s">
        <v>8085</v>
      </c>
      <c r="X899" s="4" t="s">
        <v>47</v>
      </c>
      <c r="Y899" s="4" t="s">
        <v>8086</v>
      </c>
      <c r="Z899" s="4" t="s">
        <v>47</v>
      </c>
      <c r="AA899" s="4" t="s">
        <v>47</v>
      </c>
      <c r="AB899" s="4" t="s">
        <v>47</v>
      </c>
      <c r="AC899" s="4" t="s">
        <v>47</v>
      </c>
      <c r="AD899" s="4" t="s">
        <v>47</v>
      </c>
      <c r="AE899" s="4" t="s">
        <v>47</v>
      </c>
      <c r="AF899" s="4" t="s">
        <v>47</v>
      </c>
      <c r="AG899" s="4" t="s">
        <v>47</v>
      </c>
      <c r="AH899" s="4" t="s">
        <v>47</v>
      </c>
      <c r="AI899" s="4" t="s">
        <v>47</v>
      </c>
      <c r="AJ899" s="4" t="s">
        <v>47</v>
      </c>
      <c r="AK899" s="4" t="s">
        <v>47</v>
      </c>
      <c r="AL899" s="4" t="s">
        <v>47</v>
      </c>
      <c r="AM899" s="4" t="s">
        <v>47</v>
      </c>
      <c r="AN899" s="4" t="s">
        <v>47</v>
      </c>
      <c r="AO899" s="4" t="s">
        <v>47</v>
      </c>
      <c r="AP899" s="4" t="s">
        <v>47</v>
      </c>
      <c r="AQ899" s="4" t="s">
        <v>47</v>
      </c>
      <c r="AR899" s="4" t="s">
        <v>47</v>
      </c>
    </row>
    <row r="900" spans="1:44" x14ac:dyDescent="0.2">
      <c r="A900" s="4" t="s">
        <v>20</v>
      </c>
      <c r="B900" s="4" t="s">
        <v>52</v>
      </c>
      <c r="C900">
        <v>1</v>
      </c>
      <c r="F900">
        <v>0</v>
      </c>
      <c r="I900" s="4" t="s">
        <v>8020</v>
      </c>
      <c r="J900" s="4" t="s">
        <v>8039</v>
      </c>
      <c r="K900" s="4" t="s">
        <v>7497</v>
      </c>
      <c r="L900" s="4" t="s">
        <v>7708</v>
      </c>
      <c r="M900">
        <v>74462</v>
      </c>
      <c r="N900" s="4" t="s">
        <v>8032</v>
      </c>
      <c r="O900" s="4" t="s">
        <v>8087</v>
      </c>
      <c r="P900" s="4" t="s">
        <v>811</v>
      </c>
      <c r="Q900" s="9">
        <v>18446</v>
      </c>
      <c r="R900" s="4" t="s">
        <v>652</v>
      </c>
      <c r="S900" s="4" t="s">
        <v>8048</v>
      </c>
      <c r="T900" s="4" t="s">
        <v>47</v>
      </c>
      <c r="U900" s="4" t="s">
        <v>12</v>
      </c>
      <c r="V900">
        <v>1950</v>
      </c>
      <c r="W900" s="4" t="s">
        <v>8088</v>
      </c>
      <c r="X900" s="4" t="s">
        <v>47</v>
      </c>
      <c r="Y900" s="4" t="s">
        <v>8089</v>
      </c>
      <c r="Z900" s="4" t="s">
        <v>47</v>
      </c>
      <c r="AA900" s="4" t="s">
        <v>47</v>
      </c>
      <c r="AB900" s="4" t="s">
        <v>47</v>
      </c>
      <c r="AC900" s="4" t="s">
        <v>47</v>
      </c>
      <c r="AD900" s="4" t="s">
        <v>47</v>
      </c>
      <c r="AE900" s="4" t="s">
        <v>47</v>
      </c>
      <c r="AF900" s="4" t="s">
        <v>47</v>
      </c>
      <c r="AG900" s="4" t="s">
        <v>47</v>
      </c>
      <c r="AH900" s="4" t="s">
        <v>47</v>
      </c>
      <c r="AI900" s="4" t="s">
        <v>47</v>
      </c>
      <c r="AJ900" s="4" t="s">
        <v>47</v>
      </c>
      <c r="AK900" s="4" t="s">
        <v>47</v>
      </c>
      <c r="AL900" s="4" t="s">
        <v>47</v>
      </c>
      <c r="AM900" s="4" t="s">
        <v>47</v>
      </c>
      <c r="AN900" s="4" t="s">
        <v>47</v>
      </c>
      <c r="AO900" s="4" t="s">
        <v>47</v>
      </c>
      <c r="AP900" s="4" t="s">
        <v>47</v>
      </c>
      <c r="AQ900" s="4" t="s">
        <v>47</v>
      </c>
      <c r="AR900" s="4" t="s">
        <v>47</v>
      </c>
    </row>
    <row r="901" spans="1:44" x14ac:dyDescent="0.2">
      <c r="A901" s="4" t="s">
        <v>118</v>
      </c>
      <c r="B901" s="4" t="s">
        <v>106</v>
      </c>
      <c r="C901">
        <v>2</v>
      </c>
      <c r="F901">
        <v>1</v>
      </c>
      <c r="I901" s="4" t="s">
        <v>8090</v>
      </c>
      <c r="J901" s="4" t="s">
        <v>7905</v>
      </c>
      <c r="K901" s="4" t="s">
        <v>8091</v>
      </c>
      <c r="L901" s="4" t="s">
        <v>8092</v>
      </c>
      <c r="M901">
        <v>3580</v>
      </c>
      <c r="N901" s="4" t="s">
        <v>8093</v>
      </c>
      <c r="O901" s="4" t="s">
        <v>8094</v>
      </c>
      <c r="P901" s="4" t="s">
        <v>811</v>
      </c>
      <c r="Q901" s="9">
        <v>18446</v>
      </c>
      <c r="R901" s="4" t="s">
        <v>617</v>
      </c>
      <c r="S901" s="4" t="s">
        <v>8095</v>
      </c>
      <c r="T901" s="4" t="s">
        <v>47</v>
      </c>
      <c r="U901" s="4" t="s">
        <v>12</v>
      </c>
      <c r="V901">
        <v>1950</v>
      </c>
      <c r="W901" s="4" t="s">
        <v>8096</v>
      </c>
      <c r="X901" s="4" t="s">
        <v>8097</v>
      </c>
      <c r="Y901" s="4" t="s">
        <v>8098</v>
      </c>
      <c r="Z901" s="4" t="s">
        <v>8099</v>
      </c>
      <c r="AA901" s="4" t="s">
        <v>47</v>
      </c>
      <c r="AB901" s="4" t="s">
        <v>47</v>
      </c>
      <c r="AC901" s="4" t="s">
        <v>47</v>
      </c>
      <c r="AD901" s="4" t="s">
        <v>47</v>
      </c>
      <c r="AE901" s="4" t="s">
        <v>47</v>
      </c>
      <c r="AF901" s="4" t="s">
        <v>47</v>
      </c>
      <c r="AG901" s="4" t="s">
        <v>47</v>
      </c>
      <c r="AH901" s="4" t="s">
        <v>47</v>
      </c>
      <c r="AI901" s="4" t="s">
        <v>47</v>
      </c>
      <c r="AJ901" s="4" t="s">
        <v>47</v>
      </c>
      <c r="AK901" s="4" t="s">
        <v>47</v>
      </c>
      <c r="AL901" s="4" t="s">
        <v>47</v>
      </c>
      <c r="AM901" s="4" t="s">
        <v>47</v>
      </c>
      <c r="AN901" s="4" t="s">
        <v>47</v>
      </c>
      <c r="AO901" s="4" t="s">
        <v>47</v>
      </c>
      <c r="AP901" s="4" t="s">
        <v>47</v>
      </c>
      <c r="AQ901" s="4" t="s">
        <v>47</v>
      </c>
      <c r="AR901" s="4" t="s">
        <v>47</v>
      </c>
    </row>
    <row r="902" spans="1:44" x14ac:dyDescent="0.2">
      <c r="A902" s="4" t="s">
        <v>12</v>
      </c>
      <c r="B902" s="4" t="s">
        <v>4991</v>
      </c>
      <c r="C902">
        <v>2</v>
      </c>
      <c r="F902">
        <v>0</v>
      </c>
      <c r="I902" s="4" t="s">
        <v>8030</v>
      </c>
      <c r="J902" s="4" t="s">
        <v>8031</v>
      </c>
      <c r="K902" s="4" t="s">
        <v>8100</v>
      </c>
      <c r="L902" s="4" t="s">
        <v>8101</v>
      </c>
      <c r="M902">
        <v>142429</v>
      </c>
      <c r="N902" s="4" t="s">
        <v>8032</v>
      </c>
      <c r="O902" s="4" t="s">
        <v>8102</v>
      </c>
      <c r="P902" s="4" t="s">
        <v>811</v>
      </c>
      <c r="Q902" s="9">
        <v>18445</v>
      </c>
      <c r="R902" s="4" t="s">
        <v>630</v>
      </c>
      <c r="S902" s="4" t="s">
        <v>7664</v>
      </c>
      <c r="T902" s="4" t="s">
        <v>47</v>
      </c>
      <c r="U902" s="4" t="s">
        <v>12</v>
      </c>
      <c r="V902">
        <v>1950</v>
      </c>
      <c r="W902" s="4" t="s">
        <v>8103</v>
      </c>
      <c r="X902" s="4" t="s">
        <v>47</v>
      </c>
      <c r="Y902" s="4" t="s">
        <v>8104</v>
      </c>
      <c r="Z902" s="4" t="s">
        <v>47</v>
      </c>
      <c r="AA902" s="4" t="s">
        <v>47</v>
      </c>
      <c r="AB902" s="4" t="s">
        <v>47</v>
      </c>
      <c r="AC902" s="4" t="s">
        <v>47</v>
      </c>
      <c r="AD902" s="4" t="s">
        <v>47</v>
      </c>
      <c r="AE902" s="4" t="s">
        <v>47</v>
      </c>
      <c r="AF902" s="4" t="s">
        <v>47</v>
      </c>
      <c r="AG902" s="4" t="s">
        <v>47</v>
      </c>
      <c r="AH902" s="4" t="s">
        <v>47</v>
      </c>
      <c r="AI902" s="4" t="s">
        <v>47</v>
      </c>
      <c r="AJ902" s="4" t="s">
        <v>47</v>
      </c>
      <c r="AK902" s="4" t="s">
        <v>47</v>
      </c>
      <c r="AL902" s="4" t="s">
        <v>47</v>
      </c>
      <c r="AM902" s="4" t="s">
        <v>47</v>
      </c>
      <c r="AN902" s="4" t="s">
        <v>47</v>
      </c>
      <c r="AO902" s="4" t="s">
        <v>47</v>
      </c>
      <c r="AP902" s="4" t="s">
        <v>47</v>
      </c>
      <c r="AQ902" s="4" t="s">
        <v>47</v>
      </c>
      <c r="AR902" s="4" t="s">
        <v>47</v>
      </c>
    </row>
    <row r="903" spans="1:44" x14ac:dyDescent="0.2">
      <c r="A903" s="4" t="s">
        <v>20</v>
      </c>
      <c r="B903" s="4" t="s">
        <v>113</v>
      </c>
      <c r="C903">
        <v>2</v>
      </c>
      <c r="F903">
        <v>0</v>
      </c>
      <c r="I903" s="4" t="s">
        <v>8020</v>
      </c>
      <c r="J903" s="4" t="s">
        <v>8039</v>
      </c>
      <c r="K903" s="4" t="s">
        <v>8063</v>
      </c>
      <c r="L903" s="4" t="s">
        <v>8064</v>
      </c>
      <c r="M903">
        <v>19790</v>
      </c>
      <c r="N903" s="4" t="s">
        <v>8032</v>
      </c>
      <c r="O903" s="4" t="s">
        <v>8105</v>
      </c>
      <c r="P903" s="4" t="s">
        <v>811</v>
      </c>
      <c r="Q903" s="9">
        <v>18443</v>
      </c>
      <c r="R903" s="4" t="s">
        <v>630</v>
      </c>
      <c r="S903" s="4" t="s">
        <v>8106</v>
      </c>
      <c r="T903" s="4" t="s">
        <v>47</v>
      </c>
      <c r="U903" s="4" t="s">
        <v>12</v>
      </c>
      <c r="V903">
        <v>1950</v>
      </c>
      <c r="W903" s="4" t="s">
        <v>8107</v>
      </c>
      <c r="X903" s="4" t="s">
        <v>47</v>
      </c>
      <c r="Y903" s="4" t="s">
        <v>8108</v>
      </c>
      <c r="Z903" s="4" t="s">
        <v>47</v>
      </c>
      <c r="AA903" s="4" t="s">
        <v>47</v>
      </c>
      <c r="AB903" s="4" t="s">
        <v>47</v>
      </c>
      <c r="AC903" s="4" t="s">
        <v>47</v>
      </c>
      <c r="AD903" s="4" t="s">
        <v>47</v>
      </c>
      <c r="AE903" s="4" t="s">
        <v>47</v>
      </c>
      <c r="AF903" s="4" t="s">
        <v>47</v>
      </c>
      <c r="AG903" s="4" t="s">
        <v>47</v>
      </c>
      <c r="AH903" s="4" t="s">
        <v>47</v>
      </c>
      <c r="AI903" s="4" t="s">
        <v>47</v>
      </c>
      <c r="AJ903" s="4" t="s">
        <v>47</v>
      </c>
      <c r="AK903" s="4" t="s">
        <v>47</v>
      </c>
      <c r="AL903" s="4" t="s">
        <v>47</v>
      </c>
      <c r="AM903" s="4" t="s">
        <v>47</v>
      </c>
      <c r="AN903" s="4" t="s">
        <v>47</v>
      </c>
      <c r="AO903" s="4" t="s">
        <v>47</v>
      </c>
      <c r="AP903" s="4" t="s">
        <v>47</v>
      </c>
      <c r="AQ903" s="4" t="s">
        <v>47</v>
      </c>
      <c r="AR903" s="4" t="s">
        <v>47</v>
      </c>
    </row>
    <row r="904" spans="1:44" x14ac:dyDescent="0.2">
      <c r="A904" s="4" t="s">
        <v>102</v>
      </c>
      <c r="B904" s="4" t="s">
        <v>52</v>
      </c>
      <c r="C904">
        <v>1</v>
      </c>
      <c r="F904">
        <v>0</v>
      </c>
      <c r="I904" s="4" t="s">
        <v>8065</v>
      </c>
      <c r="J904" s="4" t="s">
        <v>8109</v>
      </c>
      <c r="K904" s="4" t="s">
        <v>7497</v>
      </c>
      <c r="L904" s="4" t="s">
        <v>7708</v>
      </c>
      <c r="M904">
        <v>10151</v>
      </c>
      <c r="N904" s="4" t="s">
        <v>8083</v>
      </c>
      <c r="O904" s="4" t="s">
        <v>8110</v>
      </c>
      <c r="P904" s="4" t="s">
        <v>811</v>
      </c>
      <c r="Q904" s="9">
        <v>18443</v>
      </c>
      <c r="R904" s="4" t="s">
        <v>652</v>
      </c>
      <c r="S904" s="4" t="s">
        <v>8111</v>
      </c>
      <c r="T904" s="4" t="s">
        <v>47</v>
      </c>
      <c r="U904" s="4" t="s">
        <v>12</v>
      </c>
      <c r="V904">
        <v>1950</v>
      </c>
      <c r="W904" s="4" t="s">
        <v>8112</v>
      </c>
      <c r="X904" s="4" t="s">
        <v>47</v>
      </c>
      <c r="Y904" s="4" t="s">
        <v>8113</v>
      </c>
      <c r="Z904" s="4" t="s">
        <v>47</v>
      </c>
      <c r="AA904" s="4" t="s">
        <v>47</v>
      </c>
      <c r="AB904" s="4" t="s">
        <v>47</v>
      </c>
      <c r="AC904" s="4" t="s">
        <v>47</v>
      </c>
      <c r="AD904" s="4" t="s">
        <v>47</v>
      </c>
      <c r="AE904" s="4" t="s">
        <v>47</v>
      </c>
      <c r="AF904" s="4" t="s">
        <v>47</v>
      </c>
      <c r="AG904" s="4" t="s">
        <v>47</v>
      </c>
      <c r="AH904" s="4" t="s">
        <v>47</v>
      </c>
      <c r="AI904" s="4" t="s">
        <v>47</v>
      </c>
      <c r="AJ904" s="4" t="s">
        <v>47</v>
      </c>
      <c r="AK904" s="4" t="s">
        <v>47</v>
      </c>
      <c r="AL904" s="4" t="s">
        <v>47</v>
      </c>
      <c r="AM904" s="4" t="s">
        <v>47</v>
      </c>
      <c r="AN904" s="4" t="s">
        <v>47</v>
      </c>
      <c r="AO904" s="4" t="s">
        <v>47</v>
      </c>
      <c r="AP904" s="4" t="s">
        <v>47</v>
      </c>
      <c r="AQ904" s="4" t="s">
        <v>47</v>
      </c>
      <c r="AR904" s="4" t="s">
        <v>47</v>
      </c>
    </row>
    <row r="905" spans="1:44" x14ac:dyDescent="0.2">
      <c r="A905" s="4" t="s">
        <v>116</v>
      </c>
      <c r="B905" s="4" t="s">
        <v>202</v>
      </c>
      <c r="C905">
        <v>2</v>
      </c>
      <c r="F905">
        <v>2</v>
      </c>
      <c r="I905" s="4" t="s">
        <v>7636</v>
      </c>
      <c r="J905" s="4" t="s">
        <v>8019</v>
      </c>
      <c r="K905" s="4" t="s">
        <v>8077</v>
      </c>
      <c r="L905" s="4" t="s">
        <v>8078</v>
      </c>
      <c r="M905">
        <v>7903</v>
      </c>
      <c r="N905" s="4" t="s">
        <v>8114</v>
      </c>
      <c r="O905" s="4" t="s">
        <v>8115</v>
      </c>
      <c r="P905" s="4" t="s">
        <v>811</v>
      </c>
      <c r="Q905" s="9">
        <v>18443</v>
      </c>
      <c r="R905" s="4" t="s">
        <v>1487</v>
      </c>
      <c r="S905" s="4" t="s">
        <v>8116</v>
      </c>
      <c r="T905" s="4" t="s">
        <v>47</v>
      </c>
      <c r="U905" s="4" t="s">
        <v>12</v>
      </c>
      <c r="V905">
        <v>1950</v>
      </c>
      <c r="W905" s="4" t="s">
        <v>8117</v>
      </c>
      <c r="X905" s="4" t="s">
        <v>8118</v>
      </c>
      <c r="Y905" s="4" t="s">
        <v>8119</v>
      </c>
      <c r="Z905" s="4" t="s">
        <v>8120</v>
      </c>
      <c r="AA905" s="4" t="s">
        <v>47</v>
      </c>
      <c r="AB905" s="4" t="s">
        <v>47</v>
      </c>
      <c r="AC905" s="4" t="s">
        <v>47</v>
      </c>
      <c r="AD905" s="4" t="s">
        <v>47</v>
      </c>
      <c r="AE905" s="4" t="s">
        <v>47</v>
      </c>
      <c r="AF905" s="4" t="s">
        <v>47</v>
      </c>
      <c r="AG905" s="4" t="s">
        <v>47</v>
      </c>
      <c r="AH905" s="4" t="s">
        <v>47</v>
      </c>
      <c r="AI905" s="4" t="s">
        <v>47</v>
      </c>
      <c r="AJ905" s="4" t="s">
        <v>47</v>
      </c>
      <c r="AK905" s="4" t="s">
        <v>47</v>
      </c>
      <c r="AL905" s="4" t="s">
        <v>47</v>
      </c>
      <c r="AM905" s="4" t="s">
        <v>47</v>
      </c>
      <c r="AN905" s="4" t="s">
        <v>47</v>
      </c>
      <c r="AO905" s="4" t="s">
        <v>47</v>
      </c>
      <c r="AP905" s="4" t="s">
        <v>47</v>
      </c>
      <c r="AQ905" s="4" t="s">
        <v>47</v>
      </c>
      <c r="AR905" s="4" t="s">
        <v>47</v>
      </c>
    </row>
    <row r="906" spans="1:44" x14ac:dyDescent="0.2">
      <c r="A906" s="4" t="s">
        <v>12</v>
      </c>
      <c r="B906" s="4" t="s">
        <v>118</v>
      </c>
      <c r="C906">
        <v>2</v>
      </c>
      <c r="F906">
        <v>2</v>
      </c>
      <c r="I906" s="4" t="s">
        <v>8030</v>
      </c>
      <c r="J906" s="4" t="s">
        <v>8031</v>
      </c>
      <c r="K906" s="4" t="s">
        <v>8090</v>
      </c>
      <c r="L906" s="4" t="s">
        <v>8121</v>
      </c>
      <c r="M906">
        <v>42032</v>
      </c>
      <c r="N906" s="4" t="s">
        <v>8022</v>
      </c>
      <c r="O906" s="4" t="s">
        <v>8122</v>
      </c>
      <c r="P906" s="4" t="s">
        <v>811</v>
      </c>
      <c r="Q906" s="9">
        <v>18442</v>
      </c>
      <c r="R906" s="4" t="s">
        <v>1487</v>
      </c>
      <c r="S906" s="4" t="s">
        <v>8123</v>
      </c>
      <c r="T906" s="4" t="s">
        <v>47</v>
      </c>
      <c r="U906" s="4" t="s">
        <v>12</v>
      </c>
      <c r="V906">
        <v>1950</v>
      </c>
      <c r="W906" s="4" t="s">
        <v>8124</v>
      </c>
      <c r="X906" s="4" t="s">
        <v>8125</v>
      </c>
      <c r="Y906" s="4" t="s">
        <v>8126</v>
      </c>
      <c r="Z906" s="4" t="s">
        <v>8127</v>
      </c>
      <c r="AA906" s="4" t="s">
        <v>47</v>
      </c>
      <c r="AB906" s="4" t="s">
        <v>47</v>
      </c>
      <c r="AC906" s="4" t="s">
        <v>47</v>
      </c>
      <c r="AD906" s="4" t="s">
        <v>47</v>
      </c>
      <c r="AE906" s="4" t="s">
        <v>47</v>
      </c>
      <c r="AF906" s="4" t="s">
        <v>47</v>
      </c>
      <c r="AG906" s="4" t="s">
        <v>47</v>
      </c>
      <c r="AH906" s="4" t="s">
        <v>47</v>
      </c>
      <c r="AI906" s="4" t="s">
        <v>47</v>
      </c>
      <c r="AJ906" s="4" t="s">
        <v>47</v>
      </c>
      <c r="AK906" s="4" t="s">
        <v>47</v>
      </c>
      <c r="AL906" s="4" t="s">
        <v>47</v>
      </c>
      <c r="AM906" s="4" t="s">
        <v>47</v>
      </c>
      <c r="AN906" s="4" t="s">
        <v>47</v>
      </c>
      <c r="AO906" s="4" t="s">
        <v>47</v>
      </c>
      <c r="AP906" s="4" t="s">
        <v>47</v>
      </c>
      <c r="AQ906" s="4" t="s">
        <v>47</v>
      </c>
      <c r="AR906" s="4" t="s">
        <v>47</v>
      </c>
    </row>
    <row r="907" spans="1:44" x14ac:dyDescent="0.2">
      <c r="A907" s="4" t="s">
        <v>4991</v>
      </c>
      <c r="B907" s="4" t="s">
        <v>106</v>
      </c>
      <c r="C907">
        <v>4</v>
      </c>
      <c r="F907">
        <v>1</v>
      </c>
      <c r="I907" s="4" t="s">
        <v>8100</v>
      </c>
      <c r="J907" s="4" t="s">
        <v>8128</v>
      </c>
      <c r="K907" s="4" t="s">
        <v>8091</v>
      </c>
      <c r="L907" s="4" t="s">
        <v>8092</v>
      </c>
      <c r="M907">
        <v>11078</v>
      </c>
      <c r="N907" s="4" t="s">
        <v>8093</v>
      </c>
      <c r="O907" s="4" t="s">
        <v>8129</v>
      </c>
      <c r="P907" s="4" t="s">
        <v>811</v>
      </c>
      <c r="Q907" s="9">
        <v>18442</v>
      </c>
      <c r="R907" s="4" t="s">
        <v>757</v>
      </c>
      <c r="S907" s="4" t="s">
        <v>7690</v>
      </c>
      <c r="T907" s="4" t="s">
        <v>47</v>
      </c>
      <c r="U907" s="4" t="s">
        <v>12</v>
      </c>
      <c r="V907">
        <v>1950</v>
      </c>
      <c r="W907" s="4" t="s">
        <v>8130</v>
      </c>
      <c r="X907" s="4" t="s">
        <v>47</v>
      </c>
      <c r="Y907" s="4" t="s">
        <v>8131</v>
      </c>
      <c r="Z907" s="4" t="s">
        <v>47</v>
      </c>
      <c r="AA907" s="4" t="s">
        <v>47</v>
      </c>
      <c r="AB907" s="4" t="s">
        <v>47</v>
      </c>
      <c r="AC907" s="4" t="s">
        <v>47</v>
      </c>
      <c r="AD907" s="4" t="s">
        <v>8132</v>
      </c>
      <c r="AE907" s="4" t="s">
        <v>47</v>
      </c>
      <c r="AF907" s="4" t="s">
        <v>47</v>
      </c>
      <c r="AG907" s="4" t="s">
        <v>47</v>
      </c>
      <c r="AH907" s="4" t="s">
        <v>47</v>
      </c>
      <c r="AI907" s="4" t="s">
        <v>47</v>
      </c>
      <c r="AJ907" s="4" t="s">
        <v>47</v>
      </c>
      <c r="AK907" s="4" t="s">
        <v>47</v>
      </c>
      <c r="AL907" s="4" t="s">
        <v>47</v>
      </c>
      <c r="AM907" s="4" t="s">
        <v>47</v>
      </c>
      <c r="AN907" s="4" t="s">
        <v>47</v>
      </c>
      <c r="AO907" s="4" t="s">
        <v>47</v>
      </c>
      <c r="AP907" s="4" t="s">
        <v>47</v>
      </c>
      <c r="AQ907" s="4" t="s">
        <v>47</v>
      </c>
      <c r="AR907" s="4" t="s">
        <v>47</v>
      </c>
    </row>
    <row r="908" spans="1:44" x14ac:dyDescent="0.2">
      <c r="A908" s="4" t="s">
        <v>116</v>
      </c>
      <c r="B908" s="4" t="s">
        <v>97</v>
      </c>
      <c r="C908">
        <v>3</v>
      </c>
      <c r="F908">
        <v>2</v>
      </c>
      <c r="I908" s="4" t="s">
        <v>7636</v>
      </c>
      <c r="J908" s="4" t="s">
        <v>8019</v>
      </c>
      <c r="K908" s="4" t="s">
        <v>8075</v>
      </c>
      <c r="L908" s="4" t="s">
        <v>8076</v>
      </c>
      <c r="M908">
        <v>36502</v>
      </c>
      <c r="N908" s="4" t="s">
        <v>8022</v>
      </c>
      <c r="O908" s="4" t="s">
        <v>8133</v>
      </c>
      <c r="P908" s="4" t="s">
        <v>811</v>
      </c>
      <c r="Q908" s="9">
        <v>18439</v>
      </c>
      <c r="R908" s="4" t="s">
        <v>1130</v>
      </c>
      <c r="S908" s="4" t="s">
        <v>8134</v>
      </c>
      <c r="T908" s="4" t="s">
        <v>47</v>
      </c>
      <c r="U908" s="4" t="s">
        <v>12</v>
      </c>
      <c r="V908">
        <v>1950</v>
      </c>
      <c r="W908" s="4" t="s">
        <v>8135</v>
      </c>
      <c r="X908" s="4" t="s">
        <v>8136</v>
      </c>
      <c r="Y908" s="4" t="s">
        <v>8137</v>
      </c>
      <c r="Z908" s="4" t="s">
        <v>8138</v>
      </c>
      <c r="AA908" s="4" t="s">
        <v>47</v>
      </c>
      <c r="AB908" s="4" t="s">
        <v>47</v>
      </c>
      <c r="AC908" s="4" t="s">
        <v>47</v>
      </c>
      <c r="AD908" s="4" t="s">
        <v>47</v>
      </c>
      <c r="AE908" s="4" t="s">
        <v>47</v>
      </c>
      <c r="AF908" s="4" t="s">
        <v>47</v>
      </c>
      <c r="AG908" s="4" t="s">
        <v>47</v>
      </c>
      <c r="AH908" s="4" t="s">
        <v>47</v>
      </c>
      <c r="AI908" s="4" t="s">
        <v>47</v>
      </c>
      <c r="AJ908" s="4" t="s">
        <v>47</v>
      </c>
      <c r="AK908" s="4" t="s">
        <v>47</v>
      </c>
      <c r="AL908" s="4" t="s">
        <v>47</v>
      </c>
      <c r="AM908" s="4" t="s">
        <v>47</v>
      </c>
      <c r="AN908" s="4" t="s">
        <v>47</v>
      </c>
      <c r="AO908" s="4" t="s">
        <v>47</v>
      </c>
      <c r="AP908" s="4" t="s">
        <v>47</v>
      </c>
      <c r="AQ908" s="4" t="s">
        <v>47</v>
      </c>
      <c r="AR908" s="4" t="s">
        <v>47</v>
      </c>
    </row>
    <row r="909" spans="1:44" x14ac:dyDescent="0.2">
      <c r="A909" s="4" t="s">
        <v>52</v>
      </c>
      <c r="B909" s="4" t="s">
        <v>113</v>
      </c>
      <c r="C909">
        <v>2</v>
      </c>
      <c r="F909">
        <v>0</v>
      </c>
      <c r="I909" s="4" t="s">
        <v>7497</v>
      </c>
      <c r="J909" s="4" t="s">
        <v>7708</v>
      </c>
      <c r="K909" s="4" t="s">
        <v>8063</v>
      </c>
      <c r="L909" s="4" t="s">
        <v>8064</v>
      </c>
      <c r="M909">
        <v>29703</v>
      </c>
      <c r="N909" s="4" t="s">
        <v>8032</v>
      </c>
      <c r="O909" s="4" t="s">
        <v>8139</v>
      </c>
      <c r="P909" s="4" t="s">
        <v>811</v>
      </c>
      <c r="Q909" s="9">
        <v>18439</v>
      </c>
      <c r="R909" s="4" t="s">
        <v>630</v>
      </c>
      <c r="S909" s="4" t="s">
        <v>8025</v>
      </c>
      <c r="T909" s="4" t="s">
        <v>47</v>
      </c>
      <c r="U909" s="4" t="s">
        <v>12</v>
      </c>
      <c r="V909">
        <v>1950</v>
      </c>
      <c r="W909" s="4" t="s">
        <v>8140</v>
      </c>
      <c r="X909" s="4" t="s">
        <v>47</v>
      </c>
      <c r="Y909" s="4" t="s">
        <v>8141</v>
      </c>
      <c r="Z909" s="4" t="s">
        <v>47</v>
      </c>
      <c r="AA909" s="4" t="s">
        <v>47</v>
      </c>
      <c r="AB909" s="4" t="s">
        <v>47</v>
      </c>
      <c r="AC909" s="4" t="s">
        <v>47</v>
      </c>
      <c r="AD909" s="4" t="s">
        <v>47</v>
      </c>
      <c r="AE909" s="4" t="s">
        <v>47</v>
      </c>
      <c r="AF909" s="4" t="s">
        <v>47</v>
      </c>
      <c r="AG909" s="4" t="s">
        <v>47</v>
      </c>
      <c r="AH909" s="4" t="s">
        <v>47</v>
      </c>
      <c r="AI909" s="4" t="s">
        <v>47</v>
      </c>
      <c r="AJ909" s="4" t="s">
        <v>47</v>
      </c>
      <c r="AK909" s="4" t="s">
        <v>47</v>
      </c>
      <c r="AL909" s="4" t="s">
        <v>47</v>
      </c>
      <c r="AM909" s="4" t="s">
        <v>47</v>
      </c>
      <c r="AN909" s="4" t="s">
        <v>47</v>
      </c>
      <c r="AO909" s="4" t="s">
        <v>47</v>
      </c>
      <c r="AP909" s="4" t="s">
        <v>47</v>
      </c>
      <c r="AQ909" s="4" t="s">
        <v>47</v>
      </c>
      <c r="AR909" s="4" t="s">
        <v>47</v>
      </c>
    </row>
    <row r="910" spans="1:44" x14ac:dyDescent="0.2">
      <c r="A910" s="4" t="s">
        <v>20</v>
      </c>
      <c r="B910" s="4" t="s">
        <v>102</v>
      </c>
      <c r="C910">
        <v>3</v>
      </c>
      <c r="F910">
        <v>1</v>
      </c>
      <c r="I910" s="4" t="s">
        <v>8020</v>
      </c>
      <c r="J910" s="4" t="s">
        <v>8142</v>
      </c>
      <c r="K910" s="4" t="s">
        <v>8065</v>
      </c>
      <c r="L910" s="4" t="s">
        <v>8143</v>
      </c>
      <c r="M910">
        <v>9511</v>
      </c>
      <c r="N910" s="4" t="s">
        <v>8114</v>
      </c>
      <c r="O910" s="4" t="s">
        <v>8144</v>
      </c>
      <c r="P910" s="4" t="s">
        <v>811</v>
      </c>
      <c r="Q910" s="9">
        <v>18439</v>
      </c>
      <c r="R910" s="4" t="s">
        <v>770</v>
      </c>
      <c r="S910" s="4" t="s">
        <v>7981</v>
      </c>
      <c r="T910" s="4" t="s">
        <v>47</v>
      </c>
      <c r="U910" s="4" t="s">
        <v>12</v>
      </c>
      <c r="V910">
        <v>1950</v>
      </c>
      <c r="W910" s="4" t="s">
        <v>8145</v>
      </c>
      <c r="X910" s="4" t="s">
        <v>8146</v>
      </c>
      <c r="Y910" s="4" t="s">
        <v>8147</v>
      </c>
      <c r="Z910" s="4" t="s">
        <v>8148</v>
      </c>
      <c r="AA910" s="4" t="s">
        <v>47</v>
      </c>
      <c r="AB910" s="4" t="s">
        <v>47</v>
      </c>
      <c r="AC910" s="4" t="s">
        <v>47</v>
      </c>
      <c r="AD910" s="4" t="s">
        <v>47</v>
      </c>
      <c r="AE910" s="4" t="s">
        <v>47</v>
      </c>
      <c r="AF910" s="4" t="s">
        <v>47</v>
      </c>
      <c r="AG910" s="4" t="s">
        <v>47</v>
      </c>
      <c r="AH910" s="4" t="s">
        <v>47</v>
      </c>
      <c r="AI910" s="4" t="s">
        <v>47</v>
      </c>
      <c r="AJ910" s="4" t="s">
        <v>47</v>
      </c>
      <c r="AK910" s="4" t="s">
        <v>47</v>
      </c>
      <c r="AL910" s="4" t="s">
        <v>47</v>
      </c>
      <c r="AM910" s="4" t="s">
        <v>47</v>
      </c>
      <c r="AN910" s="4" t="s">
        <v>47</v>
      </c>
      <c r="AO910" s="4" t="s">
        <v>47</v>
      </c>
      <c r="AP910" s="4" t="s">
        <v>47</v>
      </c>
      <c r="AQ910" s="4" t="s">
        <v>47</v>
      </c>
      <c r="AR910" s="4" t="s">
        <v>47</v>
      </c>
    </row>
    <row r="911" spans="1:44" x14ac:dyDescent="0.2">
      <c r="A911" s="4" t="s">
        <v>4991</v>
      </c>
      <c r="B911" s="4" t="s">
        <v>118</v>
      </c>
      <c r="C911">
        <v>3</v>
      </c>
      <c r="F911">
        <v>0</v>
      </c>
      <c r="I911" s="4" t="s">
        <v>8100</v>
      </c>
      <c r="J911" s="4" t="s">
        <v>7882</v>
      </c>
      <c r="K911" s="4" t="s">
        <v>8090</v>
      </c>
      <c r="L911" s="4" t="s">
        <v>8121</v>
      </c>
      <c r="M911">
        <v>7336</v>
      </c>
      <c r="N911" s="4" t="s">
        <v>8083</v>
      </c>
      <c r="O911" s="4" t="s">
        <v>8149</v>
      </c>
      <c r="P911" s="4" t="s">
        <v>811</v>
      </c>
      <c r="Q911" s="9">
        <v>18439</v>
      </c>
      <c r="R911" s="4" t="s">
        <v>638</v>
      </c>
      <c r="S911" s="4" t="s">
        <v>8048</v>
      </c>
      <c r="T911" s="4" t="s">
        <v>47</v>
      </c>
      <c r="U911" s="4" t="s">
        <v>12</v>
      </c>
      <c r="V911">
        <v>1950</v>
      </c>
      <c r="W911" s="4" t="s">
        <v>8150</v>
      </c>
      <c r="X911" s="4" t="s">
        <v>47</v>
      </c>
      <c r="Y911" s="4" t="s">
        <v>8151</v>
      </c>
      <c r="Z911" s="4" t="s">
        <v>47</v>
      </c>
      <c r="AA911" s="4" t="s">
        <v>47</v>
      </c>
      <c r="AB911" s="4" t="s">
        <v>47</v>
      </c>
      <c r="AC911" s="4" t="s">
        <v>47</v>
      </c>
      <c r="AD911" s="4" t="s">
        <v>47</v>
      </c>
      <c r="AE911" s="4" t="s">
        <v>47</v>
      </c>
      <c r="AF911" s="4" t="s">
        <v>47</v>
      </c>
      <c r="AG911" s="4" t="s">
        <v>47</v>
      </c>
      <c r="AH911" s="4" t="s">
        <v>47</v>
      </c>
      <c r="AI911" s="4" t="s">
        <v>47</v>
      </c>
      <c r="AJ911" s="4" t="s">
        <v>47</v>
      </c>
      <c r="AK911" s="4" t="s">
        <v>47</v>
      </c>
      <c r="AL911" s="4" t="s">
        <v>47</v>
      </c>
      <c r="AM911" s="4" t="s">
        <v>47</v>
      </c>
      <c r="AN911" s="4" t="s">
        <v>47</v>
      </c>
      <c r="AO911" s="4" t="s">
        <v>47</v>
      </c>
      <c r="AP911" s="4" t="s">
        <v>47</v>
      </c>
      <c r="AQ911" s="4" t="s">
        <v>47</v>
      </c>
      <c r="AR911" s="4" t="s">
        <v>47</v>
      </c>
    </row>
    <row r="912" spans="1:44" x14ac:dyDescent="0.2">
      <c r="A912" s="4" t="s">
        <v>12</v>
      </c>
      <c r="B912" s="4" t="s">
        <v>106</v>
      </c>
      <c r="C912">
        <v>4</v>
      </c>
      <c r="F912">
        <v>0</v>
      </c>
      <c r="I912" s="4" t="s">
        <v>8030</v>
      </c>
      <c r="J912" s="4" t="s">
        <v>8031</v>
      </c>
      <c r="K912" s="4" t="s">
        <v>8091</v>
      </c>
      <c r="L912" s="4" t="s">
        <v>8152</v>
      </c>
      <c r="M912">
        <v>81649</v>
      </c>
      <c r="N912" s="4" t="s">
        <v>8032</v>
      </c>
      <c r="O912" s="4" t="s">
        <v>8153</v>
      </c>
      <c r="P912" s="4" t="s">
        <v>811</v>
      </c>
      <c r="Q912" s="9">
        <v>18438</v>
      </c>
      <c r="R912" s="4" t="s">
        <v>2300</v>
      </c>
      <c r="S912" s="4" t="s">
        <v>8034</v>
      </c>
      <c r="T912" s="4" t="s">
        <v>47</v>
      </c>
      <c r="U912" s="4" t="s">
        <v>12</v>
      </c>
      <c r="V912">
        <v>1950</v>
      </c>
      <c r="W912" s="4" t="s">
        <v>8154</v>
      </c>
      <c r="X912" s="4" t="s">
        <v>47</v>
      </c>
      <c r="Y912" s="4" t="s">
        <v>8155</v>
      </c>
      <c r="Z912" s="4" t="s">
        <v>47</v>
      </c>
      <c r="AA912" s="4" t="s">
        <v>47</v>
      </c>
      <c r="AB912" s="4" t="s">
        <v>47</v>
      </c>
      <c r="AC912" s="4" t="s">
        <v>47</v>
      </c>
      <c r="AD912" s="4" t="s">
        <v>47</v>
      </c>
      <c r="AE912" s="4" t="s">
        <v>47</v>
      </c>
      <c r="AF912" s="4" t="s">
        <v>47</v>
      </c>
      <c r="AG912" s="4" t="s">
        <v>47</v>
      </c>
      <c r="AH912" s="4" t="s">
        <v>47</v>
      </c>
      <c r="AI912" s="4" t="s">
        <v>47</v>
      </c>
      <c r="AJ912" s="4" t="s">
        <v>47</v>
      </c>
      <c r="AK912" s="4" t="s">
        <v>47</v>
      </c>
      <c r="AL912" s="4" t="s">
        <v>47</v>
      </c>
      <c r="AM912" s="4" t="s">
        <v>47</v>
      </c>
      <c r="AN912" s="4" t="s">
        <v>47</v>
      </c>
      <c r="AO912" s="4" t="s">
        <v>47</v>
      </c>
      <c r="AP912" s="4" t="s">
        <v>47</v>
      </c>
      <c r="AQ912" s="4" t="s">
        <v>47</v>
      </c>
      <c r="AR912" s="4" t="s">
        <v>47</v>
      </c>
    </row>
    <row r="913" spans="1:44" x14ac:dyDescent="0.2">
      <c r="A913" s="4" t="s">
        <v>12</v>
      </c>
      <c r="B913" s="4" t="s">
        <v>116</v>
      </c>
      <c r="C913">
        <v>4</v>
      </c>
      <c r="F913">
        <v>2</v>
      </c>
      <c r="I913" s="4" t="s">
        <v>8156</v>
      </c>
      <c r="J913" s="4" t="s">
        <v>8157</v>
      </c>
      <c r="K913" s="4" t="s">
        <v>8158</v>
      </c>
      <c r="L913" s="4" t="s">
        <v>8159</v>
      </c>
      <c r="M913">
        <v>12000</v>
      </c>
      <c r="N913" s="4" t="s">
        <v>8160</v>
      </c>
      <c r="O913" s="4" t="s">
        <v>8161</v>
      </c>
      <c r="P913" s="4" t="s">
        <v>616</v>
      </c>
      <c r="Q913" s="9">
        <v>14050</v>
      </c>
      <c r="R913" s="4" t="s">
        <v>1236</v>
      </c>
      <c r="S913" s="4" t="s">
        <v>8162</v>
      </c>
      <c r="T913" s="4" t="s">
        <v>47</v>
      </c>
      <c r="U913" s="4" t="s">
        <v>87</v>
      </c>
      <c r="V913">
        <v>1938</v>
      </c>
      <c r="W913" s="4" t="s">
        <v>8163</v>
      </c>
      <c r="X913" s="4" t="s">
        <v>8164</v>
      </c>
      <c r="Y913" s="4" t="s">
        <v>8165</v>
      </c>
      <c r="Z913" s="4" t="s">
        <v>8166</v>
      </c>
      <c r="AA913" s="4" t="s">
        <v>47</v>
      </c>
      <c r="AB913" s="4" t="s">
        <v>47</v>
      </c>
      <c r="AC913" s="4" t="s">
        <v>47</v>
      </c>
      <c r="AD913" s="4" t="s">
        <v>47</v>
      </c>
      <c r="AE913" s="4" t="s">
        <v>47</v>
      </c>
      <c r="AF913" s="4" t="s">
        <v>47</v>
      </c>
      <c r="AG913" s="4" t="s">
        <v>47</v>
      </c>
      <c r="AH913" s="4" t="s">
        <v>47</v>
      </c>
      <c r="AI913" s="4" t="s">
        <v>47</v>
      </c>
      <c r="AJ913" s="4" t="s">
        <v>47</v>
      </c>
      <c r="AK913" s="4" t="s">
        <v>47</v>
      </c>
      <c r="AL913" s="4" t="s">
        <v>47</v>
      </c>
      <c r="AM913" s="4" t="s">
        <v>47</v>
      </c>
      <c r="AN913" s="4" t="s">
        <v>47</v>
      </c>
      <c r="AO913" s="4" t="s">
        <v>47</v>
      </c>
      <c r="AP913" s="4" t="s">
        <v>47</v>
      </c>
      <c r="AQ913" s="4" t="s">
        <v>47</v>
      </c>
      <c r="AR913" s="4" t="s">
        <v>47</v>
      </c>
    </row>
    <row r="914" spans="1:44" x14ac:dyDescent="0.2">
      <c r="A914" s="4" t="s">
        <v>97</v>
      </c>
      <c r="B914" s="4" t="s">
        <v>119</v>
      </c>
      <c r="C914">
        <v>4</v>
      </c>
      <c r="F914">
        <v>2</v>
      </c>
      <c r="I914" s="4" t="s">
        <v>8167</v>
      </c>
      <c r="J914" s="4" t="s">
        <v>8168</v>
      </c>
      <c r="K914" s="4" t="s">
        <v>8169</v>
      </c>
      <c r="L914" s="4" t="s">
        <v>8170</v>
      </c>
      <c r="M914">
        <v>45000</v>
      </c>
      <c r="N914" s="4" t="s">
        <v>8171</v>
      </c>
      <c r="O914" s="4" t="s">
        <v>8172</v>
      </c>
      <c r="P914" s="4" t="s">
        <v>593</v>
      </c>
      <c r="Q914" s="9">
        <v>14050</v>
      </c>
      <c r="R914" s="4" t="s">
        <v>1236</v>
      </c>
      <c r="S914" s="4" t="s">
        <v>8173</v>
      </c>
      <c r="T914" s="4" t="s">
        <v>47</v>
      </c>
      <c r="U914" s="4" t="s">
        <v>87</v>
      </c>
      <c r="V914">
        <v>1938</v>
      </c>
      <c r="W914" s="4" t="s">
        <v>8174</v>
      </c>
      <c r="X914" s="4" t="s">
        <v>8175</v>
      </c>
      <c r="Y914" s="4" t="s">
        <v>8176</v>
      </c>
      <c r="Z914" s="4" t="s">
        <v>8177</v>
      </c>
      <c r="AA914" s="4" t="s">
        <v>47</v>
      </c>
      <c r="AB914" s="4" t="s">
        <v>47</v>
      </c>
      <c r="AC914" s="4" t="s">
        <v>47</v>
      </c>
      <c r="AD914" s="4" t="s">
        <v>47</v>
      </c>
      <c r="AE914" s="4" t="s">
        <v>47</v>
      </c>
      <c r="AF914" s="4" t="s">
        <v>47</v>
      </c>
      <c r="AG914" s="4" t="s">
        <v>47</v>
      </c>
      <c r="AH914" s="4" t="s">
        <v>47</v>
      </c>
      <c r="AI914" s="4" t="s">
        <v>47</v>
      </c>
      <c r="AJ914" s="4" t="s">
        <v>47</v>
      </c>
      <c r="AK914" s="4" t="s">
        <v>47</v>
      </c>
      <c r="AL914" s="4" t="s">
        <v>47</v>
      </c>
      <c r="AM914" s="4" t="s">
        <v>47</v>
      </c>
      <c r="AN914" s="4" t="s">
        <v>47</v>
      </c>
      <c r="AO914" s="4" t="s">
        <v>47</v>
      </c>
      <c r="AP914" s="4" t="s">
        <v>47</v>
      </c>
      <c r="AQ914" s="4" t="s">
        <v>47</v>
      </c>
      <c r="AR914" s="4" t="s">
        <v>47</v>
      </c>
    </row>
    <row r="915" spans="1:44" x14ac:dyDescent="0.2">
      <c r="A915" s="4" t="s">
        <v>119</v>
      </c>
      <c r="B915" s="4" t="s">
        <v>116</v>
      </c>
      <c r="C915">
        <v>5</v>
      </c>
      <c r="F915">
        <v>1</v>
      </c>
      <c r="I915" s="4" t="s">
        <v>8169</v>
      </c>
      <c r="J915" s="4" t="s">
        <v>8170</v>
      </c>
      <c r="K915" s="4" t="s">
        <v>8158</v>
      </c>
      <c r="L915" s="4" t="s">
        <v>8178</v>
      </c>
      <c r="M915">
        <v>20000</v>
      </c>
      <c r="N915" s="4" t="s">
        <v>3883</v>
      </c>
      <c r="O915" s="4" t="s">
        <v>8179</v>
      </c>
      <c r="P915" s="4" t="s">
        <v>629</v>
      </c>
      <c r="Q915" s="9">
        <v>14047</v>
      </c>
      <c r="R915" s="4" t="s">
        <v>5278</v>
      </c>
      <c r="S915" s="4" t="s">
        <v>8180</v>
      </c>
      <c r="T915" s="4" t="s">
        <v>47</v>
      </c>
      <c r="U915" s="4" t="s">
        <v>87</v>
      </c>
      <c r="V915">
        <v>1938</v>
      </c>
      <c r="W915" s="4" t="s">
        <v>8181</v>
      </c>
      <c r="X915" s="4" t="s">
        <v>8182</v>
      </c>
      <c r="Y915" s="4" t="s">
        <v>8183</v>
      </c>
      <c r="Z915" s="4" t="s">
        <v>8184</v>
      </c>
      <c r="AA915" s="4" t="s">
        <v>8185</v>
      </c>
      <c r="AB915" s="4" t="s">
        <v>47</v>
      </c>
      <c r="AC915" s="4" t="s">
        <v>47</v>
      </c>
      <c r="AD915" s="4" t="s">
        <v>47</v>
      </c>
      <c r="AE915" s="4" t="s">
        <v>47</v>
      </c>
      <c r="AF915" s="4" t="s">
        <v>47</v>
      </c>
      <c r="AG915" s="4" t="s">
        <v>47</v>
      </c>
      <c r="AH915" s="4" t="s">
        <v>47</v>
      </c>
      <c r="AI915" s="4" t="s">
        <v>47</v>
      </c>
      <c r="AJ915" s="4" t="s">
        <v>47</v>
      </c>
      <c r="AK915" s="4" t="s">
        <v>47</v>
      </c>
      <c r="AL915" s="4" t="s">
        <v>47</v>
      </c>
      <c r="AM915" s="4" t="s">
        <v>47</v>
      </c>
      <c r="AN915" s="4" t="s">
        <v>47</v>
      </c>
      <c r="AO915" s="4" t="s">
        <v>47</v>
      </c>
      <c r="AP915" s="4" t="s">
        <v>47</v>
      </c>
      <c r="AQ915" s="4" t="s">
        <v>47</v>
      </c>
      <c r="AR915" s="4" t="s">
        <v>47</v>
      </c>
    </row>
    <row r="916" spans="1:44" x14ac:dyDescent="0.2">
      <c r="A916" s="4" t="s">
        <v>97</v>
      </c>
      <c r="B916" s="4" t="s">
        <v>12</v>
      </c>
      <c r="C916">
        <v>2</v>
      </c>
      <c r="F916">
        <v>1</v>
      </c>
      <c r="I916" s="4" t="s">
        <v>8167</v>
      </c>
      <c r="J916" s="4" t="s">
        <v>8168</v>
      </c>
      <c r="K916" s="4" t="s">
        <v>8156</v>
      </c>
      <c r="L916" s="4" t="s">
        <v>8186</v>
      </c>
      <c r="M916">
        <v>33000</v>
      </c>
      <c r="N916" s="4" t="s">
        <v>8187</v>
      </c>
      <c r="O916" s="4" t="s">
        <v>8188</v>
      </c>
      <c r="P916" s="4" t="s">
        <v>629</v>
      </c>
      <c r="Q916" s="9">
        <v>14047</v>
      </c>
      <c r="R916" s="4" t="s">
        <v>617</v>
      </c>
      <c r="S916" s="4" t="s">
        <v>8189</v>
      </c>
      <c r="T916" s="4" t="s">
        <v>47</v>
      </c>
      <c r="U916" s="4" t="s">
        <v>87</v>
      </c>
      <c r="V916">
        <v>1938</v>
      </c>
      <c r="W916" s="4" t="s">
        <v>8190</v>
      </c>
      <c r="X916" s="4" t="s">
        <v>8191</v>
      </c>
      <c r="Y916" s="4" t="s">
        <v>8192</v>
      </c>
      <c r="Z916" s="4" t="s">
        <v>8193</v>
      </c>
      <c r="AA916" s="4" t="s">
        <v>47</v>
      </c>
      <c r="AB916" s="4" t="s">
        <v>47</v>
      </c>
      <c r="AC916" s="4" t="s">
        <v>8194</v>
      </c>
      <c r="AD916" s="4" t="s">
        <v>47</v>
      </c>
      <c r="AE916" s="4" t="s">
        <v>47</v>
      </c>
      <c r="AF916" s="4" t="s">
        <v>47</v>
      </c>
      <c r="AG916" s="4" t="s">
        <v>47</v>
      </c>
      <c r="AH916" s="4" t="s">
        <v>47</v>
      </c>
      <c r="AI916" s="4" t="s">
        <v>47</v>
      </c>
      <c r="AJ916" s="4" t="s">
        <v>47</v>
      </c>
      <c r="AK916" s="4" t="s">
        <v>47</v>
      </c>
      <c r="AL916" s="4" t="s">
        <v>47</v>
      </c>
      <c r="AM916" s="4" t="s">
        <v>47</v>
      </c>
      <c r="AN916" s="4" t="s">
        <v>47</v>
      </c>
      <c r="AO916" s="4" t="s">
        <v>47</v>
      </c>
      <c r="AP916" s="4" t="s">
        <v>47</v>
      </c>
      <c r="AQ916" s="4" t="s">
        <v>47</v>
      </c>
      <c r="AR916" s="4" t="s">
        <v>47</v>
      </c>
    </row>
    <row r="917" spans="1:44" x14ac:dyDescent="0.2">
      <c r="A917" s="4" t="s">
        <v>12</v>
      </c>
      <c r="B917" s="4" t="s">
        <v>114</v>
      </c>
      <c r="C917">
        <v>2</v>
      </c>
      <c r="F917">
        <v>1</v>
      </c>
      <c r="I917" s="4" t="s">
        <v>8156</v>
      </c>
      <c r="J917" s="4" t="s">
        <v>8157</v>
      </c>
      <c r="K917" s="4" t="s">
        <v>8195</v>
      </c>
      <c r="L917" s="4" t="s">
        <v>8196</v>
      </c>
      <c r="M917">
        <v>18141</v>
      </c>
      <c r="N917" s="4" t="s">
        <v>8160</v>
      </c>
      <c r="O917" s="4" t="s">
        <v>8197</v>
      </c>
      <c r="P917" s="4" t="s">
        <v>651</v>
      </c>
      <c r="Q917" s="9">
        <v>14045</v>
      </c>
      <c r="R917" s="4" t="s">
        <v>617</v>
      </c>
      <c r="S917" s="4" t="s">
        <v>8173</v>
      </c>
      <c r="T917" s="4" t="s">
        <v>47</v>
      </c>
      <c r="U917" s="4" t="s">
        <v>87</v>
      </c>
      <c r="V917">
        <v>1938</v>
      </c>
      <c r="W917" s="4" t="s">
        <v>8198</v>
      </c>
      <c r="X917" s="4" t="s">
        <v>8199</v>
      </c>
      <c r="Y917" s="4" t="s">
        <v>8200</v>
      </c>
      <c r="Z917" s="4" t="s">
        <v>8201</v>
      </c>
      <c r="AA917" s="4" t="s">
        <v>47</v>
      </c>
      <c r="AB917" s="4" t="s">
        <v>47</v>
      </c>
      <c r="AC917" s="4" t="s">
        <v>47</v>
      </c>
      <c r="AD917" s="4" t="s">
        <v>47</v>
      </c>
      <c r="AE917" s="4" t="s">
        <v>47</v>
      </c>
      <c r="AF917" s="4" t="s">
        <v>47</v>
      </c>
      <c r="AG917" s="4" t="s">
        <v>47</v>
      </c>
      <c r="AH917" s="4" t="s">
        <v>47</v>
      </c>
      <c r="AI917" s="4" t="s">
        <v>47</v>
      </c>
      <c r="AJ917" s="4" t="s">
        <v>47</v>
      </c>
      <c r="AK917" s="4" t="s">
        <v>47</v>
      </c>
      <c r="AL917" s="4" t="s">
        <v>47</v>
      </c>
      <c r="AM917" s="4" t="s">
        <v>47</v>
      </c>
      <c r="AN917" s="4" t="s">
        <v>47</v>
      </c>
      <c r="AO917" s="4" t="s">
        <v>47</v>
      </c>
      <c r="AP917" s="4" t="s">
        <v>47</v>
      </c>
      <c r="AQ917" s="4" t="s">
        <v>47</v>
      </c>
      <c r="AR917" s="4" t="s">
        <v>47</v>
      </c>
    </row>
    <row r="918" spans="1:44" x14ac:dyDescent="0.2">
      <c r="A918" s="4" t="s">
        <v>116</v>
      </c>
      <c r="B918" s="4" t="s">
        <v>442</v>
      </c>
      <c r="C918">
        <v>8</v>
      </c>
      <c r="F918">
        <v>0</v>
      </c>
      <c r="I918" s="4" t="s">
        <v>8158</v>
      </c>
      <c r="J918" s="4" t="s">
        <v>8178</v>
      </c>
      <c r="K918" s="4" t="s">
        <v>8202</v>
      </c>
      <c r="L918" s="4" t="s">
        <v>8203</v>
      </c>
      <c r="M918">
        <v>7000</v>
      </c>
      <c r="N918" s="4" t="s">
        <v>8204</v>
      </c>
      <c r="O918" s="4" t="s">
        <v>8205</v>
      </c>
      <c r="P918" s="4" t="s">
        <v>651</v>
      </c>
      <c r="Q918" s="9">
        <v>14043</v>
      </c>
      <c r="R918" s="4" t="s">
        <v>3860</v>
      </c>
      <c r="S918" s="4" t="s">
        <v>8206</v>
      </c>
      <c r="T918" s="4" t="s">
        <v>47</v>
      </c>
      <c r="U918" s="4" t="s">
        <v>87</v>
      </c>
      <c r="V918">
        <v>1938</v>
      </c>
      <c r="W918" s="4" t="s">
        <v>8207</v>
      </c>
      <c r="X918" s="4" t="s">
        <v>47</v>
      </c>
      <c r="Y918" s="4" t="s">
        <v>8208</v>
      </c>
      <c r="Z918" s="4" t="s">
        <v>47</v>
      </c>
      <c r="AA918" s="4" t="s">
        <v>47</v>
      </c>
      <c r="AB918" s="4" t="s">
        <v>47</v>
      </c>
      <c r="AC918" s="4" t="s">
        <v>47</v>
      </c>
      <c r="AD918" s="4" t="s">
        <v>47</v>
      </c>
      <c r="AE918" s="4" t="s">
        <v>47</v>
      </c>
      <c r="AF918" s="4" t="s">
        <v>47</v>
      </c>
      <c r="AG918" s="4" t="s">
        <v>47</v>
      </c>
      <c r="AH918" s="4" t="s">
        <v>47</v>
      </c>
      <c r="AI918" s="4" t="s">
        <v>47</v>
      </c>
      <c r="AJ918" s="4" t="s">
        <v>47</v>
      </c>
      <c r="AK918" s="4" t="s">
        <v>47</v>
      </c>
      <c r="AL918" s="4" t="s">
        <v>47</v>
      </c>
      <c r="AM918" s="4" t="s">
        <v>47</v>
      </c>
      <c r="AN918" s="4" t="s">
        <v>47</v>
      </c>
      <c r="AO918" s="4" t="s">
        <v>47</v>
      </c>
      <c r="AP918" s="4" t="s">
        <v>47</v>
      </c>
      <c r="AQ918" s="4" t="s">
        <v>47</v>
      </c>
      <c r="AR918" s="4" t="s">
        <v>47</v>
      </c>
    </row>
    <row r="919" spans="1:44" x14ac:dyDescent="0.2">
      <c r="A919" s="4" t="s">
        <v>12</v>
      </c>
      <c r="B919" s="4" t="s">
        <v>114</v>
      </c>
      <c r="C919">
        <v>1</v>
      </c>
      <c r="F919">
        <v>1</v>
      </c>
      <c r="I919" s="4" t="s">
        <v>8156</v>
      </c>
      <c r="J919" s="4" t="s">
        <v>8186</v>
      </c>
      <c r="K919" s="4" t="s">
        <v>8195</v>
      </c>
      <c r="L919" s="4" t="s">
        <v>8209</v>
      </c>
      <c r="M919">
        <v>22021</v>
      </c>
      <c r="N919" s="4" t="s">
        <v>8160</v>
      </c>
      <c r="O919" s="4" t="s">
        <v>8210</v>
      </c>
      <c r="P919" s="4" t="s">
        <v>651</v>
      </c>
      <c r="Q919" s="9">
        <v>14043</v>
      </c>
      <c r="R919" s="4" t="s">
        <v>1046</v>
      </c>
      <c r="S919" s="4" t="s">
        <v>8211</v>
      </c>
      <c r="T919" s="4" t="s">
        <v>1258</v>
      </c>
      <c r="U919" s="4" t="s">
        <v>87</v>
      </c>
      <c r="V919">
        <v>1938</v>
      </c>
      <c r="W919" s="4" t="s">
        <v>8212</v>
      </c>
      <c r="X919" s="4" t="s">
        <v>47</v>
      </c>
      <c r="Y919" s="4" t="s">
        <v>8213</v>
      </c>
      <c r="Z919" s="4" t="s">
        <v>47</v>
      </c>
      <c r="AA919" s="4" t="s">
        <v>47</v>
      </c>
      <c r="AB919" s="4" t="s">
        <v>47</v>
      </c>
      <c r="AC919" s="4" t="s">
        <v>47</v>
      </c>
      <c r="AD919" s="4" t="s">
        <v>8214</v>
      </c>
      <c r="AE919" s="4" t="s">
        <v>47</v>
      </c>
      <c r="AF919" s="4" t="s">
        <v>47</v>
      </c>
      <c r="AG919" s="4" t="s">
        <v>47</v>
      </c>
      <c r="AH919" s="4" t="s">
        <v>47</v>
      </c>
      <c r="AI919" s="4" t="s">
        <v>47</v>
      </c>
      <c r="AJ919" s="4" t="s">
        <v>47</v>
      </c>
      <c r="AK919" s="4" t="s">
        <v>8215</v>
      </c>
      <c r="AL919" s="4" t="s">
        <v>8216</v>
      </c>
      <c r="AM919" s="4" t="s">
        <v>47</v>
      </c>
      <c r="AN919" s="4" t="s">
        <v>47</v>
      </c>
      <c r="AO919" s="4" t="s">
        <v>47</v>
      </c>
      <c r="AP919" s="4" t="s">
        <v>47</v>
      </c>
      <c r="AQ919" s="4" t="s">
        <v>47</v>
      </c>
      <c r="AR919" s="4" t="s">
        <v>47</v>
      </c>
    </row>
    <row r="920" spans="1:44" x14ac:dyDescent="0.2">
      <c r="A920" s="4" t="s">
        <v>119</v>
      </c>
      <c r="B920" s="4" t="s">
        <v>118</v>
      </c>
      <c r="C920">
        <v>2</v>
      </c>
      <c r="F920">
        <v>0</v>
      </c>
      <c r="I920" s="4" t="s">
        <v>8169</v>
      </c>
      <c r="J920" s="4" t="s">
        <v>8170</v>
      </c>
      <c r="K920" s="4" t="s">
        <v>7527</v>
      </c>
      <c r="L920" s="4" t="s">
        <v>8217</v>
      </c>
      <c r="M920">
        <v>15000</v>
      </c>
      <c r="N920" s="4" t="s">
        <v>8218</v>
      </c>
      <c r="O920" s="4" t="s">
        <v>8219</v>
      </c>
      <c r="P920" s="4" t="s">
        <v>651</v>
      </c>
      <c r="Q920" s="9">
        <v>14043</v>
      </c>
      <c r="R920" s="4" t="s">
        <v>630</v>
      </c>
      <c r="S920" s="4" t="s">
        <v>8220</v>
      </c>
      <c r="T920" s="4" t="s">
        <v>47</v>
      </c>
      <c r="U920" s="4" t="s">
        <v>87</v>
      </c>
      <c r="V920">
        <v>1938</v>
      </c>
      <c r="W920" s="4" t="s">
        <v>8221</v>
      </c>
      <c r="X920" s="4" t="s">
        <v>47</v>
      </c>
      <c r="Y920" s="4" t="s">
        <v>8222</v>
      </c>
      <c r="Z920" s="4" t="s">
        <v>47</v>
      </c>
      <c r="AA920" s="4" t="s">
        <v>47</v>
      </c>
      <c r="AB920" s="4" t="s">
        <v>47</v>
      </c>
      <c r="AC920" s="4" t="s">
        <v>47</v>
      </c>
      <c r="AD920" s="4" t="s">
        <v>47</v>
      </c>
      <c r="AE920" s="4" t="s">
        <v>47</v>
      </c>
      <c r="AF920" s="4" t="s">
        <v>47</v>
      </c>
      <c r="AG920" s="4" t="s">
        <v>47</v>
      </c>
      <c r="AH920" s="4" t="s">
        <v>47</v>
      </c>
      <c r="AI920" s="4" t="s">
        <v>47</v>
      </c>
      <c r="AJ920" s="4" t="s">
        <v>47</v>
      </c>
      <c r="AK920" s="4" t="s">
        <v>47</v>
      </c>
      <c r="AL920" s="4" t="s">
        <v>47</v>
      </c>
      <c r="AM920" s="4" t="s">
        <v>47</v>
      </c>
      <c r="AN920" s="4" t="s">
        <v>47</v>
      </c>
      <c r="AO920" s="4" t="s">
        <v>47</v>
      </c>
      <c r="AP920" s="4" t="s">
        <v>47</v>
      </c>
      <c r="AQ920" s="4" t="s">
        <v>47</v>
      </c>
      <c r="AR920" s="4" t="s">
        <v>47</v>
      </c>
    </row>
    <row r="921" spans="1:44" x14ac:dyDescent="0.2">
      <c r="A921" s="4" t="s">
        <v>97</v>
      </c>
      <c r="B921" s="4" t="s">
        <v>87</v>
      </c>
      <c r="C921">
        <v>3</v>
      </c>
      <c r="F921">
        <v>1</v>
      </c>
      <c r="I921" s="4" t="s">
        <v>8167</v>
      </c>
      <c r="J921" s="4" t="s">
        <v>8168</v>
      </c>
      <c r="K921" s="4" t="s">
        <v>8223</v>
      </c>
      <c r="L921" s="4" t="s">
        <v>8224</v>
      </c>
      <c r="M921">
        <v>58455</v>
      </c>
      <c r="N921" s="4" t="s">
        <v>8171</v>
      </c>
      <c r="O921" s="4" t="s">
        <v>8225</v>
      </c>
      <c r="P921" s="4" t="s">
        <v>651</v>
      </c>
      <c r="Q921" s="9">
        <v>14043</v>
      </c>
      <c r="R921" s="4" t="s">
        <v>770</v>
      </c>
      <c r="S921" s="4" t="s">
        <v>8226</v>
      </c>
      <c r="T921" s="4" t="s">
        <v>47</v>
      </c>
      <c r="U921" s="4" t="s">
        <v>87</v>
      </c>
      <c r="V921">
        <v>1938</v>
      </c>
      <c r="W921" s="4" t="s">
        <v>8227</v>
      </c>
      <c r="X921" s="4" t="s">
        <v>8228</v>
      </c>
      <c r="Y921" s="4" t="s">
        <v>8229</v>
      </c>
      <c r="Z921" s="4" t="s">
        <v>8230</v>
      </c>
      <c r="AA921" s="4" t="s">
        <v>47</v>
      </c>
      <c r="AB921" s="4" t="s">
        <v>47</v>
      </c>
      <c r="AC921" s="4" t="s">
        <v>47</v>
      </c>
      <c r="AD921" s="4" t="s">
        <v>47</v>
      </c>
      <c r="AE921" s="4" t="s">
        <v>47</v>
      </c>
      <c r="AF921" s="4" t="s">
        <v>47</v>
      </c>
      <c r="AG921" s="4" t="s">
        <v>47</v>
      </c>
      <c r="AH921" s="4" t="s">
        <v>47</v>
      </c>
      <c r="AI921" s="4" t="s">
        <v>47</v>
      </c>
      <c r="AJ921" s="4" t="s">
        <v>47</v>
      </c>
      <c r="AK921" s="4" t="s">
        <v>47</v>
      </c>
      <c r="AL921" s="4" t="s">
        <v>47</v>
      </c>
      <c r="AM921" s="4" t="s">
        <v>47</v>
      </c>
      <c r="AN921" s="4" t="s">
        <v>47</v>
      </c>
      <c r="AO921" s="4" t="s">
        <v>47</v>
      </c>
      <c r="AP921" s="4" t="s">
        <v>47</v>
      </c>
      <c r="AQ921" s="4" t="s">
        <v>47</v>
      </c>
      <c r="AR921" s="4" t="s">
        <v>47</v>
      </c>
    </row>
    <row r="922" spans="1:44" x14ac:dyDescent="0.2">
      <c r="A922" s="4" t="s">
        <v>118</v>
      </c>
      <c r="B922" s="4" t="s">
        <v>92</v>
      </c>
      <c r="C922">
        <v>4</v>
      </c>
      <c r="F922">
        <v>2</v>
      </c>
      <c r="I922" s="4" t="s">
        <v>7527</v>
      </c>
      <c r="J922" s="4" t="s">
        <v>8231</v>
      </c>
      <c r="K922" s="4" t="s">
        <v>7509</v>
      </c>
      <c r="L922" s="4" t="s">
        <v>8232</v>
      </c>
      <c r="M922">
        <v>20025</v>
      </c>
      <c r="N922" s="4" t="s">
        <v>3883</v>
      </c>
      <c r="O922" s="4" t="s">
        <v>8233</v>
      </c>
      <c r="P922" s="4" t="s">
        <v>714</v>
      </c>
      <c r="Q922" s="9">
        <v>14040</v>
      </c>
      <c r="R922" s="4" t="s">
        <v>1236</v>
      </c>
      <c r="S922" s="4" t="s">
        <v>8095</v>
      </c>
      <c r="T922" s="4" t="s">
        <v>47</v>
      </c>
      <c r="U922" s="4" t="s">
        <v>87</v>
      </c>
      <c r="V922">
        <v>1938</v>
      </c>
      <c r="W922" s="4" t="s">
        <v>8234</v>
      </c>
      <c r="X922" s="4" t="s">
        <v>8235</v>
      </c>
      <c r="Y922" s="4" t="s">
        <v>8236</v>
      </c>
      <c r="Z922" s="4" t="s">
        <v>8237</v>
      </c>
      <c r="AA922" s="4" t="s">
        <v>47</v>
      </c>
      <c r="AB922" s="4" t="s">
        <v>8238</v>
      </c>
      <c r="AC922" s="4" t="s">
        <v>47</v>
      </c>
      <c r="AD922" s="4" t="s">
        <v>47</v>
      </c>
      <c r="AE922" s="4" t="s">
        <v>47</v>
      </c>
      <c r="AF922" s="4" t="s">
        <v>47</v>
      </c>
      <c r="AG922" s="4" t="s">
        <v>47</v>
      </c>
      <c r="AH922" s="4" t="s">
        <v>47</v>
      </c>
      <c r="AI922" s="4" t="s">
        <v>47</v>
      </c>
      <c r="AJ922" s="4" t="s">
        <v>47</v>
      </c>
      <c r="AK922" s="4" t="s">
        <v>47</v>
      </c>
      <c r="AL922" s="4" t="s">
        <v>47</v>
      </c>
      <c r="AM922" s="4" t="s">
        <v>47</v>
      </c>
      <c r="AN922" s="4" t="s">
        <v>47</v>
      </c>
      <c r="AO922" s="4" t="s">
        <v>47</v>
      </c>
      <c r="AP922" s="4" t="s">
        <v>47</v>
      </c>
      <c r="AQ922" s="4" t="s">
        <v>47</v>
      </c>
      <c r="AR922" s="4" t="s">
        <v>47</v>
      </c>
    </row>
    <row r="923" spans="1:44" x14ac:dyDescent="0.2">
      <c r="A923" s="4" t="s">
        <v>442</v>
      </c>
      <c r="B923" s="4" t="s">
        <v>227</v>
      </c>
      <c r="C923">
        <v>2</v>
      </c>
      <c r="F923">
        <v>1</v>
      </c>
      <c r="I923" s="4" t="s">
        <v>8202</v>
      </c>
      <c r="J923" s="4" t="s">
        <v>8203</v>
      </c>
      <c r="K923" s="4" t="s">
        <v>8239</v>
      </c>
      <c r="L923" s="4" t="s">
        <v>8240</v>
      </c>
      <c r="M923">
        <v>8000</v>
      </c>
      <c r="N923" s="4" t="s">
        <v>8241</v>
      </c>
      <c r="O923" s="4" t="s">
        <v>8242</v>
      </c>
      <c r="P923" s="4" t="s">
        <v>714</v>
      </c>
      <c r="Q923" s="9">
        <v>14040</v>
      </c>
      <c r="R923" s="4" t="s">
        <v>617</v>
      </c>
      <c r="S923" s="4" t="s">
        <v>8243</v>
      </c>
      <c r="T923" s="4" t="s">
        <v>47</v>
      </c>
      <c r="U923" s="4" t="s">
        <v>87</v>
      </c>
      <c r="V923">
        <v>1938</v>
      </c>
      <c r="W923" s="4" t="s">
        <v>8244</v>
      </c>
      <c r="X923" s="4" t="s">
        <v>8245</v>
      </c>
      <c r="Y923" s="4" t="s">
        <v>8246</v>
      </c>
      <c r="Z923" s="4" t="s">
        <v>8247</v>
      </c>
      <c r="AA923" s="4" t="s">
        <v>47</v>
      </c>
      <c r="AB923" s="4" t="s">
        <v>47</v>
      </c>
      <c r="AC923" s="4" t="s">
        <v>47</v>
      </c>
      <c r="AD923" s="4" t="s">
        <v>47</v>
      </c>
      <c r="AE923" s="4" t="s">
        <v>47</v>
      </c>
      <c r="AF923" s="4" t="s">
        <v>47</v>
      </c>
      <c r="AG923" s="4" t="s">
        <v>47</v>
      </c>
      <c r="AH923" s="4" t="s">
        <v>47</v>
      </c>
      <c r="AI923" s="4" t="s">
        <v>47</v>
      </c>
      <c r="AJ923" s="4" t="s">
        <v>47</v>
      </c>
      <c r="AK923" s="4" t="s">
        <v>47</v>
      </c>
      <c r="AL923" s="4" t="s">
        <v>47</v>
      </c>
      <c r="AM923" s="4" t="s">
        <v>47</v>
      </c>
      <c r="AN923" s="4" t="s">
        <v>47</v>
      </c>
      <c r="AO923" s="4" t="s">
        <v>47</v>
      </c>
      <c r="AP923" s="4" t="s">
        <v>47</v>
      </c>
      <c r="AQ923" s="4" t="s">
        <v>47</v>
      </c>
      <c r="AR923" s="4" t="s">
        <v>47</v>
      </c>
    </row>
    <row r="924" spans="1:44" x14ac:dyDescent="0.2">
      <c r="A924" s="4" t="s">
        <v>97</v>
      </c>
      <c r="B924" s="4" t="s">
        <v>19</v>
      </c>
      <c r="C924">
        <v>2</v>
      </c>
      <c r="F924">
        <v>1</v>
      </c>
      <c r="I924" s="4" t="s">
        <v>8167</v>
      </c>
      <c r="J924" s="4" t="s">
        <v>8168</v>
      </c>
      <c r="K924" s="4" t="s">
        <v>8248</v>
      </c>
      <c r="L924" s="4" t="s">
        <v>8249</v>
      </c>
      <c r="M924">
        <v>19000</v>
      </c>
      <c r="N924" s="4" t="s">
        <v>8187</v>
      </c>
      <c r="O924" s="4" t="s">
        <v>8250</v>
      </c>
      <c r="P924" s="4" t="s">
        <v>714</v>
      </c>
      <c r="Q924" s="9">
        <v>14036</v>
      </c>
      <c r="R924" s="4" t="s">
        <v>617</v>
      </c>
      <c r="S924" s="4" t="s">
        <v>8251</v>
      </c>
      <c r="T924" s="4" t="s">
        <v>1258</v>
      </c>
      <c r="U924" s="4" t="s">
        <v>87</v>
      </c>
      <c r="V924">
        <v>1938</v>
      </c>
      <c r="W924" s="4" t="s">
        <v>8252</v>
      </c>
      <c r="X924" s="4" t="s">
        <v>8253</v>
      </c>
      <c r="Y924" s="4" t="s">
        <v>8254</v>
      </c>
      <c r="Z924" s="4" t="s">
        <v>8255</v>
      </c>
      <c r="AA924" s="4" t="s">
        <v>47</v>
      </c>
      <c r="AB924" s="4" t="s">
        <v>47</v>
      </c>
      <c r="AC924" s="4" t="s">
        <v>47</v>
      </c>
      <c r="AD924" s="4" t="s">
        <v>47</v>
      </c>
      <c r="AE924" s="4" t="s">
        <v>47</v>
      </c>
      <c r="AF924" s="4" t="s">
        <v>47</v>
      </c>
      <c r="AG924" s="4" t="s">
        <v>47</v>
      </c>
      <c r="AH924" s="4" t="s">
        <v>47</v>
      </c>
      <c r="AI924" s="4" t="s">
        <v>47</v>
      </c>
      <c r="AJ924" s="4" t="s">
        <v>47</v>
      </c>
      <c r="AK924" s="4" t="s">
        <v>47</v>
      </c>
      <c r="AL924" s="4" t="s">
        <v>47</v>
      </c>
      <c r="AM924" s="4" t="s">
        <v>47</v>
      </c>
      <c r="AN924" s="4" t="s">
        <v>47</v>
      </c>
      <c r="AO924" s="4" t="s">
        <v>47</v>
      </c>
      <c r="AP924" s="4" t="s">
        <v>47</v>
      </c>
      <c r="AQ924" s="4" t="s">
        <v>47</v>
      </c>
      <c r="AR924" s="4" t="s">
        <v>47</v>
      </c>
    </row>
    <row r="925" spans="1:44" x14ac:dyDescent="0.2">
      <c r="A925" s="4" t="s">
        <v>442</v>
      </c>
      <c r="B925" s="4" t="s">
        <v>227</v>
      </c>
      <c r="C925">
        <v>3</v>
      </c>
      <c r="F925">
        <v>3</v>
      </c>
      <c r="I925" s="4" t="s">
        <v>8202</v>
      </c>
      <c r="J925" s="4" t="s">
        <v>8203</v>
      </c>
      <c r="K925" s="4" t="s">
        <v>8239</v>
      </c>
      <c r="L925" s="4" t="s">
        <v>8256</v>
      </c>
      <c r="M925">
        <v>7000</v>
      </c>
      <c r="N925" s="4" t="s">
        <v>8241</v>
      </c>
      <c r="O925" s="4" t="s">
        <v>8257</v>
      </c>
      <c r="P925" s="4" t="s">
        <v>714</v>
      </c>
      <c r="Q925" s="9">
        <v>14036</v>
      </c>
      <c r="R925" s="4" t="s">
        <v>982</v>
      </c>
      <c r="S925" s="4" t="s">
        <v>8258</v>
      </c>
      <c r="T925" s="4" t="s">
        <v>1258</v>
      </c>
      <c r="U925" s="4" t="s">
        <v>87</v>
      </c>
      <c r="V925">
        <v>1938</v>
      </c>
      <c r="W925" s="4" t="s">
        <v>8259</v>
      </c>
      <c r="X925" s="4" t="s">
        <v>8260</v>
      </c>
      <c r="Y925" s="4" t="s">
        <v>8261</v>
      </c>
      <c r="Z925" s="4" t="s">
        <v>8262</v>
      </c>
      <c r="AA925" s="4" t="s">
        <v>47</v>
      </c>
      <c r="AB925" s="4" t="s">
        <v>47</v>
      </c>
      <c r="AC925" s="4" t="s">
        <v>47</v>
      </c>
      <c r="AD925" s="4" t="s">
        <v>47</v>
      </c>
      <c r="AE925" s="4" t="s">
        <v>47</v>
      </c>
      <c r="AF925" s="4" t="s">
        <v>47</v>
      </c>
      <c r="AG925" s="4" t="s">
        <v>47</v>
      </c>
      <c r="AH925" s="4" t="s">
        <v>47</v>
      </c>
      <c r="AI925" s="4" t="s">
        <v>47</v>
      </c>
      <c r="AJ925" s="4" t="s">
        <v>47</v>
      </c>
      <c r="AK925" s="4" t="s">
        <v>47</v>
      </c>
      <c r="AL925" s="4" t="s">
        <v>47</v>
      </c>
      <c r="AM925" s="4" t="s">
        <v>47</v>
      </c>
      <c r="AN925" s="4" t="s">
        <v>47</v>
      </c>
      <c r="AO925" s="4" t="s">
        <v>47</v>
      </c>
      <c r="AP925" s="4" t="s">
        <v>47</v>
      </c>
      <c r="AQ925" s="4" t="s">
        <v>47</v>
      </c>
      <c r="AR925" s="4" t="s">
        <v>47</v>
      </c>
    </row>
    <row r="926" spans="1:44" x14ac:dyDescent="0.2">
      <c r="A926" s="4" t="s">
        <v>119</v>
      </c>
      <c r="B926" s="4" t="s">
        <v>8263</v>
      </c>
      <c r="C926">
        <v>6</v>
      </c>
      <c r="F926">
        <v>0</v>
      </c>
      <c r="I926" s="4" t="s">
        <v>8169</v>
      </c>
      <c r="J926" s="4" t="s">
        <v>8170</v>
      </c>
      <c r="K926" s="4" t="s">
        <v>8264</v>
      </c>
      <c r="L926" s="4" t="s">
        <v>8265</v>
      </c>
      <c r="M926">
        <v>9000</v>
      </c>
      <c r="N926" s="4" t="s">
        <v>8266</v>
      </c>
      <c r="O926" s="4" t="s">
        <v>8267</v>
      </c>
      <c r="P926" s="4" t="s">
        <v>714</v>
      </c>
      <c r="Q926" s="9">
        <v>14036</v>
      </c>
      <c r="R926" s="4" t="s">
        <v>3226</v>
      </c>
      <c r="S926" s="4" t="s">
        <v>8268</v>
      </c>
      <c r="T926" s="4" t="s">
        <v>47</v>
      </c>
      <c r="U926" s="4" t="s">
        <v>87</v>
      </c>
      <c r="V926">
        <v>1938</v>
      </c>
      <c r="W926" s="4" t="s">
        <v>8269</v>
      </c>
      <c r="X926" s="4" t="s">
        <v>47</v>
      </c>
      <c r="Y926" s="4" t="s">
        <v>8270</v>
      </c>
      <c r="Z926" s="4" t="s">
        <v>47</v>
      </c>
      <c r="AA926" s="4" t="s">
        <v>47</v>
      </c>
      <c r="AB926" s="4" t="s">
        <v>47</v>
      </c>
      <c r="AC926" s="4" t="s">
        <v>47</v>
      </c>
      <c r="AD926" s="4" t="s">
        <v>47</v>
      </c>
      <c r="AE926" s="4" t="s">
        <v>47</v>
      </c>
      <c r="AF926" s="4" t="s">
        <v>47</v>
      </c>
      <c r="AG926" s="4" t="s">
        <v>47</v>
      </c>
      <c r="AH926" s="4" t="s">
        <v>47</v>
      </c>
      <c r="AI926" s="4" t="s">
        <v>47</v>
      </c>
      <c r="AJ926" s="4" t="s">
        <v>47</v>
      </c>
      <c r="AK926" s="4" t="s">
        <v>47</v>
      </c>
      <c r="AL926" s="4" t="s">
        <v>47</v>
      </c>
      <c r="AM926" s="4" t="s">
        <v>47</v>
      </c>
      <c r="AN926" s="4" t="s">
        <v>47</v>
      </c>
      <c r="AO926" s="4" t="s">
        <v>47</v>
      </c>
      <c r="AP926" s="4" t="s">
        <v>47</v>
      </c>
      <c r="AQ926" s="4" t="s">
        <v>47</v>
      </c>
      <c r="AR926" s="4" t="s">
        <v>47</v>
      </c>
    </row>
    <row r="927" spans="1:44" x14ac:dyDescent="0.2">
      <c r="A927" s="4" t="s">
        <v>87</v>
      </c>
      <c r="B927" s="4" t="s">
        <v>148</v>
      </c>
      <c r="C927">
        <v>3</v>
      </c>
      <c r="F927">
        <v>1</v>
      </c>
      <c r="I927" s="4" t="s">
        <v>8223</v>
      </c>
      <c r="J927" s="4" t="s">
        <v>8224</v>
      </c>
      <c r="K927" s="4" t="s">
        <v>8271</v>
      </c>
      <c r="L927" s="4" t="s">
        <v>8272</v>
      </c>
      <c r="M927">
        <v>30454</v>
      </c>
      <c r="N927" s="4" t="s">
        <v>8171</v>
      </c>
      <c r="O927" s="4" t="s">
        <v>8273</v>
      </c>
      <c r="P927" s="4" t="s">
        <v>714</v>
      </c>
      <c r="Q927" s="9">
        <v>14036</v>
      </c>
      <c r="R927" s="4" t="s">
        <v>770</v>
      </c>
      <c r="S927" s="4" t="s">
        <v>8189</v>
      </c>
      <c r="T927" s="4" t="s">
        <v>47</v>
      </c>
      <c r="U927" s="4" t="s">
        <v>87</v>
      </c>
      <c r="V927">
        <v>1938</v>
      </c>
      <c r="W927" s="4" t="s">
        <v>8274</v>
      </c>
      <c r="X927" s="4" t="s">
        <v>8275</v>
      </c>
      <c r="Y927" s="4" t="s">
        <v>8276</v>
      </c>
      <c r="Z927" s="4" t="s">
        <v>8277</v>
      </c>
      <c r="AA927" s="4" t="s">
        <v>47</v>
      </c>
      <c r="AB927" s="4" t="s">
        <v>47</v>
      </c>
      <c r="AC927" s="4" t="s">
        <v>47</v>
      </c>
      <c r="AD927" s="4" t="s">
        <v>47</v>
      </c>
      <c r="AE927" s="4" t="s">
        <v>47</v>
      </c>
      <c r="AF927" s="4" t="s">
        <v>47</v>
      </c>
      <c r="AG927" s="4" t="s">
        <v>47</v>
      </c>
      <c r="AH927" s="4" t="s">
        <v>47</v>
      </c>
      <c r="AI927" s="4" t="s">
        <v>47</v>
      </c>
      <c r="AJ927" s="4" t="s">
        <v>47</v>
      </c>
      <c r="AK927" s="4" t="s">
        <v>47</v>
      </c>
      <c r="AL927" s="4" t="s">
        <v>47</v>
      </c>
      <c r="AM927" s="4" t="s">
        <v>47</v>
      </c>
      <c r="AN927" s="4" t="s">
        <v>47</v>
      </c>
      <c r="AO927" s="4" t="s">
        <v>47</v>
      </c>
      <c r="AP927" s="4" t="s">
        <v>47</v>
      </c>
      <c r="AQ927" s="4" t="s">
        <v>47</v>
      </c>
      <c r="AR927" s="4" t="s">
        <v>47</v>
      </c>
    </row>
    <row r="928" spans="1:44" x14ac:dyDescent="0.2">
      <c r="A928" s="4" t="s">
        <v>12</v>
      </c>
      <c r="B928" s="4" t="s">
        <v>195</v>
      </c>
      <c r="C928">
        <v>6</v>
      </c>
      <c r="F928">
        <v>5</v>
      </c>
      <c r="I928" s="4" t="s">
        <v>8156</v>
      </c>
      <c r="J928" s="4" t="s">
        <v>8186</v>
      </c>
      <c r="K928" s="4" t="s">
        <v>8278</v>
      </c>
      <c r="L928" s="4" t="s">
        <v>8279</v>
      </c>
      <c r="M928">
        <v>13452</v>
      </c>
      <c r="N928" s="4" t="s">
        <v>8280</v>
      </c>
      <c r="O928" s="4" t="s">
        <v>8281</v>
      </c>
      <c r="P928" s="4" t="s">
        <v>714</v>
      </c>
      <c r="Q928" s="9">
        <v>14036</v>
      </c>
      <c r="R928" s="4" t="s">
        <v>8282</v>
      </c>
      <c r="S928" s="4" t="s">
        <v>8095</v>
      </c>
      <c r="T928" s="4" t="s">
        <v>1258</v>
      </c>
      <c r="U928" s="4" t="s">
        <v>87</v>
      </c>
      <c r="V928">
        <v>1938</v>
      </c>
      <c r="W928" s="4" t="s">
        <v>8283</v>
      </c>
      <c r="X928" s="4" t="s">
        <v>8284</v>
      </c>
      <c r="Y928" s="4" t="s">
        <v>8285</v>
      </c>
      <c r="Z928" s="4" t="s">
        <v>8286</v>
      </c>
      <c r="AA928" s="4" t="s">
        <v>47</v>
      </c>
      <c r="AB928" s="4" t="s">
        <v>47</v>
      </c>
      <c r="AC928" s="4" t="s">
        <v>47</v>
      </c>
      <c r="AD928" s="4" t="s">
        <v>8287</v>
      </c>
      <c r="AE928" s="4" t="s">
        <v>47</v>
      </c>
      <c r="AF928" s="4" t="s">
        <v>47</v>
      </c>
      <c r="AG928" s="4" t="s">
        <v>47</v>
      </c>
      <c r="AH928" s="4" t="s">
        <v>47</v>
      </c>
      <c r="AI928" s="4" t="s">
        <v>47</v>
      </c>
      <c r="AJ928" s="4" t="s">
        <v>47</v>
      </c>
      <c r="AK928" s="4" t="s">
        <v>47</v>
      </c>
      <c r="AL928" s="4" t="s">
        <v>47</v>
      </c>
      <c r="AM928" s="4" t="s">
        <v>47</v>
      </c>
      <c r="AN928" s="4" t="s">
        <v>47</v>
      </c>
      <c r="AO928" s="4" t="s">
        <v>47</v>
      </c>
      <c r="AP928" s="4" t="s">
        <v>47</v>
      </c>
      <c r="AQ928" s="4" t="s">
        <v>47</v>
      </c>
      <c r="AR928" s="4" t="s">
        <v>47</v>
      </c>
    </row>
    <row r="929" spans="1:44" x14ac:dyDescent="0.2">
      <c r="A929" s="4" t="s">
        <v>114</v>
      </c>
      <c r="B929" s="4" t="s">
        <v>95</v>
      </c>
      <c r="C929">
        <v>3</v>
      </c>
      <c r="F929">
        <v>0</v>
      </c>
      <c r="I929" s="4" t="s">
        <v>8195</v>
      </c>
      <c r="J929" s="4" t="s">
        <v>8209</v>
      </c>
      <c r="K929" s="4" t="s">
        <v>8288</v>
      </c>
      <c r="L929" s="4" t="s">
        <v>8289</v>
      </c>
      <c r="M929">
        <v>11000</v>
      </c>
      <c r="N929" s="4" t="s">
        <v>8290</v>
      </c>
      <c r="O929" s="4" t="s">
        <v>8291</v>
      </c>
      <c r="P929" s="4" t="s">
        <v>714</v>
      </c>
      <c r="Q929" s="9">
        <v>14036</v>
      </c>
      <c r="R929" s="4" t="s">
        <v>638</v>
      </c>
      <c r="S929" s="4" t="s">
        <v>8180</v>
      </c>
      <c r="T929" s="4" t="s">
        <v>1258</v>
      </c>
      <c r="U929" s="4" t="s">
        <v>87</v>
      </c>
      <c r="V929">
        <v>1938</v>
      </c>
      <c r="W929" s="4" t="s">
        <v>8292</v>
      </c>
      <c r="X929" s="4" t="s">
        <v>47</v>
      </c>
      <c r="Y929" s="4" t="s">
        <v>8293</v>
      </c>
      <c r="Z929" s="4" t="s">
        <v>47</v>
      </c>
      <c r="AA929" s="4" t="s">
        <v>47</v>
      </c>
      <c r="AB929" s="4" t="s">
        <v>47</v>
      </c>
      <c r="AC929" s="4" t="s">
        <v>47</v>
      </c>
      <c r="AD929" s="4" t="s">
        <v>47</v>
      </c>
      <c r="AE929" s="4" t="s">
        <v>47</v>
      </c>
      <c r="AF929" s="4" t="s">
        <v>47</v>
      </c>
      <c r="AG929" s="4" t="s">
        <v>47</v>
      </c>
      <c r="AH929" s="4" t="s">
        <v>47</v>
      </c>
      <c r="AI929" s="4" t="s">
        <v>47</v>
      </c>
      <c r="AJ929" s="4" t="s">
        <v>47</v>
      </c>
      <c r="AK929" s="4" t="s">
        <v>47</v>
      </c>
      <c r="AL929" s="4" t="s">
        <v>47</v>
      </c>
      <c r="AM929" s="4" t="s">
        <v>47</v>
      </c>
      <c r="AN929" s="4" t="s">
        <v>47</v>
      </c>
      <c r="AO929" s="4" t="s">
        <v>47</v>
      </c>
      <c r="AP929" s="4" t="s">
        <v>47</v>
      </c>
      <c r="AQ929" s="4" t="s">
        <v>47</v>
      </c>
      <c r="AR929" s="4" t="s">
        <v>47</v>
      </c>
    </row>
    <row r="930" spans="1:44" x14ac:dyDescent="0.2">
      <c r="A930" s="4" t="s">
        <v>118</v>
      </c>
      <c r="B930" s="4" t="s">
        <v>92</v>
      </c>
      <c r="C930">
        <v>1</v>
      </c>
      <c r="F930">
        <v>1</v>
      </c>
      <c r="I930" s="4" t="s">
        <v>7527</v>
      </c>
      <c r="J930" s="4" t="s">
        <v>8231</v>
      </c>
      <c r="K930" s="4" t="s">
        <v>7509</v>
      </c>
      <c r="L930" s="4" t="s">
        <v>8294</v>
      </c>
      <c r="M930">
        <v>27152</v>
      </c>
      <c r="N930" s="4" t="s">
        <v>3883</v>
      </c>
      <c r="O930" s="4" t="s">
        <v>8295</v>
      </c>
      <c r="P930" s="4" t="s">
        <v>714</v>
      </c>
      <c r="Q930" s="9">
        <v>14035</v>
      </c>
      <c r="R930" s="4" t="s">
        <v>1046</v>
      </c>
      <c r="S930" s="4" t="s">
        <v>8162</v>
      </c>
      <c r="T930" s="4" t="s">
        <v>1258</v>
      </c>
      <c r="U930" s="4" t="s">
        <v>87</v>
      </c>
      <c r="V930">
        <v>1938</v>
      </c>
      <c r="W930" s="4" t="s">
        <v>8296</v>
      </c>
      <c r="X930" s="4" t="s">
        <v>8297</v>
      </c>
      <c r="Y930" s="4" t="s">
        <v>8298</v>
      </c>
      <c r="Z930" s="4" t="s">
        <v>8299</v>
      </c>
      <c r="AA930" s="4" t="s">
        <v>47</v>
      </c>
      <c r="AB930" s="4" t="s">
        <v>47</v>
      </c>
      <c r="AC930" s="4" t="s">
        <v>47</v>
      </c>
      <c r="AD930" s="4" t="s">
        <v>47</v>
      </c>
      <c r="AE930" s="4" t="s">
        <v>47</v>
      </c>
      <c r="AF930" s="4" t="s">
        <v>47</v>
      </c>
      <c r="AG930" s="4" t="s">
        <v>47</v>
      </c>
      <c r="AH930" s="4" t="s">
        <v>47</v>
      </c>
      <c r="AI930" s="4" t="s">
        <v>47</v>
      </c>
      <c r="AJ930" s="4" t="s">
        <v>47</v>
      </c>
      <c r="AK930" s="4" t="s">
        <v>47</v>
      </c>
      <c r="AL930" s="4" t="s">
        <v>8300</v>
      </c>
      <c r="AM930" s="4" t="s">
        <v>47</v>
      </c>
      <c r="AN930" s="4" t="s">
        <v>47</v>
      </c>
      <c r="AO930" s="4" t="s">
        <v>47</v>
      </c>
      <c r="AP930" s="4" t="s">
        <v>47</v>
      </c>
      <c r="AQ930" s="4" t="s">
        <v>47</v>
      </c>
      <c r="AR930" s="4" t="s">
        <v>47</v>
      </c>
    </row>
    <row r="931" spans="1:44" x14ac:dyDescent="0.2">
      <c r="A931" s="4" t="s">
        <v>97</v>
      </c>
      <c r="B931" s="4" t="s">
        <v>114</v>
      </c>
      <c r="C931">
        <v>2</v>
      </c>
      <c r="F931">
        <v>1</v>
      </c>
      <c r="I931" s="4" t="s">
        <v>8167</v>
      </c>
      <c r="J931" s="4" t="s">
        <v>8301</v>
      </c>
      <c r="K931" s="4" t="s">
        <v>8302</v>
      </c>
      <c r="L931" s="4" t="s">
        <v>8209</v>
      </c>
      <c r="M931">
        <v>55000</v>
      </c>
      <c r="N931" s="4" t="s">
        <v>8303</v>
      </c>
      <c r="O931" s="4" t="s">
        <v>8304</v>
      </c>
      <c r="P931" s="4" t="s">
        <v>593</v>
      </c>
      <c r="Q931" s="9">
        <v>12580</v>
      </c>
      <c r="R931" s="4" t="s">
        <v>617</v>
      </c>
      <c r="S931" s="4" t="s">
        <v>8095</v>
      </c>
      <c r="T931" s="4" t="s">
        <v>1258</v>
      </c>
      <c r="U931" s="4" t="s">
        <v>97</v>
      </c>
      <c r="V931">
        <v>1934</v>
      </c>
      <c r="W931" s="4" t="s">
        <v>8305</v>
      </c>
      <c r="X931" s="4" t="s">
        <v>8306</v>
      </c>
      <c r="Y931" s="4" t="s">
        <v>8307</v>
      </c>
      <c r="Z931" s="4" t="s">
        <v>8308</v>
      </c>
      <c r="AA931" s="4" t="s">
        <v>47</v>
      </c>
      <c r="AB931" s="4" t="s">
        <v>47</v>
      </c>
      <c r="AC931" s="4" t="s">
        <v>47</v>
      </c>
      <c r="AD931" s="4" t="s">
        <v>47</v>
      </c>
      <c r="AE931" s="4" t="s">
        <v>47</v>
      </c>
      <c r="AF931" s="4" t="s">
        <v>47</v>
      </c>
      <c r="AG931" s="4" t="s">
        <v>47</v>
      </c>
      <c r="AH931" s="4" t="s">
        <v>47</v>
      </c>
      <c r="AI931" s="4" t="s">
        <v>47</v>
      </c>
      <c r="AJ931" s="4" t="s">
        <v>47</v>
      </c>
      <c r="AK931" s="4" t="s">
        <v>47</v>
      </c>
      <c r="AL931" s="4" t="s">
        <v>47</v>
      </c>
      <c r="AM931" s="4" t="s">
        <v>47</v>
      </c>
      <c r="AN931" s="4" t="s">
        <v>47</v>
      </c>
      <c r="AO931" s="4" t="s">
        <v>47</v>
      </c>
      <c r="AP931" s="4" t="s">
        <v>47</v>
      </c>
      <c r="AQ931" s="4" t="s">
        <v>47</v>
      </c>
      <c r="AR931" s="4" t="s">
        <v>47</v>
      </c>
    </row>
    <row r="932" spans="1:44" x14ac:dyDescent="0.2">
      <c r="A932" s="4" t="s">
        <v>92</v>
      </c>
      <c r="B932" s="4" t="s">
        <v>173</v>
      </c>
      <c r="C932">
        <v>3</v>
      </c>
      <c r="F932">
        <v>2</v>
      </c>
      <c r="I932" s="4" t="s">
        <v>8309</v>
      </c>
      <c r="J932" s="4" t="s">
        <v>8232</v>
      </c>
      <c r="K932" s="4" t="s">
        <v>8310</v>
      </c>
      <c r="L932" s="4" t="s">
        <v>8311</v>
      </c>
      <c r="M932">
        <v>7000</v>
      </c>
      <c r="N932" s="4" t="s">
        <v>8312</v>
      </c>
      <c r="O932" s="4" t="s">
        <v>8313</v>
      </c>
      <c r="P932" s="4" t="s">
        <v>616</v>
      </c>
      <c r="Q932" s="9">
        <v>12577</v>
      </c>
      <c r="R932" s="4" t="s">
        <v>1130</v>
      </c>
      <c r="S932" s="4" t="s">
        <v>8314</v>
      </c>
      <c r="T932" s="4" t="s">
        <v>47</v>
      </c>
      <c r="U932" s="4" t="s">
        <v>97</v>
      </c>
      <c r="V932">
        <v>1934</v>
      </c>
      <c r="W932" s="4" t="s">
        <v>8315</v>
      </c>
      <c r="X932" s="4" t="s">
        <v>8316</v>
      </c>
      <c r="Y932" s="4" t="s">
        <v>8317</v>
      </c>
      <c r="Z932" s="4" t="s">
        <v>8318</v>
      </c>
      <c r="AA932" s="4" t="s">
        <v>47</v>
      </c>
      <c r="AB932" s="4" t="s">
        <v>47</v>
      </c>
      <c r="AC932" s="4" t="s">
        <v>47</v>
      </c>
      <c r="AD932" s="4" t="s">
        <v>47</v>
      </c>
      <c r="AE932" s="4" t="s">
        <v>47</v>
      </c>
      <c r="AF932" s="4" t="s">
        <v>47</v>
      </c>
      <c r="AG932" s="4" t="s">
        <v>47</v>
      </c>
      <c r="AH932" s="4" t="s">
        <v>47</v>
      </c>
      <c r="AI932" s="4" t="s">
        <v>47</v>
      </c>
      <c r="AJ932" s="4" t="s">
        <v>47</v>
      </c>
      <c r="AK932" s="4" t="s">
        <v>47</v>
      </c>
      <c r="AL932" s="4" t="s">
        <v>47</v>
      </c>
      <c r="AM932" s="4" t="s">
        <v>47</v>
      </c>
      <c r="AN932" s="4" t="s">
        <v>47</v>
      </c>
      <c r="AO932" s="4" t="s">
        <v>47</v>
      </c>
      <c r="AP932" s="4" t="s">
        <v>47</v>
      </c>
      <c r="AQ932" s="4" t="s">
        <v>47</v>
      </c>
      <c r="AR932" s="4" t="s">
        <v>47</v>
      </c>
    </row>
    <row r="933" spans="1:44" x14ac:dyDescent="0.2">
      <c r="A933" s="4" t="s">
        <v>114</v>
      </c>
      <c r="B933" s="4" t="s">
        <v>92</v>
      </c>
      <c r="C933">
        <v>3</v>
      </c>
      <c r="F933">
        <v>1</v>
      </c>
      <c r="I933" s="4" t="s">
        <v>8302</v>
      </c>
      <c r="J933" s="4" t="s">
        <v>8209</v>
      </c>
      <c r="K933" s="4" t="s">
        <v>8309</v>
      </c>
      <c r="L933" s="4" t="s">
        <v>8232</v>
      </c>
      <c r="M933">
        <v>15000</v>
      </c>
      <c r="N933" s="4" t="s">
        <v>8303</v>
      </c>
      <c r="O933" s="4" t="s">
        <v>8319</v>
      </c>
      <c r="P933" s="4" t="s">
        <v>629</v>
      </c>
      <c r="Q933" s="9">
        <v>12573</v>
      </c>
      <c r="R933" s="4" t="s">
        <v>770</v>
      </c>
      <c r="S933" s="4" t="s">
        <v>8220</v>
      </c>
      <c r="T933" s="4" t="s">
        <v>47</v>
      </c>
      <c r="U933" s="4" t="s">
        <v>97</v>
      </c>
      <c r="V933">
        <v>1934</v>
      </c>
      <c r="W933" s="4" t="s">
        <v>8320</v>
      </c>
      <c r="X933" s="4" t="s">
        <v>8321</v>
      </c>
      <c r="Y933" s="4" t="s">
        <v>8322</v>
      </c>
      <c r="Z933" s="4" t="s">
        <v>8323</v>
      </c>
      <c r="AA933" s="4" t="s">
        <v>47</v>
      </c>
      <c r="AB933" s="4" t="s">
        <v>47</v>
      </c>
      <c r="AC933" s="4" t="s">
        <v>47</v>
      </c>
      <c r="AD933" s="4" t="s">
        <v>47</v>
      </c>
      <c r="AE933" s="4" t="s">
        <v>47</v>
      </c>
      <c r="AF933" s="4" t="s">
        <v>47</v>
      </c>
      <c r="AG933" s="4" t="s">
        <v>47</v>
      </c>
      <c r="AH933" s="4" t="s">
        <v>47</v>
      </c>
      <c r="AI933" s="4" t="s">
        <v>47</v>
      </c>
      <c r="AJ933" s="4" t="s">
        <v>47</v>
      </c>
      <c r="AK933" s="4" t="s">
        <v>47</v>
      </c>
      <c r="AL933" s="4" t="s">
        <v>47</v>
      </c>
      <c r="AM933" s="4" t="s">
        <v>47</v>
      </c>
      <c r="AN933" s="4" t="s">
        <v>47</v>
      </c>
      <c r="AO933" s="4" t="s">
        <v>47</v>
      </c>
      <c r="AP933" s="4" t="s">
        <v>47</v>
      </c>
      <c r="AQ933" s="4" t="s">
        <v>47</v>
      </c>
      <c r="AR933" s="4" t="s">
        <v>47</v>
      </c>
    </row>
    <row r="934" spans="1:44" x14ac:dyDescent="0.2">
      <c r="A934" s="4" t="s">
        <v>97</v>
      </c>
      <c r="B934" s="4" t="s">
        <v>173</v>
      </c>
      <c r="C934">
        <v>1</v>
      </c>
      <c r="F934">
        <v>0</v>
      </c>
      <c r="I934" s="4" t="s">
        <v>8167</v>
      </c>
      <c r="J934" s="4" t="s">
        <v>8301</v>
      </c>
      <c r="K934" s="4" t="s">
        <v>8310</v>
      </c>
      <c r="L934" s="4" t="s">
        <v>8324</v>
      </c>
      <c r="M934">
        <v>35000</v>
      </c>
      <c r="N934" s="4" t="s">
        <v>8325</v>
      </c>
      <c r="O934" s="4" t="s">
        <v>8326</v>
      </c>
      <c r="P934" s="4" t="s">
        <v>629</v>
      </c>
      <c r="Q934" s="9">
        <v>12573</v>
      </c>
      <c r="R934" s="4" t="s">
        <v>652</v>
      </c>
      <c r="S934" s="4" t="s">
        <v>8095</v>
      </c>
      <c r="T934" s="4" t="s">
        <v>47</v>
      </c>
      <c r="U934" s="4" t="s">
        <v>97</v>
      </c>
      <c r="V934">
        <v>1934</v>
      </c>
      <c r="W934" s="4" t="s">
        <v>8327</v>
      </c>
      <c r="X934" s="4" t="s">
        <v>47</v>
      </c>
      <c r="Y934" s="4" t="s">
        <v>8328</v>
      </c>
      <c r="Z934" s="4" t="s">
        <v>47</v>
      </c>
      <c r="AA934" s="4" t="s">
        <v>47</v>
      </c>
      <c r="AB934" s="4" t="s">
        <v>47</v>
      </c>
      <c r="AC934" s="4" t="s">
        <v>47</v>
      </c>
      <c r="AD934" s="4" t="s">
        <v>47</v>
      </c>
      <c r="AE934" s="4" t="s">
        <v>47</v>
      </c>
      <c r="AF934" s="4" t="s">
        <v>47</v>
      </c>
      <c r="AG934" s="4" t="s">
        <v>47</v>
      </c>
      <c r="AH934" s="4" t="s">
        <v>47</v>
      </c>
      <c r="AI934" s="4" t="s">
        <v>47</v>
      </c>
      <c r="AJ934" s="4" t="s">
        <v>47</v>
      </c>
      <c r="AK934" s="4" t="s">
        <v>47</v>
      </c>
      <c r="AL934" s="4" t="s">
        <v>47</v>
      </c>
      <c r="AM934" s="4" t="s">
        <v>47</v>
      </c>
      <c r="AN934" s="4" t="s">
        <v>47</v>
      </c>
      <c r="AO934" s="4" t="s">
        <v>47</v>
      </c>
      <c r="AP934" s="4" t="s">
        <v>47</v>
      </c>
      <c r="AQ934" s="4" t="s">
        <v>47</v>
      </c>
      <c r="AR934" s="4" t="s">
        <v>47</v>
      </c>
    </row>
    <row r="935" spans="1:44" x14ac:dyDescent="0.2">
      <c r="A935" s="4" t="s">
        <v>97</v>
      </c>
      <c r="B935" s="4" t="s">
        <v>20</v>
      </c>
      <c r="C935">
        <v>1</v>
      </c>
      <c r="F935">
        <v>0</v>
      </c>
      <c r="I935" s="4" t="s">
        <v>8167</v>
      </c>
      <c r="J935" s="4" t="s">
        <v>8301</v>
      </c>
      <c r="K935" s="4" t="s">
        <v>8329</v>
      </c>
      <c r="L935" s="4" t="s">
        <v>8330</v>
      </c>
      <c r="M935">
        <v>43000</v>
      </c>
      <c r="N935" s="4" t="s">
        <v>8331</v>
      </c>
      <c r="O935" s="4" t="s">
        <v>8332</v>
      </c>
      <c r="P935" s="4" t="s">
        <v>651</v>
      </c>
      <c r="Q935" s="9">
        <v>12571</v>
      </c>
      <c r="R935" s="4" t="s">
        <v>652</v>
      </c>
      <c r="S935" s="4" t="s">
        <v>8333</v>
      </c>
      <c r="T935" s="4" t="s">
        <v>47</v>
      </c>
      <c r="U935" s="4" t="s">
        <v>97</v>
      </c>
      <c r="V935">
        <v>1934</v>
      </c>
      <c r="W935" s="4" t="s">
        <v>8334</v>
      </c>
      <c r="X935" s="4" t="s">
        <v>47</v>
      </c>
      <c r="Y935" s="4" t="s">
        <v>8335</v>
      </c>
      <c r="Z935" s="4" t="s">
        <v>47</v>
      </c>
      <c r="AA935" s="4" t="s">
        <v>47</v>
      </c>
      <c r="AB935" s="4" t="s">
        <v>47</v>
      </c>
      <c r="AC935" s="4" t="s">
        <v>47</v>
      </c>
      <c r="AD935" s="4" t="s">
        <v>47</v>
      </c>
      <c r="AE935" s="4" t="s">
        <v>47</v>
      </c>
      <c r="AF935" s="4" t="s">
        <v>47</v>
      </c>
      <c r="AG935" s="4" t="s">
        <v>47</v>
      </c>
      <c r="AH935" s="4" t="s">
        <v>47</v>
      </c>
      <c r="AI935" s="4" t="s">
        <v>47</v>
      </c>
      <c r="AJ935" s="4" t="s">
        <v>47</v>
      </c>
      <c r="AK935" s="4" t="s">
        <v>47</v>
      </c>
      <c r="AL935" s="4" t="s">
        <v>47</v>
      </c>
      <c r="AM935" s="4" t="s">
        <v>47</v>
      </c>
      <c r="AN935" s="4" t="s">
        <v>47</v>
      </c>
      <c r="AO935" s="4" t="s">
        <v>47</v>
      </c>
      <c r="AP935" s="4" t="s">
        <v>47</v>
      </c>
      <c r="AQ935" s="4" t="s">
        <v>47</v>
      </c>
      <c r="AR935" s="4" t="s">
        <v>47</v>
      </c>
    </row>
    <row r="936" spans="1:44" x14ac:dyDescent="0.2">
      <c r="A936" s="4" t="s">
        <v>173</v>
      </c>
      <c r="B936" s="4" t="s">
        <v>119</v>
      </c>
      <c r="C936">
        <v>2</v>
      </c>
      <c r="F936">
        <v>1</v>
      </c>
      <c r="I936" s="4" t="s">
        <v>8310</v>
      </c>
      <c r="J936" s="4" t="s">
        <v>8311</v>
      </c>
      <c r="K936" s="4" t="s">
        <v>8336</v>
      </c>
      <c r="L936" s="4" t="s">
        <v>8337</v>
      </c>
      <c r="M936">
        <v>23000</v>
      </c>
      <c r="N936" s="4" t="s">
        <v>8338</v>
      </c>
      <c r="O936" s="4" t="s">
        <v>8339</v>
      </c>
      <c r="P936" s="4" t="s">
        <v>651</v>
      </c>
      <c r="Q936" s="9">
        <v>12570</v>
      </c>
      <c r="R936" s="4" t="s">
        <v>617</v>
      </c>
      <c r="S936" s="4" t="s">
        <v>8340</v>
      </c>
      <c r="T936" s="4" t="s">
        <v>47</v>
      </c>
      <c r="U936" s="4" t="s">
        <v>97</v>
      </c>
      <c r="V936">
        <v>1934</v>
      </c>
      <c r="W936" s="4" t="s">
        <v>8341</v>
      </c>
      <c r="X936" s="4" t="s">
        <v>47</v>
      </c>
      <c r="Y936" s="4" t="s">
        <v>8342</v>
      </c>
      <c r="Z936" s="4" t="s">
        <v>47</v>
      </c>
      <c r="AA936" s="4" t="s">
        <v>47</v>
      </c>
      <c r="AB936" s="4" t="s">
        <v>47</v>
      </c>
      <c r="AC936" s="4" t="s">
        <v>47</v>
      </c>
      <c r="AD936" s="4" t="s">
        <v>8343</v>
      </c>
      <c r="AE936" s="4" t="s">
        <v>47</v>
      </c>
      <c r="AF936" s="4" t="s">
        <v>47</v>
      </c>
      <c r="AG936" s="4" t="s">
        <v>47</v>
      </c>
      <c r="AH936" s="4" t="s">
        <v>47</v>
      </c>
      <c r="AI936" s="4" t="s">
        <v>47</v>
      </c>
      <c r="AJ936" s="4" t="s">
        <v>47</v>
      </c>
      <c r="AK936" s="4" t="s">
        <v>47</v>
      </c>
      <c r="AL936" s="4" t="s">
        <v>8344</v>
      </c>
      <c r="AM936" s="4" t="s">
        <v>47</v>
      </c>
      <c r="AN936" s="4" t="s">
        <v>47</v>
      </c>
      <c r="AO936" s="4" t="s">
        <v>47</v>
      </c>
      <c r="AP936" s="4" t="s">
        <v>47</v>
      </c>
      <c r="AQ936" s="4" t="s">
        <v>47</v>
      </c>
      <c r="AR936" s="4" t="s">
        <v>47</v>
      </c>
    </row>
    <row r="937" spans="1:44" x14ac:dyDescent="0.2">
      <c r="A937" s="4" t="s">
        <v>114</v>
      </c>
      <c r="B937" s="4" t="s">
        <v>118</v>
      </c>
      <c r="C937">
        <v>3</v>
      </c>
      <c r="F937">
        <v>2</v>
      </c>
      <c r="I937" s="4" t="s">
        <v>8302</v>
      </c>
      <c r="J937" s="4" t="s">
        <v>8209</v>
      </c>
      <c r="K937" s="4" t="s">
        <v>8345</v>
      </c>
      <c r="L937" s="4" t="s">
        <v>8231</v>
      </c>
      <c r="M937">
        <v>12000</v>
      </c>
      <c r="N937" s="4" t="s">
        <v>8346</v>
      </c>
      <c r="O937" s="4" t="s">
        <v>8347</v>
      </c>
      <c r="P937" s="4" t="s">
        <v>651</v>
      </c>
      <c r="Q937" s="9">
        <v>12570</v>
      </c>
      <c r="R937" s="4" t="s">
        <v>1130</v>
      </c>
      <c r="S937" s="4" t="s">
        <v>8251</v>
      </c>
      <c r="T937" s="4" t="s">
        <v>47</v>
      </c>
      <c r="U937" s="4" t="s">
        <v>97</v>
      </c>
      <c r="V937">
        <v>1934</v>
      </c>
      <c r="W937" s="4" t="s">
        <v>8348</v>
      </c>
      <c r="X937" s="4" t="s">
        <v>8349</v>
      </c>
      <c r="Y937" s="4" t="s">
        <v>8350</v>
      </c>
      <c r="Z937" s="4" t="s">
        <v>8351</v>
      </c>
      <c r="AA937" s="4" t="s">
        <v>47</v>
      </c>
      <c r="AB937" s="4" t="s">
        <v>47</v>
      </c>
      <c r="AC937" s="4" t="s">
        <v>47</v>
      </c>
      <c r="AD937" s="4" t="s">
        <v>47</v>
      </c>
      <c r="AE937" s="4" t="s">
        <v>47</v>
      </c>
      <c r="AF937" s="4" t="s">
        <v>47</v>
      </c>
      <c r="AG937" s="4" t="s">
        <v>47</v>
      </c>
      <c r="AH937" s="4" t="s">
        <v>47</v>
      </c>
      <c r="AI937" s="4" t="s">
        <v>47</v>
      </c>
      <c r="AJ937" s="4" t="s">
        <v>47</v>
      </c>
      <c r="AK937" s="4" t="s">
        <v>47</v>
      </c>
      <c r="AL937" s="4" t="s">
        <v>47</v>
      </c>
      <c r="AM937" s="4" t="s">
        <v>47</v>
      </c>
      <c r="AN937" s="4" t="s">
        <v>47</v>
      </c>
      <c r="AO937" s="4" t="s">
        <v>47</v>
      </c>
      <c r="AP937" s="4" t="s">
        <v>47</v>
      </c>
      <c r="AQ937" s="4" t="s">
        <v>47</v>
      </c>
      <c r="AR937" s="4" t="s">
        <v>47</v>
      </c>
    </row>
    <row r="938" spans="1:44" x14ac:dyDescent="0.2">
      <c r="A938" s="4" t="s">
        <v>97</v>
      </c>
      <c r="B938" s="4" t="s">
        <v>20</v>
      </c>
      <c r="C938">
        <v>1</v>
      </c>
      <c r="F938">
        <v>1</v>
      </c>
      <c r="I938" s="4" t="s">
        <v>8167</v>
      </c>
      <c r="J938" s="4" t="s">
        <v>8301</v>
      </c>
      <c r="K938" s="4" t="s">
        <v>8329</v>
      </c>
      <c r="L938" s="4" t="s">
        <v>8352</v>
      </c>
      <c r="M938">
        <v>35000</v>
      </c>
      <c r="N938" s="4" t="s">
        <v>8331</v>
      </c>
      <c r="O938" s="4" t="s">
        <v>8353</v>
      </c>
      <c r="P938" s="4" t="s">
        <v>651</v>
      </c>
      <c r="Q938" s="9">
        <v>12570</v>
      </c>
      <c r="R938" s="4" t="s">
        <v>1046</v>
      </c>
      <c r="S938" s="4" t="s">
        <v>8226</v>
      </c>
      <c r="T938" s="4" t="s">
        <v>1258</v>
      </c>
      <c r="U938" s="4" t="s">
        <v>97</v>
      </c>
      <c r="V938">
        <v>1934</v>
      </c>
      <c r="W938" s="4" t="s">
        <v>8354</v>
      </c>
      <c r="X938" s="4" t="s">
        <v>8355</v>
      </c>
      <c r="Y938" s="4" t="s">
        <v>8356</v>
      </c>
      <c r="Z938" s="4" t="s">
        <v>8357</v>
      </c>
      <c r="AA938" s="4" t="s">
        <v>47</v>
      </c>
      <c r="AB938" s="4" t="s">
        <v>47</v>
      </c>
      <c r="AC938" s="4" t="s">
        <v>47</v>
      </c>
      <c r="AD938" s="4" t="s">
        <v>47</v>
      </c>
      <c r="AE938" s="4" t="s">
        <v>47</v>
      </c>
      <c r="AF938" s="4" t="s">
        <v>47</v>
      </c>
      <c r="AG938" s="4" t="s">
        <v>47</v>
      </c>
      <c r="AH938" s="4" t="s">
        <v>47</v>
      </c>
      <c r="AI938" s="4" t="s">
        <v>47</v>
      </c>
      <c r="AJ938" s="4" t="s">
        <v>47</v>
      </c>
      <c r="AK938" s="4" t="s">
        <v>47</v>
      </c>
      <c r="AL938" s="4" t="s">
        <v>47</v>
      </c>
      <c r="AM938" s="4" t="s">
        <v>47</v>
      </c>
      <c r="AN938" s="4" t="s">
        <v>47</v>
      </c>
      <c r="AO938" s="4" t="s">
        <v>47</v>
      </c>
      <c r="AP938" s="4" t="s">
        <v>47</v>
      </c>
      <c r="AQ938" s="4" t="s">
        <v>47</v>
      </c>
      <c r="AR938" s="4" t="s">
        <v>47</v>
      </c>
    </row>
    <row r="939" spans="1:44" x14ac:dyDescent="0.2">
      <c r="A939" s="4" t="s">
        <v>92</v>
      </c>
      <c r="B939" s="4" t="s">
        <v>116</v>
      </c>
      <c r="C939">
        <v>2</v>
      </c>
      <c r="F939">
        <v>1</v>
      </c>
      <c r="I939" s="4" t="s">
        <v>8309</v>
      </c>
      <c r="J939" s="4" t="s">
        <v>8232</v>
      </c>
      <c r="K939" s="4" t="s">
        <v>8158</v>
      </c>
      <c r="L939" s="4" t="s">
        <v>8358</v>
      </c>
      <c r="M939">
        <v>3000</v>
      </c>
      <c r="N939" s="4" t="s">
        <v>8325</v>
      </c>
      <c r="O939" s="4" t="s">
        <v>8359</v>
      </c>
      <c r="P939" s="4" t="s">
        <v>651</v>
      </c>
      <c r="Q939" s="9">
        <v>12570</v>
      </c>
      <c r="R939" s="4" t="s">
        <v>617</v>
      </c>
      <c r="S939" s="4" t="s">
        <v>8220</v>
      </c>
      <c r="T939" s="4" t="s">
        <v>47</v>
      </c>
      <c r="U939" s="4" t="s">
        <v>97</v>
      </c>
      <c r="V939">
        <v>1934</v>
      </c>
      <c r="W939" s="4" t="s">
        <v>8360</v>
      </c>
      <c r="X939" s="4" t="s">
        <v>8361</v>
      </c>
      <c r="Y939" s="4" t="s">
        <v>8362</v>
      </c>
      <c r="Z939" s="4" t="s">
        <v>8363</v>
      </c>
      <c r="AA939" s="4" t="s">
        <v>47</v>
      </c>
      <c r="AB939" s="4" t="s">
        <v>47</v>
      </c>
      <c r="AC939" s="4" t="s">
        <v>47</v>
      </c>
      <c r="AD939" s="4" t="s">
        <v>47</v>
      </c>
      <c r="AE939" s="4" t="s">
        <v>47</v>
      </c>
      <c r="AF939" s="4" t="s">
        <v>47</v>
      </c>
      <c r="AG939" s="4" t="s">
        <v>47</v>
      </c>
      <c r="AH939" s="4" t="s">
        <v>47</v>
      </c>
      <c r="AI939" s="4" t="s">
        <v>47</v>
      </c>
      <c r="AJ939" s="4" t="s">
        <v>47</v>
      </c>
      <c r="AK939" s="4" t="s">
        <v>47</v>
      </c>
      <c r="AL939" s="4" t="s">
        <v>47</v>
      </c>
      <c r="AM939" s="4" t="s">
        <v>47</v>
      </c>
      <c r="AN939" s="4" t="s">
        <v>47</v>
      </c>
      <c r="AO939" s="4" t="s">
        <v>47</v>
      </c>
      <c r="AP939" s="4" t="s">
        <v>47</v>
      </c>
      <c r="AQ939" s="4" t="s">
        <v>47</v>
      </c>
      <c r="AR939" s="4" t="s">
        <v>47</v>
      </c>
    </row>
    <row r="940" spans="1:44" x14ac:dyDescent="0.2">
      <c r="A940" s="4" t="s">
        <v>114</v>
      </c>
      <c r="B940" s="4" t="s">
        <v>227</v>
      </c>
      <c r="C940">
        <v>2</v>
      </c>
      <c r="F940">
        <v>1</v>
      </c>
      <c r="I940" s="4" t="s">
        <v>8302</v>
      </c>
      <c r="J940" s="4" t="s">
        <v>8209</v>
      </c>
      <c r="K940" s="4" t="s">
        <v>8364</v>
      </c>
      <c r="L940" s="4" t="s">
        <v>8365</v>
      </c>
      <c r="M940">
        <v>9000</v>
      </c>
      <c r="N940" s="4" t="s">
        <v>8366</v>
      </c>
      <c r="O940" s="4" t="s">
        <v>8367</v>
      </c>
      <c r="P940" s="4" t="s">
        <v>714</v>
      </c>
      <c r="Q940" s="9">
        <v>12566</v>
      </c>
      <c r="R940" s="4" t="s">
        <v>617</v>
      </c>
      <c r="S940" s="4" t="s">
        <v>8162</v>
      </c>
      <c r="T940" s="4" t="s">
        <v>47</v>
      </c>
      <c r="U940" s="4" t="s">
        <v>97</v>
      </c>
      <c r="V940">
        <v>1934</v>
      </c>
      <c r="W940" s="4" t="s">
        <v>8368</v>
      </c>
      <c r="X940" s="4" t="s">
        <v>8369</v>
      </c>
      <c r="Y940" s="4" t="s">
        <v>8370</v>
      </c>
      <c r="Z940" s="4" t="s">
        <v>8371</v>
      </c>
      <c r="AA940" s="4" t="s">
        <v>47</v>
      </c>
      <c r="AB940" s="4" t="s">
        <v>47</v>
      </c>
      <c r="AC940" s="4" t="s">
        <v>47</v>
      </c>
      <c r="AD940" s="4" t="s">
        <v>47</v>
      </c>
      <c r="AE940" s="4" t="s">
        <v>47</v>
      </c>
      <c r="AF940" s="4" t="s">
        <v>47</v>
      </c>
      <c r="AG940" s="4" t="s">
        <v>47</v>
      </c>
      <c r="AH940" s="4" t="s">
        <v>47</v>
      </c>
      <c r="AI940" s="4" t="s">
        <v>47</v>
      </c>
      <c r="AJ940" s="4" t="s">
        <v>47</v>
      </c>
      <c r="AK940" s="4" t="s">
        <v>47</v>
      </c>
      <c r="AL940" s="4" t="s">
        <v>47</v>
      </c>
      <c r="AM940" s="4" t="s">
        <v>47</v>
      </c>
      <c r="AN940" s="4" t="s">
        <v>47</v>
      </c>
      <c r="AO940" s="4" t="s">
        <v>47</v>
      </c>
      <c r="AP940" s="4" t="s">
        <v>47</v>
      </c>
      <c r="AQ940" s="4" t="s">
        <v>47</v>
      </c>
      <c r="AR940" s="4" t="s">
        <v>47</v>
      </c>
    </row>
    <row r="941" spans="1:44" x14ac:dyDescent="0.2">
      <c r="A941" s="4" t="s">
        <v>119</v>
      </c>
      <c r="B941" s="4" t="s">
        <v>183</v>
      </c>
      <c r="C941">
        <v>4</v>
      </c>
      <c r="F941">
        <v>2</v>
      </c>
      <c r="I941" s="4" t="s">
        <v>8336</v>
      </c>
      <c r="J941" s="4" t="s">
        <v>8337</v>
      </c>
      <c r="K941" s="4" t="s">
        <v>8372</v>
      </c>
      <c r="L941" s="4" t="s">
        <v>8373</v>
      </c>
      <c r="M941">
        <v>9000</v>
      </c>
      <c r="N941" s="4" t="s">
        <v>8312</v>
      </c>
      <c r="O941" s="4" t="s">
        <v>8374</v>
      </c>
      <c r="P941" s="4" t="s">
        <v>714</v>
      </c>
      <c r="Q941" s="9">
        <v>12566</v>
      </c>
      <c r="R941" s="4" t="s">
        <v>1236</v>
      </c>
      <c r="S941" s="4" t="s">
        <v>8220</v>
      </c>
      <c r="T941" s="4" t="s">
        <v>47</v>
      </c>
      <c r="U941" s="4" t="s">
        <v>97</v>
      </c>
      <c r="V941">
        <v>1934</v>
      </c>
      <c r="W941" s="4" t="s">
        <v>8375</v>
      </c>
      <c r="X941" s="4" t="s">
        <v>8376</v>
      </c>
      <c r="Y941" s="4" t="s">
        <v>8377</v>
      </c>
      <c r="Z941" s="4" t="s">
        <v>8378</v>
      </c>
      <c r="AA941" s="4" t="s">
        <v>47</v>
      </c>
      <c r="AB941" s="4" t="s">
        <v>47</v>
      </c>
      <c r="AC941" s="4" t="s">
        <v>47</v>
      </c>
      <c r="AD941" s="4" t="s">
        <v>47</v>
      </c>
      <c r="AE941" s="4" t="s">
        <v>47</v>
      </c>
      <c r="AF941" s="4" t="s">
        <v>47</v>
      </c>
      <c r="AG941" s="4" t="s">
        <v>47</v>
      </c>
      <c r="AH941" s="4" t="s">
        <v>47</v>
      </c>
      <c r="AI941" s="4" t="s">
        <v>47</v>
      </c>
      <c r="AJ941" s="4" t="s">
        <v>47</v>
      </c>
      <c r="AK941" s="4" t="s">
        <v>47</v>
      </c>
      <c r="AL941" s="4" t="s">
        <v>47</v>
      </c>
      <c r="AM941" s="4" t="s">
        <v>47</v>
      </c>
      <c r="AN941" s="4" t="s">
        <v>47</v>
      </c>
      <c r="AO941" s="4" t="s">
        <v>47</v>
      </c>
      <c r="AP941" s="4" t="s">
        <v>47</v>
      </c>
      <c r="AQ941" s="4" t="s">
        <v>47</v>
      </c>
      <c r="AR941" s="4" t="s">
        <v>47</v>
      </c>
    </row>
    <row r="942" spans="1:44" x14ac:dyDescent="0.2">
      <c r="A942" s="4" t="s">
        <v>173</v>
      </c>
      <c r="B942" s="4" t="s">
        <v>87</v>
      </c>
      <c r="C942">
        <v>3</v>
      </c>
      <c r="F942">
        <v>2</v>
      </c>
      <c r="I942" s="4" t="s">
        <v>8310</v>
      </c>
      <c r="J942" s="4" t="s">
        <v>8324</v>
      </c>
      <c r="K942" s="4" t="s">
        <v>8379</v>
      </c>
      <c r="L942" s="4" t="s">
        <v>8380</v>
      </c>
      <c r="M942">
        <v>16000</v>
      </c>
      <c r="N942" s="4" t="s">
        <v>8346</v>
      </c>
      <c r="O942" s="4" t="s">
        <v>8381</v>
      </c>
      <c r="P942" s="4" t="s">
        <v>714</v>
      </c>
      <c r="Q942" s="9">
        <v>12566</v>
      </c>
      <c r="R942" s="4" t="s">
        <v>1130</v>
      </c>
      <c r="S942" s="4" t="s">
        <v>8382</v>
      </c>
      <c r="T942" s="4" t="s">
        <v>1258</v>
      </c>
      <c r="U942" s="4" t="s">
        <v>97</v>
      </c>
      <c r="V942">
        <v>1934</v>
      </c>
      <c r="W942" s="4" t="s">
        <v>8383</v>
      </c>
      <c r="X942" s="4" t="s">
        <v>8384</v>
      </c>
      <c r="Y942" s="4" t="s">
        <v>8385</v>
      </c>
      <c r="Z942" s="4" t="s">
        <v>8386</v>
      </c>
      <c r="AA942" s="4" t="s">
        <v>47</v>
      </c>
      <c r="AB942" s="4" t="s">
        <v>47</v>
      </c>
      <c r="AC942" s="4" t="s">
        <v>47</v>
      </c>
      <c r="AD942" s="4" t="s">
        <v>8387</v>
      </c>
      <c r="AE942" s="4" t="s">
        <v>47</v>
      </c>
      <c r="AF942" s="4" t="s">
        <v>47</v>
      </c>
      <c r="AG942" s="4" t="s">
        <v>47</v>
      </c>
      <c r="AH942" s="4" t="s">
        <v>47</v>
      </c>
      <c r="AI942" s="4" t="s">
        <v>47</v>
      </c>
      <c r="AJ942" s="4" t="s">
        <v>47</v>
      </c>
      <c r="AK942" s="4" t="s">
        <v>47</v>
      </c>
      <c r="AL942" s="4" t="s">
        <v>47</v>
      </c>
      <c r="AM942" s="4" t="s">
        <v>47</v>
      </c>
      <c r="AN942" s="4" t="s">
        <v>47</v>
      </c>
      <c r="AO942" s="4" t="s">
        <v>47</v>
      </c>
      <c r="AP942" s="4" t="s">
        <v>47</v>
      </c>
      <c r="AQ942" s="4" t="s">
        <v>47</v>
      </c>
      <c r="AR942" s="4" t="s">
        <v>47</v>
      </c>
    </row>
    <row r="943" spans="1:44" x14ac:dyDescent="0.2">
      <c r="A943" s="4" t="s">
        <v>118</v>
      </c>
      <c r="B943" s="4" t="s">
        <v>95</v>
      </c>
      <c r="C943">
        <v>3</v>
      </c>
      <c r="F943">
        <v>2</v>
      </c>
      <c r="I943" s="4" t="s">
        <v>8345</v>
      </c>
      <c r="J943" s="4" t="s">
        <v>8231</v>
      </c>
      <c r="K943" s="4" t="s">
        <v>8288</v>
      </c>
      <c r="L943" s="4" t="s">
        <v>8289</v>
      </c>
      <c r="M943">
        <v>33000</v>
      </c>
      <c r="N943" s="4" t="s">
        <v>8325</v>
      </c>
      <c r="O943" s="4" t="s">
        <v>8388</v>
      </c>
      <c r="P943" s="4" t="s">
        <v>714</v>
      </c>
      <c r="Q943" s="9">
        <v>12566</v>
      </c>
      <c r="R943" s="4" t="s">
        <v>1130</v>
      </c>
      <c r="S943" s="4" t="s">
        <v>8095</v>
      </c>
      <c r="T943" s="4" t="s">
        <v>47</v>
      </c>
      <c r="U943" s="4" t="s">
        <v>97</v>
      </c>
      <c r="V943">
        <v>1934</v>
      </c>
      <c r="W943" s="4" t="s">
        <v>8389</v>
      </c>
      <c r="X943" s="4" t="s">
        <v>8390</v>
      </c>
      <c r="Y943" s="4" t="s">
        <v>8391</v>
      </c>
      <c r="Z943" s="4" t="s">
        <v>8392</v>
      </c>
      <c r="AA943" s="4" t="s">
        <v>47</v>
      </c>
      <c r="AB943" s="4" t="s">
        <v>47</v>
      </c>
      <c r="AC943" s="4" t="s">
        <v>47</v>
      </c>
      <c r="AD943" s="4" t="s">
        <v>47</v>
      </c>
      <c r="AE943" s="4" t="s">
        <v>47</v>
      </c>
      <c r="AF943" s="4" t="s">
        <v>47</v>
      </c>
      <c r="AG943" s="4" t="s">
        <v>47</v>
      </c>
      <c r="AH943" s="4" t="s">
        <v>47</v>
      </c>
      <c r="AI943" s="4" t="s">
        <v>47</v>
      </c>
      <c r="AJ943" s="4" t="s">
        <v>47</v>
      </c>
      <c r="AK943" s="4" t="s">
        <v>47</v>
      </c>
      <c r="AL943" s="4" t="s">
        <v>47</v>
      </c>
      <c r="AM943" s="4" t="s">
        <v>47</v>
      </c>
      <c r="AN943" s="4" t="s">
        <v>47</v>
      </c>
      <c r="AO943" s="4" t="s">
        <v>47</v>
      </c>
      <c r="AP943" s="4" t="s">
        <v>47</v>
      </c>
      <c r="AQ943" s="4" t="s">
        <v>47</v>
      </c>
      <c r="AR943" s="4" t="s">
        <v>47</v>
      </c>
    </row>
    <row r="944" spans="1:44" x14ac:dyDescent="0.2">
      <c r="A944" s="4" t="s">
        <v>116</v>
      </c>
      <c r="B944" s="4" t="s">
        <v>26</v>
      </c>
      <c r="C944">
        <v>3</v>
      </c>
      <c r="F944">
        <v>2</v>
      </c>
      <c r="I944" s="4" t="s">
        <v>8158</v>
      </c>
      <c r="J944" s="4" t="s">
        <v>8358</v>
      </c>
      <c r="K944" s="4" t="s">
        <v>8393</v>
      </c>
      <c r="L944" s="4" t="s">
        <v>8394</v>
      </c>
      <c r="M944">
        <v>14000</v>
      </c>
      <c r="N944" s="4" t="s">
        <v>8338</v>
      </c>
      <c r="O944" s="4" t="s">
        <v>8395</v>
      </c>
      <c r="P944" s="4" t="s">
        <v>714</v>
      </c>
      <c r="Q944" s="9">
        <v>12566</v>
      </c>
      <c r="R944" s="4" t="s">
        <v>1130</v>
      </c>
      <c r="S944" s="4" t="s">
        <v>8396</v>
      </c>
      <c r="T944" s="4" t="s">
        <v>47</v>
      </c>
      <c r="U944" s="4" t="s">
        <v>97</v>
      </c>
      <c r="V944">
        <v>1934</v>
      </c>
      <c r="W944" s="4" t="s">
        <v>8397</v>
      </c>
      <c r="X944" s="4" t="s">
        <v>8398</v>
      </c>
      <c r="Y944" s="4" t="s">
        <v>8399</v>
      </c>
      <c r="Z944" s="4" t="s">
        <v>8400</v>
      </c>
      <c r="AA944" s="4" t="s">
        <v>47</v>
      </c>
      <c r="AB944" s="4" t="s">
        <v>47</v>
      </c>
      <c r="AC944" s="4" t="s">
        <v>47</v>
      </c>
      <c r="AD944" s="4" t="s">
        <v>47</v>
      </c>
      <c r="AE944" s="4" t="s">
        <v>47</v>
      </c>
      <c r="AF944" s="4" t="s">
        <v>47</v>
      </c>
      <c r="AG944" s="4" t="s">
        <v>47</v>
      </c>
      <c r="AH944" s="4" t="s">
        <v>47</v>
      </c>
      <c r="AI944" s="4" t="s">
        <v>47</v>
      </c>
      <c r="AJ944" s="4" t="s">
        <v>47</v>
      </c>
      <c r="AK944" s="4" t="s">
        <v>47</v>
      </c>
      <c r="AL944" s="4" t="s">
        <v>47</v>
      </c>
      <c r="AM944" s="4" t="s">
        <v>47</v>
      </c>
      <c r="AN944" s="4" t="s">
        <v>47</v>
      </c>
      <c r="AO944" s="4" t="s">
        <v>47</v>
      </c>
      <c r="AP944" s="4" t="s">
        <v>47</v>
      </c>
      <c r="AQ944" s="4" t="s">
        <v>47</v>
      </c>
      <c r="AR944" s="4" t="s">
        <v>47</v>
      </c>
    </row>
    <row r="945" spans="1:44" x14ac:dyDescent="0.2">
      <c r="A945" s="4" t="s">
        <v>20</v>
      </c>
      <c r="B945" s="4" t="s">
        <v>12</v>
      </c>
      <c r="C945">
        <v>3</v>
      </c>
      <c r="F945">
        <v>1</v>
      </c>
      <c r="I945" s="4" t="s">
        <v>8329</v>
      </c>
      <c r="J945" s="4" t="s">
        <v>8352</v>
      </c>
      <c r="K945" s="4" t="s">
        <v>8401</v>
      </c>
      <c r="L945" s="4" t="s">
        <v>8186</v>
      </c>
      <c r="M945">
        <v>21000</v>
      </c>
      <c r="N945" s="4" t="s">
        <v>5039</v>
      </c>
      <c r="O945" s="4" t="s">
        <v>8402</v>
      </c>
      <c r="P945" s="4" t="s">
        <v>714</v>
      </c>
      <c r="Q945" s="9">
        <v>12566</v>
      </c>
      <c r="R945" s="4" t="s">
        <v>770</v>
      </c>
      <c r="S945" s="4" t="s">
        <v>8243</v>
      </c>
      <c r="T945" s="4" t="s">
        <v>47</v>
      </c>
      <c r="U945" s="4" t="s">
        <v>97</v>
      </c>
      <c r="V945">
        <v>1934</v>
      </c>
      <c r="W945" s="4" t="s">
        <v>8403</v>
      </c>
      <c r="X945" s="4" t="s">
        <v>8404</v>
      </c>
      <c r="Y945" s="4" t="s">
        <v>8405</v>
      </c>
      <c r="Z945" s="4" t="s">
        <v>8406</v>
      </c>
      <c r="AA945" s="4" t="s">
        <v>47</v>
      </c>
      <c r="AB945" s="4" t="s">
        <v>47</v>
      </c>
      <c r="AC945" s="4" t="s">
        <v>8407</v>
      </c>
      <c r="AD945" s="4" t="s">
        <v>47</v>
      </c>
      <c r="AE945" s="4" t="s">
        <v>47</v>
      </c>
      <c r="AF945" s="4" t="s">
        <v>47</v>
      </c>
      <c r="AG945" s="4" t="s">
        <v>47</v>
      </c>
      <c r="AH945" s="4" t="s">
        <v>47</v>
      </c>
      <c r="AI945" s="4" t="s">
        <v>47</v>
      </c>
      <c r="AJ945" s="4" t="s">
        <v>47</v>
      </c>
      <c r="AK945" s="4" t="s">
        <v>47</v>
      </c>
      <c r="AL945" s="4" t="s">
        <v>47</v>
      </c>
      <c r="AM945" s="4" t="s">
        <v>47</v>
      </c>
      <c r="AN945" s="4" t="s">
        <v>47</v>
      </c>
      <c r="AO945" s="4" t="s">
        <v>47</v>
      </c>
      <c r="AP945" s="4" t="s">
        <v>47</v>
      </c>
      <c r="AQ945" s="4" t="s">
        <v>47</v>
      </c>
      <c r="AR945" s="4" t="s">
        <v>47</v>
      </c>
    </row>
    <row r="946" spans="1:44" x14ac:dyDescent="0.2">
      <c r="A946" s="4" t="s">
        <v>92</v>
      </c>
      <c r="B946" s="4" t="s">
        <v>148</v>
      </c>
      <c r="C946">
        <v>5</v>
      </c>
      <c r="F946">
        <v>2</v>
      </c>
      <c r="I946" s="4" t="s">
        <v>8309</v>
      </c>
      <c r="J946" s="4" t="s">
        <v>8232</v>
      </c>
      <c r="K946" s="4" t="s">
        <v>8408</v>
      </c>
      <c r="L946" s="4" t="s">
        <v>8409</v>
      </c>
      <c r="M946">
        <v>8000</v>
      </c>
      <c r="N946" s="4" t="s">
        <v>8331</v>
      </c>
      <c r="O946" s="4" t="s">
        <v>8410</v>
      </c>
      <c r="P946" s="4" t="s">
        <v>714</v>
      </c>
      <c r="Q946" s="9">
        <v>12566</v>
      </c>
      <c r="R946" s="4" t="s">
        <v>1614</v>
      </c>
      <c r="S946" s="4" t="s">
        <v>8340</v>
      </c>
      <c r="T946" s="4" t="s">
        <v>47</v>
      </c>
      <c r="U946" s="4" t="s">
        <v>97</v>
      </c>
      <c r="V946">
        <v>1934</v>
      </c>
      <c r="W946" s="4" t="s">
        <v>8411</v>
      </c>
      <c r="X946" s="4" t="s">
        <v>8412</v>
      </c>
      <c r="Y946" s="4" t="s">
        <v>8413</v>
      </c>
      <c r="Z946" s="4" t="s">
        <v>8414</v>
      </c>
      <c r="AA946" s="4" t="s">
        <v>47</v>
      </c>
      <c r="AB946" s="4" t="s">
        <v>47</v>
      </c>
      <c r="AC946" s="4" t="s">
        <v>47</v>
      </c>
      <c r="AD946" s="4" t="s">
        <v>47</v>
      </c>
      <c r="AE946" s="4" t="s">
        <v>47</v>
      </c>
      <c r="AF946" s="4" t="s">
        <v>47</v>
      </c>
      <c r="AG946" s="4" t="s">
        <v>47</v>
      </c>
      <c r="AH946" s="4" t="s">
        <v>47</v>
      </c>
      <c r="AI946" s="4" t="s">
        <v>47</v>
      </c>
      <c r="AJ946" s="4" t="s">
        <v>47</v>
      </c>
      <c r="AK946" s="4" t="s">
        <v>47</v>
      </c>
      <c r="AL946" s="4" t="s">
        <v>47</v>
      </c>
      <c r="AM946" s="4" t="s">
        <v>47</v>
      </c>
      <c r="AN946" s="4" t="s">
        <v>47</v>
      </c>
      <c r="AO946" s="4" t="s">
        <v>47</v>
      </c>
      <c r="AP946" s="4" t="s">
        <v>47</v>
      </c>
      <c r="AQ946" s="4" t="s">
        <v>47</v>
      </c>
      <c r="AR946" s="4" t="s">
        <v>47</v>
      </c>
    </row>
    <row r="947" spans="1:44" x14ac:dyDescent="0.2">
      <c r="A947" s="4" t="s">
        <v>97</v>
      </c>
      <c r="B947" s="4" t="s">
        <v>102</v>
      </c>
      <c r="C947">
        <v>7</v>
      </c>
      <c r="F947">
        <v>1</v>
      </c>
      <c r="I947" s="4" t="s">
        <v>8167</v>
      </c>
      <c r="J947" s="4" t="s">
        <v>8415</v>
      </c>
      <c r="K947" s="4" t="s">
        <v>8416</v>
      </c>
      <c r="L947" s="4" t="s">
        <v>8417</v>
      </c>
      <c r="M947">
        <v>25000</v>
      </c>
      <c r="N947" s="4" t="s">
        <v>8303</v>
      </c>
      <c r="O947" s="4" t="s">
        <v>8418</v>
      </c>
      <c r="P947" s="4" t="s">
        <v>714</v>
      </c>
      <c r="Q947" s="9">
        <v>12566</v>
      </c>
      <c r="R947" s="4" t="s">
        <v>8054</v>
      </c>
      <c r="S947" s="4" t="s">
        <v>8333</v>
      </c>
      <c r="T947" s="4" t="s">
        <v>47</v>
      </c>
      <c r="U947" s="4" t="s">
        <v>97</v>
      </c>
      <c r="V947">
        <v>1934</v>
      </c>
      <c r="W947" s="4" t="s">
        <v>8419</v>
      </c>
      <c r="X947" s="4" t="s">
        <v>8420</v>
      </c>
      <c r="Y947" s="4" t="s">
        <v>8421</v>
      </c>
      <c r="Z947" s="4" t="s">
        <v>8422</v>
      </c>
      <c r="AA947" s="4" t="s">
        <v>47</v>
      </c>
      <c r="AB947" s="4" t="s">
        <v>47</v>
      </c>
      <c r="AC947" s="4" t="s">
        <v>47</v>
      </c>
      <c r="AD947" s="4" t="s">
        <v>47</v>
      </c>
      <c r="AE947" s="4" t="s">
        <v>47</v>
      </c>
      <c r="AF947" s="4" t="s">
        <v>47</v>
      </c>
      <c r="AG947" s="4" t="s">
        <v>47</v>
      </c>
      <c r="AH947" s="4" t="s">
        <v>47</v>
      </c>
      <c r="AI947" s="4" t="s">
        <v>47</v>
      </c>
      <c r="AJ947" s="4" t="s">
        <v>47</v>
      </c>
      <c r="AK947" s="4" t="s">
        <v>47</v>
      </c>
      <c r="AL947" s="4" t="s">
        <v>47</v>
      </c>
      <c r="AM947" s="4" t="s">
        <v>47</v>
      </c>
      <c r="AN947" s="4" t="s">
        <v>47</v>
      </c>
      <c r="AO947" s="4" t="s">
        <v>47</v>
      </c>
      <c r="AP947" s="4" t="s">
        <v>47</v>
      </c>
      <c r="AQ947" s="4" t="s">
        <v>47</v>
      </c>
      <c r="AR947" s="4" t="s">
        <v>47</v>
      </c>
    </row>
    <row r="948" spans="1:44" x14ac:dyDescent="0.2">
      <c r="A948" s="4" t="s">
        <v>121</v>
      </c>
      <c r="B948" s="4" t="s">
        <v>26</v>
      </c>
      <c r="C948">
        <v>4</v>
      </c>
      <c r="F948">
        <v>2</v>
      </c>
      <c r="I948" s="4" t="s">
        <v>8423</v>
      </c>
      <c r="J948" s="4" t="s">
        <v>8424</v>
      </c>
      <c r="K948" s="4" t="s">
        <v>8425</v>
      </c>
      <c r="L948" s="4" t="s">
        <v>8426</v>
      </c>
      <c r="M948">
        <v>68346</v>
      </c>
      <c r="N948" s="4" t="s">
        <v>8427</v>
      </c>
      <c r="O948" s="4" t="s">
        <v>8428</v>
      </c>
      <c r="P948" s="4" t="s">
        <v>593</v>
      </c>
      <c r="Q948" s="9">
        <v>11169</v>
      </c>
      <c r="R948" s="4" t="s">
        <v>1236</v>
      </c>
      <c r="S948" s="4" t="s">
        <v>8162</v>
      </c>
      <c r="T948" s="4" t="s">
        <v>47</v>
      </c>
      <c r="U948" s="4" t="s">
        <v>121</v>
      </c>
      <c r="V948">
        <v>1930</v>
      </c>
      <c r="W948" s="4" t="s">
        <v>8429</v>
      </c>
      <c r="X948" s="4" t="s">
        <v>8430</v>
      </c>
      <c r="Y948" s="4" t="s">
        <v>8431</v>
      </c>
      <c r="Z948" s="4" t="s">
        <v>8432</v>
      </c>
      <c r="AA948" s="4" t="s">
        <v>47</v>
      </c>
      <c r="AB948" s="4" t="s">
        <v>47</v>
      </c>
      <c r="AC948" s="4" t="s">
        <v>47</v>
      </c>
      <c r="AD948" s="4" t="s">
        <v>47</v>
      </c>
      <c r="AE948" s="4" t="s">
        <v>47</v>
      </c>
      <c r="AF948" s="4" t="s">
        <v>47</v>
      </c>
      <c r="AG948" s="4" t="s">
        <v>47</v>
      </c>
      <c r="AH948" s="4" t="s">
        <v>47</v>
      </c>
      <c r="AI948" s="4" t="s">
        <v>47</v>
      </c>
      <c r="AJ948" s="4" t="s">
        <v>47</v>
      </c>
      <c r="AK948" s="4" t="s">
        <v>47</v>
      </c>
      <c r="AL948" s="4" t="s">
        <v>47</v>
      </c>
      <c r="AM948" s="4" t="s">
        <v>47</v>
      </c>
      <c r="AN948" s="4" t="s">
        <v>47</v>
      </c>
      <c r="AO948" s="4" t="s">
        <v>47</v>
      </c>
      <c r="AP948" s="4" t="s">
        <v>47</v>
      </c>
      <c r="AQ948" s="4" t="s">
        <v>47</v>
      </c>
      <c r="AR948" s="4" t="s">
        <v>47</v>
      </c>
    </row>
    <row r="949" spans="1:44" x14ac:dyDescent="0.2">
      <c r="A949" s="4" t="s">
        <v>121</v>
      </c>
      <c r="B949" s="4" t="s">
        <v>4991</v>
      </c>
      <c r="C949">
        <v>6</v>
      </c>
      <c r="F949">
        <v>1</v>
      </c>
      <c r="I949" s="4" t="s">
        <v>8423</v>
      </c>
      <c r="J949" s="4" t="s">
        <v>8424</v>
      </c>
      <c r="K949" s="4" t="s">
        <v>8433</v>
      </c>
      <c r="L949" s="4" t="s">
        <v>8434</v>
      </c>
      <c r="M949">
        <v>79867</v>
      </c>
      <c r="N949" s="4" t="s">
        <v>8427</v>
      </c>
      <c r="O949" s="4" t="s">
        <v>8435</v>
      </c>
      <c r="P949" s="4" t="s">
        <v>629</v>
      </c>
      <c r="Q949" s="9">
        <v>11166</v>
      </c>
      <c r="R949" s="4" t="s">
        <v>728</v>
      </c>
      <c r="S949" s="4" t="s">
        <v>8436</v>
      </c>
      <c r="T949" s="4" t="s">
        <v>47</v>
      </c>
      <c r="U949" s="4" t="s">
        <v>121</v>
      </c>
      <c r="V949">
        <v>1930</v>
      </c>
      <c r="W949" s="4" t="s">
        <v>8437</v>
      </c>
      <c r="X949" s="4" t="s">
        <v>8438</v>
      </c>
      <c r="Y949" s="4" t="s">
        <v>8439</v>
      </c>
      <c r="Z949" s="4" t="s">
        <v>8440</v>
      </c>
      <c r="AA949" s="4" t="s">
        <v>47</v>
      </c>
      <c r="AB949" s="4" t="s">
        <v>47</v>
      </c>
      <c r="AC949" s="4" t="s">
        <v>47</v>
      </c>
      <c r="AD949" s="4" t="s">
        <v>47</v>
      </c>
      <c r="AE949" s="4" t="s">
        <v>47</v>
      </c>
      <c r="AF949" s="4" t="s">
        <v>47</v>
      </c>
      <c r="AG949" s="4" t="s">
        <v>47</v>
      </c>
      <c r="AH949" s="4" t="s">
        <v>47</v>
      </c>
      <c r="AI949" s="4" t="s">
        <v>47</v>
      </c>
      <c r="AJ949" s="4" t="s">
        <v>47</v>
      </c>
      <c r="AK949" s="4" t="s">
        <v>47</v>
      </c>
      <c r="AL949" s="4" t="s">
        <v>47</v>
      </c>
      <c r="AM949" s="4" t="s">
        <v>47</v>
      </c>
      <c r="AN949" s="4" t="s">
        <v>47</v>
      </c>
      <c r="AO949" s="4" t="s">
        <v>47</v>
      </c>
      <c r="AP949" s="4" t="s">
        <v>47</v>
      </c>
      <c r="AQ949" s="4" t="s">
        <v>47</v>
      </c>
      <c r="AR949" s="4" t="s">
        <v>47</v>
      </c>
    </row>
    <row r="950" spans="1:44" x14ac:dyDescent="0.2">
      <c r="A950" s="4" t="s">
        <v>26</v>
      </c>
      <c r="B950" s="4" t="s">
        <v>102</v>
      </c>
      <c r="C950">
        <v>6</v>
      </c>
      <c r="F950">
        <v>1</v>
      </c>
      <c r="I950" s="4" t="s">
        <v>8425</v>
      </c>
      <c r="J950" s="4" t="s">
        <v>8426</v>
      </c>
      <c r="K950" s="4" t="s">
        <v>8441</v>
      </c>
      <c r="L950" s="4" t="s">
        <v>8442</v>
      </c>
      <c r="M950">
        <v>72886</v>
      </c>
      <c r="N950" s="4" t="s">
        <v>8427</v>
      </c>
      <c r="O950" s="4" t="s">
        <v>8443</v>
      </c>
      <c r="P950" s="4" t="s">
        <v>629</v>
      </c>
      <c r="Q950" s="9">
        <v>11165</v>
      </c>
      <c r="R950" s="4" t="s">
        <v>728</v>
      </c>
      <c r="S950" s="4" t="s">
        <v>8162</v>
      </c>
      <c r="T950" s="4" t="s">
        <v>47</v>
      </c>
      <c r="U950" s="4" t="s">
        <v>121</v>
      </c>
      <c r="V950">
        <v>1930</v>
      </c>
      <c r="W950" s="4" t="s">
        <v>8444</v>
      </c>
      <c r="X950" s="4" t="s">
        <v>8445</v>
      </c>
      <c r="Y950" s="4" t="s">
        <v>8446</v>
      </c>
      <c r="Z950" s="4" t="s">
        <v>8447</v>
      </c>
      <c r="AA950" s="4" t="s">
        <v>47</v>
      </c>
      <c r="AB950" s="4" t="s">
        <v>47</v>
      </c>
      <c r="AC950" s="4" t="s">
        <v>47</v>
      </c>
      <c r="AD950" s="4" t="s">
        <v>47</v>
      </c>
      <c r="AE950" s="4" t="s">
        <v>47</v>
      </c>
      <c r="AF950" s="4" t="s">
        <v>47</v>
      </c>
      <c r="AG950" s="4" t="s">
        <v>47</v>
      </c>
      <c r="AH950" s="4" t="s">
        <v>47</v>
      </c>
      <c r="AI950" s="4" t="s">
        <v>47</v>
      </c>
      <c r="AJ950" s="4" t="s">
        <v>47</v>
      </c>
      <c r="AK950" s="4" t="s">
        <v>47</v>
      </c>
      <c r="AL950" s="4" t="s">
        <v>47</v>
      </c>
      <c r="AM950" s="4" t="s">
        <v>47</v>
      </c>
      <c r="AN950" s="4" t="s">
        <v>47</v>
      </c>
      <c r="AO950" s="4" t="s">
        <v>47</v>
      </c>
      <c r="AP950" s="4" t="s">
        <v>47</v>
      </c>
      <c r="AQ950" s="4" t="s">
        <v>47</v>
      </c>
      <c r="AR950" s="4" t="s">
        <v>47</v>
      </c>
    </row>
    <row r="951" spans="1:44" x14ac:dyDescent="0.2">
      <c r="A951" s="4" t="s">
        <v>26</v>
      </c>
      <c r="B951" s="4" t="s">
        <v>113</v>
      </c>
      <c r="C951">
        <v>3</v>
      </c>
      <c r="F951">
        <v>1</v>
      </c>
      <c r="I951" s="4" t="s">
        <v>8425</v>
      </c>
      <c r="J951" s="4" t="s">
        <v>8426</v>
      </c>
      <c r="K951" s="4" t="s">
        <v>8448</v>
      </c>
      <c r="L951" s="4" t="s">
        <v>8449</v>
      </c>
      <c r="M951">
        <v>41459</v>
      </c>
      <c r="N951" s="4" t="s">
        <v>8427</v>
      </c>
      <c r="O951" s="4" t="s">
        <v>8450</v>
      </c>
      <c r="P951" s="4" t="s">
        <v>811</v>
      </c>
      <c r="Q951" s="9">
        <v>11161</v>
      </c>
      <c r="R951" s="4" t="s">
        <v>770</v>
      </c>
      <c r="S951" s="4" t="s">
        <v>8162</v>
      </c>
      <c r="T951" s="4" t="s">
        <v>47</v>
      </c>
      <c r="U951" s="4" t="s">
        <v>121</v>
      </c>
      <c r="V951">
        <v>1930</v>
      </c>
      <c r="W951" s="4" t="s">
        <v>8451</v>
      </c>
      <c r="X951" s="4" t="s">
        <v>8452</v>
      </c>
      <c r="Y951" s="4" t="s">
        <v>8453</v>
      </c>
      <c r="Z951" s="4" t="s">
        <v>8454</v>
      </c>
      <c r="AA951" s="4" t="s">
        <v>47</v>
      </c>
      <c r="AB951" s="4" t="s">
        <v>47</v>
      </c>
      <c r="AC951" s="4" t="s">
        <v>47</v>
      </c>
      <c r="AD951" s="4" t="s">
        <v>47</v>
      </c>
      <c r="AE951" s="4" t="s">
        <v>47</v>
      </c>
      <c r="AF951" s="4" t="s">
        <v>47</v>
      </c>
      <c r="AG951" s="4" t="s">
        <v>47</v>
      </c>
      <c r="AH951" s="4" t="s">
        <v>47</v>
      </c>
      <c r="AI951" s="4" t="s">
        <v>47</v>
      </c>
      <c r="AJ951" s="4" t="s">
        <v>47</v>
      </c>
      <c r="AK951" s="4" t="s">
        <v>47</v>
      </c>
      <c r="AL951" s="4" t="s">
        <v>47</v>
      </c>
      <c r="AM951" s="4" t="s">
        <v>47</v>
      </c>
      <c r="AN951" s="4" t="s">
        <v>47</v>
      </c>
      <c r="AO951" s="4" t="s">
        <v>47</v>
      </c>
      <c r="AP951" s="4" t="s">
        <v>47</v>
      </c>
      <c r="AQ951" s="4" t="s">
        <v>47</v>
      </c>
      <c r="AR951" s="4" t="s">
        <v>47</v>
      </c>
    </row>
    <row r="952" spans="1:44" x14ac:dyDescent="0.2">
      <c r="A952" s="4" t="s">
        <v>121</v>
      </c>
      <c r="B952" s="4" t="s">
        <v>227</v>
      </c>
      <c r="C952">
        <v>4</v>
      </c>
      <c r="F952">
        <v>0</v>
      </c>
      <c r="I952" s="4" t="s">
        <v>8423</v>
      </c>
      <c r="J952" s="4" t="s">
        <v>8424</v>
      </c>
      <c r="K952" s="4" t="s">
        <v>8455</v>
      </c>
      <c r="L952" s="4" t="s">
        <v>8365</v>
      </c>
      <c r="M952">
        <v>70022</v>
      </c>
      <c r="N952" s="4" t="s">
        <v>8427</v>
      </c>
      <c r="O952" s="4" t="s">
        <v>8456</v>
      </c>
      <c r="P952" s="4" t="s">
        <v>811</v>
      </c>
      <c r="Q952" s="9">
        <v>11160</v>
      </c>
      <c r="R952" s="4" t="s">
        <v>2300</v>
      </c>
      <c r="S952" s="4" t="s">
        <v>8436</v>
      </c>
      <c r="T952" s="4" t="s">
        <v>47</v>
      </c>
      <c r="U952" s="4" t="s">
        <v>121</v>
      </c>
      <c r="V952">
        <v>1930</v>
      </c>
      <c r="W952" s="4" t="s">
        <v>8457</v>
      </c>
      <c r="X952" s="4" t="s">
        <v>47</v>
      </c>
      <c r="Y952" s="4" t="s">
        <v>8458</v>
      </c>
      <c r="Z952" s="4" t="s">
        <v>47</v>
      </c>
      <c r="AA952" s="4" t="s">
        <v>47</v>
      </c>
      <c r="AB952" s="4" t="s">
        <v>47</v>
      </c>
      <c r="AC952" s="4" t="s">
        <v>47</v>
      </c>
      <c r="AD952" s="4" t="s">
        <v>47</v>
      </c>
      <c r="AE952" s="4" t="s">
        <v>47</v>
      </c>
      <c r="AF952" s="4" t="s">
        <v>47</v>
      </c>
      <c r="AG952" s="4" t="s">
        <v>47</v>
      </c>
      <c r="AH952" s="4" t="s">
        <v>47</v>
      </c>
      <c r="AI952" s="4" t="s">
        <v>47</v>
      </c>
      <c r="AJ952" s="4" t="s">
        <v>47</v>
      </c>
      <c r="AK952" s="4" t="s">
        <v>47</v>
      </c>
      <c r="AL952" s="4" t="s">
        <v>47</v>
      </c>
      <c r="AM952" s="4" t="s">
        <v>47</v>
      </c>
      <c r="AN952" s="4" t="s">
        <v>47</v>
      </c>
      <c r="AO952" s="4" t="s">
        <v>47</v>
      </c>
      <c r="AP952" s="4" t="s">
        <v>47</v>
      </c>
      <c r="AQ952" s="4" t="s">
        <v>47</v>
      </c>
      <c r="AR952" s="4" t="s">
        <v>47</v>
      </c>
    </row>
    <row r="953" spans="1:44" x14ac:dyDescent="0.2">
      <c r="A953" s="4" t="s">
        <v>12</v>
      </c>
      <c r="B953" s="4" t="s">
        <v>272</v>
      </c>
      <c r="C953">
        <v>4</v>
      </c>
      <c r="F953">
        <v>0</v>
      </c>
      <c r="I953" s="4" t="s">
        <v>8459</v>
      </c>
      <c r="J953" s="4" t="s">
        <v>8460</v>
      </c>
      <c r="K953" s="4" t="s">
        <v>8461</v>
      </c>
      <c r="L953" s="4" t="s">
        <v>8462</v>
      </c>
      <c r="M953">
        <v>25466</v>
      </c>
      <c r="N953" s="4" t="s">
        <v>8427</v>
      </c>
      <c r="O953" s="4" t="s">
        <v>8463</v>
      </c>
      <c r="P953" s="4" t="s">
        <v>811</v>
      </c>
      <c r="Q953" s="9">
        <v>11159</v>
      </c>
      <c r="R953" s="4" t="s">
        <v>2300</v>
      </c>
      <c r="S953" s="4" t="s">
        <v>8464</v>
      </c>
      <c r="T953" s="4" t="s">
        <v>47</v>
      </c>
      <c r="U953" s="4" t="s">
        <v>121</v>
      </c>
      <c r="V953">
        <v>1930</v>
      </c>
      <c r="W953" s="4" t="s">
        <v>8465</v>
      </c>
      <c r="X953" s="4" t="s">
        <v>47</v>
      </c>
      <c r="Y953" s="4" t="s">
        <v>8466</v>
      </c>
      <c r="Z953" s="4" t="s">
        <v>47</v>
      </c>
      <c r="AA953" s="4" t="s">
        <v>47</v>
      </c>
      <c r="AB953" s="4" t="s">
        <v>47</v>
      </c>
      <c r="AC953" s="4" t="s">
        <v>47</v>
      </c>
      <c r="AD953" s="4" t="s">
        <v>47</v>
      </c>
      <c r="AE953" s="4" t="s">
        <v>47</v>
      </c>
      <c r="AF953" s="4" t="s">
        <v>47</v>
      </c>
      <c r="AG953" s="4" t="s">
        <v>47</v>
      </c>
      <c r="AH953" s="4" t="s">
        <v>47</v>
      </c>
      <c r="AI953" s="4" t="s">
        <v>47</v>
      </c>
      <c r="AJ953" s="4" t="s">
        <v>47</v>
      </c>
      <c r="AK953" s="4" t="s">
        <v>47</v>
      </c>
      <c r="AL953" s="4" t="s">
        <v>47</v>
      </c>
      <c r="AM953" s="4" t="s">
        <v>47</v>
      </c>
      <c r="AN953" s="4" t="s">
        <v>47</v>
      </c>
      <c r="AO953" s="4" t="s">
        <v>47</v>
      </c>
      <c r="AP953" s="4" t="s">
        <v>47</v>
      </c>
      <c r="AQ953" s="4" t="s">
        <v>47</v>
      </c>
      <c r="AR953" s="4" t="s">
        <v>47</v>
      </c>
    </row>
    <row r="954" spans="1:44" x14ac:dyDescent="0.2">
      <c r="A954" s="4" t="s">
        <v>202</v>
      </c>
      <c r="B954" s="4" t="s">
        <v>148</v>
      </c>
      <c r="C954">
        <v>1</v>
      </c>
      <c r="F954">
        <v>0</v>
      </c>
      <c r="I954" s="4" t="s">
        <v>8467</v>
      </c>
      <c r="J954" s="4" t="s">
        <v>8468</v>
      </c>
      <c r="K954" s="4" t="s">
        <v>8408</v>
      </c>
      <c r="L954" s="4" t="s">
        <v>8469</v>
      </c>
      <c r="M954">
        <v>12000</v>
      </c>
      <c r="N954" s="4" t="s">
        <v>8427</v>
      </c>
      <c r="O954" s="4" t="s">
        <v>8470</v>
      </c>
      <c r="P954" s="4" t="s">
        <v>811</v>
      </c>
      <c r="Q954" s="9">
        <v>11159</v>
      </c>
      <c r="R954" s="4" t="s">
        <v>652</v>
      </c>
      <c r="S954" s="4" t="s">
        <v>8471</v>
      </c>
      <c r="T954" s="4" t="s">
        <v>47</v>
      </c>
      <c r="U954" s="4" t="s">
        <v>121</v>
      </c>
      <c r="V954">
        <v>1930</v>
      </c>
      <c r="W954" s="4" t="s">
        <v>8472</v>
      </c>
      <c r="X954" s="4" t="s">
        <v>47</v>
      </c>
      <c r="Y954" s="4" t="s">
        <v>8473</v>
      </c>
      <c r="Z954" s="4" t="s">
        <v>47</v>
      </c>
      <c r="AA954" s="4" t="s">
        <v>47</v>
      </c>
      <c r="AB954" s="4" t="s">
        <v>47</v>
      </c>
      <c r="AC954" s="4" t="s">
        <v>47</v>
      </c>
      <c r="AD954" s="4" t="s">
        <v>47</v>
      </c>
      <c r="AE954" s="4" t="s">
        <v>47</v>
      </c>
      <c r="AF954" s="4" t="s">
        <v>47</v>
      </c>
      <c r="AG954" s="4" t="s">
        <v>47</v>
      </c>
      <c r="AH954" s="4" t="s">
        <v>47</v>
      </c>
      <c r="AI954" s="4" t="s">
        <v>47</v>
      </c>
      <c r="AJ954" s="4" t="s">
        <v>47</v>
      </c>
      <c r="AK954" s="4" t="s">
        <v>47</v>
      </c>
      <c r="AL954" s="4" t="s">
        <v>47</v>
      </c>
      <c r="AM954" s="4" t="s">
        <v>47</v>
      </c>
      <c r="AN954" s="4" t="s">
        <v>47</v>
      </c>
      <c r="AO954" s="4" t="s">
        <v>47</v>
      </c>
      <c r="AP954" s="4" t="s">
        <v>47</v>
      </c>
      <c r="AQ954" s="4" t="s">
        <v>47</v>
      </c>
      <c r="AR954" s="4" t="s">
        <v>47</v>
      </c>
    </row>
    <row r="955" spans="1:44" x14ac:dyDescent="0.2">
      <c r="A955" s="4" t="s">
        <v>113</v>
      </c>
      <c r="B955" s="4" t="s">
        <v>87</v>
      </c>
      <c r="C955">
        <v>1</v>
      </c>
      <c r="F955">
        <v>0</v>
      </c>
      <c r="I955" s="4" t="s">
        <v>8448</v>
      </c>
      <c r="J955" s="4" t="s">
        <v>8474</v>
      </c>
      <c r="K955" s="4" t="s">
        <v>8475</v>
      </c>
      <c r="L955" s="4" t="s">
        <v>8476</v>
      </c>
      <c r="M955">
        <v>2000</v>
      </c>
      <c r="N955" s="4" t="s">
        <v>8427</v>
      </c>
      <c r="O955" s="4" t="s">
        <v>8477</v>
      </c>
      <c r="P955" s="4" t="s">
        <v>811</v>
      </c>
      <c r="Q955" s="9">
        <v>11158</v>
      </c>
      <c r="R955" s="4" t="s">
        <v>652</v>
      </c>
      <c r="S955" s="4" t="s">
        <v>8478</v>
      </c>
      <c r="T955" s="4" t="s">
        <v>47</v>
      </c>
      <c r="U955" s="4" t="s">
        <v>121</v>
      </c>
      <c r="V955">
        <v>1930</v>
      </c>
      <c r="W955" s="4" t="s">
        <v>8479</v>
      </c>
      <c r="X955" s="4" t="s">
        <v>47</v>
      </c>
      <c r="Y955" s="4" t="s">
        <v>8480</v>
      </c>
      <c r="Z955" s="4" t="s">
        <v>47</v>
      </c>
      <c r="AA955" s="4" t="s">
        <v>47</v>
      </c>
      <c r="AB955" s="4" t="s">
        <v>47</v>
      </c>
      <c r="AC955" s="4" t="s">
        <v>47</v>
      </c>
      <c r="AD955" s="4" t="s">
        <v>47</v>
      </c>
      <c r="AE955" s="4" t="s">
        <v>47</v>
      </c>
      <c r="AF955" s="4" t="s">
        <v>47</v>
      </c>
      <c r="AG955" s="4" t="s">
        <v>47</v>
      </c>
      <c r="AH955" s="4" t="s">
        <v>47</v>
      </c>
      <c r="AI955" s="4" t="s">
        <v>47</v>
      </c>
      <c r="AJ955" s="4" t="s">
        <v>47</v>
      </c>
      <c r="AK955" s="4" t="s">
        <v>47</v>
      </c>
      <c r="AL955" s="4" t="s">
        <v>47</v>
      </c>
      <c r="AM955" s="4" t="s">
        <v>47</v>
      </c>
      <c r="AN955" s="4" t="s">
        <v>47</v>
      </c>
      <c r="AO955" s="4" t="s">
        <v>47</v>
      </c>
      <c r="AP955" s="4" t="s">
        <v>47</v>
      </c>
      <c r="AQ955" s="4" t="s">
        <v>47</v>
      </c>
      <c r="AR955" s="4" t="s">
        <v>47</v>
      </c>
    </row>
    <row r="956" spans="1:44" x14ac:dyDescent="0.2">
      <c r="A956" s="4" t="s">
        <v>26</v>
      </c>
      <c r="B956" s="4" t="s">
        <v>106</v>
      </c>
      <c r="C956">
        <v>6</v>
      </c>
      <c r="F956">
        <v>3</v>
      </c>
      <c r="I956" s="4" t="s">
        <v>8425</v>
      </c>
      <c r="J956" s="4" t="s">
        <v>8481</v>
      </c>
      <c r="K956" s="4" t="s">
        <v>8482</v>
      </c>
      <c r="L956" s="4" t="s">
        <v>8483</v>
      </c>
      <c r="M956">
        <v>42100</v>
      </c>
      <c r="N956" s="4" t="s">
        <v>8427</v>
      </c>
      <c r="O956" s="4" t="s">
        <v>8484</v>
      </c>
      <c r="P956" s="4" t="s">
        <v>811</v>
      </c>
      <c r="Q956" s="9">
        <v>11158</v>
      </c>
      <c r="R956" s="4" t="s">
        <v>7649</v>
      </c>
      <c r="S956" s="4" t="s">
        <v>8485</v>
      </c>
      <c r="T956" s="4" t="s">
        <v>47</v>
      </c>
      <c r="U956" s="4" t="s">
        <v>121</v>
      </c>
      <c r="V956">
        <v>1930</v>
      </c>
      <c r="W956" s="4" t="s">
        <v>8486</v>
      </c>
      <c r="X956" s="4" t="s">
        <v>8487</v>
      </c>
      <c r="Y956" s="4" t="s">
        <v>8488</v>
      </c>
      <c r="Z956" s="4" t="s">
        <v>8489</v>
      </c>
      <c r="AA956" s="4" t="s">
        <v>47</v>
      </c>
      <c r="AB956" s="4" t="s">
        <v>47</v>
      </c>
      <c r="AC956" s="4" t="s">
        <v>47</v>
      </c>
      <c r="AD956" s="4" t="s">
        <v>8490</v>
      </c>
      <c r="AE956" s="4" t="s">
        <v>47</v>
      </c>
      <c r="AF956" s="4" t="s">
        <v>47</v>
      </c>
      <c r="AG956" s="4" t="s">
        <v>47</v>
      </c>
      <c r="AH956" s="4" t="s">
        <v>47</v>
      </c>
      <c r="AI956" s="4" t="s">
        <v>47</v>
      </c>
      <c r="AJ956" s="4" t="s">
        <v>47</v>
      </c>
      <c r="AK956" s="4" t="s">
        <v>47</v>
      </c>
      <c r="AL956" s="4" t="s">
        <v>47</v>
      </c>
      <c r="AM956" s="4" t="s">
        <v>47</v>
      </c>
      <c r="AN956" s="4" t="s">
        <v>47</v>
      </c>
      <c r="AO956" s="4" t="s">
        <v>47</v>
      </c>
      <c r="AP956" s="4" t="s">
        <v>47</v>
      </c>
      <c r="AQ956" s="4" t="s">
        <v>47</v>
      </c>
      <c r="AR956" s="4" t="s">
        <v>47</v>
      </c>
    </row>
    <row r="957" spans="1:44" x14ac:dyDescent="0.2">
      <c r="A957" s="4" t="s">
        <v>121</v>
      </c>
      <c r="B957" s="4" t="s">
        <v>223</v>
      </c>
      <c r="C957">
        <v>1</v>
      </c>
      <c r="F957">
        <v>0</v>
      </c>
      <c r="I957" s="4" t="s">
        <v>8423</v>
      </c>
      <c r="J957" s="4" t="s">
        <v>8424</v>
      </c>
      <c r="K957" s="4" t="s">
        <v>8491</v>
      </c>
      <c r="L957" s="4" t="s">
        <v>8492</v>
      </c>
      <c r="M957">
        <v>57735</v>
      </c>
      <c r="N957" s="4" t="s">
        <v>8427</v>
      </c>
      <c r="O957" s="4" t="s">
        <v>8493</v>
      </c>
      <c r="P957" s="4" t="s">
        <v>811</v>
      </c>
      <c r="Q957" s="9">
        <v>11157</v>
      </c>
      <c r="R957" s="4" t="s">
        <v>652</v>
      </c>
      <c r="S957" s="4" t="s">
        <v>8162</v>
      </c>
      <c r="T957" s="4" t="s">
        <v>47</v>
      </c>
      <c r="U957" s="4" t="s">
        <v>121</v>
      </c>
      <c r="V957">
        <v>1930</v>
      </c>
      <c r="W957" s="4" t="s">
        <v>8494</v>
      </c>
      <c r="X957" s="4" t="s">
        <v>47</v>
      </c>
      <c r="Y957" s="4" t="s">
        <v>8495</v>
      </c>
      <c r="Z957" s="4" t="s">
        <v>47</v>
      </c>
      <c r="AA957" s="4" t="s">
        <v>47</v>
      </c>
      <c r="AB957" s="4" t="s">
        <v>47</v>
      </c>
      <c r="AC957" s="4" t="s">
        <v>47</v>
      </c>
      <c r="AD957" s="4" t="s">
        <v>47</v>
      </c>
      <c r="AE957" s="4" t="s">
        <v>47</v>
      </c>
      <c r="AF957" s="4" t="s">
        <v>47</v>
      </c>
      <c r="AG957" s="4" t="s">
        <v>47</v>
      </c>
      <c r="AH957" s="4" t="s">
        <v>47</v>
      </c>
      <c r="AI957" s="4" t="s">
        <v>47</v>
      </c>
      <c r="AJ957" s="4" t="s">
        <v>47</v>
      </c>
      <c r="AK957" s="4" t="s">
        <v>47</v>
      </c>
      <c r="AL957" s="4" t="s">
        <v>47</v>
      </c>
      <c r="AM957" s="4" t="s">
        <v>47</v>
      </c>
      <c r="AN957" s="4" t="s">
        <v>47</v>
      </c>
      <c r="AO957" s="4" t="s">
        <v>47</v>
      </c>
      <c r="AP957" s="4" t="s">
        <v>47</v>
      </c>
      <c r="AQ957" s="4" t="s">
        <v>47</v>
      </c>
      <c r="AR957" s="4" t="s">
        <v>47</v>
      </c>
    </row>
    <row r="958" spans="1:44" x14ac:dyDescent="0.2">
      <c r="A958" s="4" t="s">
        <v>4991</v>
      </c>
      <c r="B958" s="4" t="s">
        <v>272</v>
      </c>
      <c r="C958">
        <v>4</v>
      </c>
      <c r="F958">
        <v>0</v>
      </c>
      <c r="I958" s="4" t="s">
        <v>8433</v>
      </c>
      <c r="J958" s="4" t="s">
        <v>8434</v>
      </c>
      <c r="K958" s="4" t="s">
        <v>8461</v>
      </c>
      <c r="L958" s="4" t="s">
        <v>8462</v>
      </c>
      <c r="M958">
        <v>18306</v>
      </c>
      <c r="N958" s="4" t="s">
        <v>8496</v>
      </c>
      <c r="O958" s="4" t="s">
        <v>8497</v>
      </c>
      <c r="P958" s="4" t="s">
        <v>811</v>
      </c>
      <c r="Q958" s="9">
        <v>11156</v>
      </c>
      <c r="R958" s="4" t="s">
        <v>2300</v>
      </c>
      <c r="S958" s="4" t="s">
        <v>8498</v>
      </c>
      <c r="T958" s="4" t="s">
        <v>47</v>
      </c>
      <c r="U958" s="4" t="s">
        <v>121</v>
      </c>
      <c r="V958">
        <v>1930</v>
      </c>
      <c r="W958" s="4" t="s">
        <v>8499</v>
      </c>
      <c r="X958" s="4" t="s">
        <v>47</v>
      </c>
      <c r="Y958" s="4" t="s">
        <v>8500</v>
      </c>
      <c r="Z958" s="4" t="s">
        <v>47</v>
      </c>
      <c r="AA958" s="4" t="s">
        <v>47</v>
      </c>
      <c r="AB958" s="4" t="s">
        <v>47</v>
      </c>
      <c r="AC958" s="4" t="s">
        <v>47</v>
      </c>
      <c r="AD958" s="4" t="s">
        <v>47</v>
      </c>
      <c r="AE958" s="4" t="s">
        <v>47</v>
      </c>
      <c r="AF958" s="4" t="s">
        <v>47</v>
      </c>
      <c r="AG958" s="4" t="s">
        <v>47</v>
      </c>
      <c r="AH958" s="4" t="s">
        <v>47</v>
      </c>
      <c r="AI958" s="4" t="s">
        <v>47</v>
      </c>
      <c r="AJ958" s="4" t="s">
        <v>47</v>
      </c>
      <c r="AK958" s="4" t="s">
        <v>47</v>
      </c>
      <c r="AL958" s="4" t="s">
        <v>47</v>
      </c>
      <c r="AM958" s="4" t="s">
        <v>47</v>
      </c>
      <c r="AN958" s="4" t="s">
        <v>47</v>
      </c>
      <c r="AO958" s="4" t="s">
        <v>47</v>
      </c>
      <c r="AP958" s="4" t="s">
        <v>47</v>
      </c>
      <c r="AQ958" s="4" t="s">
        <v>47</v>
      </c>
      <c r="AR958" s="4" t="s">
        <v>47</v>
      </c>
    </row>
    <row r="959" spans="1:44" x14ac:dyDescent="0.2">
      <c r="A959" s="4" t="s">
        <v>102</v>
      </c>
      <c r="B959" s="4" t="s">
        <v>202</v>
      </c>
      <c r="C959">
        <v>3</v>
      </c>
      <c r="F959">
        <v>0</v>
      </c>
      <c r="I959" s="4" t="s">
        <v>8441</v>
      </c>
      <c r="J959" s="4" t="s">
        <v>8442</v>
      </c>
      <c r="K959" s="4" t="s">
        <v>8467</v>
      </c>
      <c r="L959" s="4" t="s">
        <v>8468</v>
      </c>
      <c r="M959">
        <v>18306</v>
      </c>
      <c r="N959" s="4" t="s">
        <v>8496</v>
      </c>
      <c r="O959" s="4" t="s">
        <v>8501</v>
      </c>
      <c r="P959" s="4" t="s">
        <v>811</v>
      </c>
      <c r="Q959" s="9">
        <v>11156</v>
      </c>
      <c r="R959" s="4" t="s">
        <v>638</v>
      </c>
      <c r="S959" s="4" t="s">
        <v>8502</v>
      </c>
      <c r="T959" s="4" t="s">
        <v>47</v>
      </c>
      <c r="U959" s="4" t="s">
        <v>121</v>
      </c>
      <c r="V959">
        <v>1930</v>
      </c>
      <c r="W959" s="4" t="s">
        <v>8503</v>
      </c>
      <c r="X959" s="4" t="s">
        <v>47</v>
      </c>
      <c r="Y959" s="4" t="s">
        <v>8504</v>
      </c>
      <c r="Z959" s="4" t="s">
        <v>47</v>
      </c>
      <c r="AA959" s="4" t="s">
        <v>47</v>
      </c>
      <c r="AB959" s="4" t="s">
        <v>47</v>
      </c>
      <c r="AC959" s="4" t="s">
        <v>47</v>
      </c>
      <c r="AD959" s="4" t="s">
        <v>47</v>
      </c>
      <c r="AE959" s="4" t="s">
        <v>47</v>
      </c>
      <c r="AF959" s="4" t="s">
        <v>47</v>
      </c>
      <c r="AG959" s="4" t="s">
        <v>47</v>
      </c>
      <c r="AH959" s="4" t="s">
        <v>47</v>
      </c>
      <c r="AI959" s="4" t="s">
        <v>47</v>
      </c>
      <c r="AJ959" s="4" t="s">
        <v>47</v>
      </c>
      <c r="AK959" s="4" t="s">
        <v>47</v>
      </c>
      <c r="AL959" s="4" t="s">
        <v>47</v>
      </c>
      <c r="AM959" s="4" t="s">
        <v>47</v>
      </c>
      <c r="AN959" s="4" t="s">
        <v>47</v>
      </c>
      <c r="AO959" s="4" t="s">
        <v>47</v>
      </c>
      <c r="AP959" s="4" t="s">
        <v>47</v>
      </c>
      <c r="AQ959" s="4" t="s">
        <v>47</v>
      </c>
      <c r="AR959" s="4" t="s">
        <v>47</v>
      </c>
    </row>
    <row r="960" spans="1:44" x14ac:dyDescent="0.2">
      <c r="A960" s="4" t="s">
        <v>113</v>
      </c>
      <c r="B960" s="4" t="s">
        <v>106</v>
      </c>
      <c r="C960">
        <v>3</v>
      </c>
      <c r="F960">
        <v>0</v>
      </c>
      <c r="I960" s="4" t="s">
        <v>8448</v>
      </c>
      <c r="J960" s="4" t="s">
        <v>8474</v>
      </c>
      <c r="K960" s="4" t="s">
        <v>8482</v>
      </c>
      <c r="L960" s="4" t="s">
        <v>8483</v>
      </c>
      <c r="M960">
        <v>9249</v>
      </c>
      <c r="N960" s="4" t="s">
        <v>8496</v>
      </c>
      <c r="O960" s="4" t="s">
        <v>8505</v>
      </c>
      <c r="P960" s="4" t="s">
        <v>811</v>
      </c>
      <c r="Q960" s="9">
        <v>11155</v>
      </c>
      <c r="R960" s="4" t="s">
        <v>638</v>
      </c>
      <c r="S960" s="4" t="s">
        <v>8506</v>
      </c>
      <c r="T960" s="4" t="s">
        <v>47</v>
      </c>
      <c r="U960" s="4" t="s">
        <v>121</v>
      </c>
      <c r="V960">
        <v>1930</v>
      </c>
      <c r="W960" s="4" t="s">
        <v>8507</v>
      </c>
      <c r="X960" s="4" t="s">
        <v>47</v>
      </c>
      <c r="Y960" s="4" t="s">
        <v>8508</v>
      </c>
      <c r="Z960" s="4" t="s">
        <v>47</v>
      </c>
      <c r="AA960" s="4" t="s">
        <v>8509</v>
      </c>
      <c r="AB960" s="4" t="s">
        <v>47</v>
      </c>
      <c r="AC960" s="4" t="s">
        <v>47</v>
      </c>
      <c r="AD960" s="4" t="s">
        <v>47</v>
      </c>
      <c r="AE960" s="4" t="s">
        <v>47</v>
      </c>
      <c r="AF960" s="4" t="s">
        <v>47</v>
      </c>
      <c r="AG960" s="4" t="s">
        <v>47</v>
      </c>
      <c r="AH960" s="4" t="s">
        <v>47</v>
      </c>
      <c r="AI960" s="4" t="s">
        <v>47</v>
      </c>
      <c r="AJ960" s="4" t="s">
        <v>47</v>
      </c>
      <c r="AK960" s="4" t="s">
        <v>47</v>
      </c>
      <c r="AL960" s="4" t="s">
        <v>47</v>
      </c>
      <c r="AM960" s="4" t="s">
        <v>47</v>
      </c>
      <c r="AN960" s="4" t="s">
        <v>47</v>
      </c>
      <c r="AO960" s="4" t="s">
        <v>47</v>
      </c>
      <c r="AP960" s="4" t="s">
        <v>47</v>
      </c>
      <c r="AQ960" s="4" t="s">
        <v>47</v>
      </c>
      <c r="AR960" s="4" t="s">
        <v>47</v>
      </c>
    </row>
    <row r="961" spans="1:44" x14ac:dyDescent="0.2">
      <c r="A961" s="4" t="s">
        <v>26</v>
      </c>
      <c r="B961" s="4" t="s">
        <v>87</v>
      </c>
      <c r="C961">
        <v>1</v>
      </c>
      <c r="F961">
        <v>0</v>
      </c>
      <c r="I961" s="4" t="s">
        <v>8425</v>
      </c>
      <c r="J961" s="4" t="s">
        <v>8426</v>
      </c>
      <c r="K961" s="4" t="s">
        <v>8475</v>
      </c>
      <c r="L961" s="4" t="s">
        <v>8476</v>
      </c>
      <c r="M961">
        <v>23409</v>
      </c>
      <c r="N961" s="4" t="s">
        <v>8496</v>
      </c>
      <c r="O961" s="4" t="s">
        <v>8510</v>
      </c>
      <c r="P961" s="4" t="s">
        <v>811</v>
      </c>
      <c r="Q961" s="9">
        <v>11154</v>
      </c>
      <c r="R961" s="4" t="s">
        <v>652</v>
      </c>
      <c r="S961" s="4" t="s">
        <v>8436</v>
      </c>
      <c r="T961" s="4" t="s">
        <v>47</v>
      </c>
      <c r="U961" s="4" t="s">
        <v>121</v>
      </c>
      <c r="V961">
        <v>1930</v>
      </c>
      <c r="W961" s="4" t="s">
        <v>8511</v>
      </c>
      <c r="X961" s="4" t="s">
        <v>47</v>
      </c>
      <c r="Y961" s="4" t="s">
        <v>8512</v>
      </c>
      <c r="Z961" s="4" t="s">
        <v>47</v>
      </c>
      <c r="AA961" s="4" t="s">
        <v>47</v>
      </c>
      <c r="AB961" s="4" t="s">
        <v>47</v>
      </c>
      <c r="AC961" s="4" t="s">
        <v>47</v>
      </c>
      <c r="AD961" s="4" t="s">
        <v>47</v>
      </c>
      <c r="AE961" s="4" t="s">
        <v>47</v>
      </c>
      <c r="AF961" s="4" t="s">
        <v>47</v>
      </c>
      <c r="AG961" s="4" t="s">
        <v>47</v>
      </c>
      <c r="AH961" s="4" t="s">
        <v>47</v>
      </c>
      <c r="AI961" s="4" t="s">
        <v>47</v>
      </c>
      <c r="AJ961" s="4" t="s">
        <v>47</v>
      </c>
      <c r="AK961" s="4" t="s">
        <v>47</v>
      </c>
      <c r="AL961" s="4" t="s">
        <v>47</v>
      </c>
      <c r="AM961" s="4" t="s">
        <v>47</v>
      </c>
      <c r="AN961" s="4" t="s">
        <v>47</v>
      </c>
      <c r="AO961" s="4" t="s">
        <v>47</v>
      </c>
      <c r="AP961" s="4" t="s">
        <v>47</v>
      </c>
      <c r="AQ961" s="4" t="s">
        <v>47</v>
      </c>
      <c r="AR961" s="4" t="s">
        <v>47</v>
      </c>
    </row>
    <row r="962" spans="1:44" x14ac:dyDescent="0.2">
      <c r="A962" s="4" t="s">
        <v>4991</v>
      </c>
      <c r="B962" s="4" t="s">
        <v>12</v>
      </c>
      <c r="C962">
        <v>2</v>
      </c>
      <c r="F962">
        <v>1</v>
      </c>
      <c r="I962" s="4" t="s">
        <v>8433</v>
      </c>
      <c r="J962" s="4" t="s">
        <v>8434</v>
      </c>
      <c r="K962" s="4" t="s">
        <v>8459</v>
      </c>
      <c r="L962" s="4" t="s">
        <v>8460</v>
      </c>
      <c r="M962">
        <v>24059</v>
      </c>
      <c r="N962" s="4" t="s">
        <v>8496</v>
      </c>
      <c r="O962" s="4" t="s">
        <v>8513</v>
      </c>
      <c r="P962" s="4" t="s">
        <v>811</v>
      </c>
      <c r="Q962" s="9">
        <v>11153</v>
      </c>
      <c r="R962" s="4" t="s">
        <v>617</v>
      </c>
      <c r="S962" s="4" t="s">
        <v>8478</v>
      </c>
      <c r="T962" s="4" t="s">
        <v>47</v>
      </c>
      <c r="U962" s="4" t="s">
        <v>121</v>
      </c>
      <c r="V962">
        <v>1930</v>
      </c>
      <c r="W962" s="4" t="s">
        <v>8514</v>
      </c>
      <c r="X962" s="4" t="s">
        <v>8515</v>
      </c>
      <c r="Y962" s="4" t="s">
        <v>8516</v>
      </c>
      <c r="Z962" s="4" t="s">
        <v>8517</v>
      </c>
      <c r="AA962" s="4" t="s">
        <v>47</v>
      </c>
      <c r="AB962" s="4" t="s">
        <v>47</v>
      </c>
      <c r="AC962" s="4" t="s">
        <v>47</v>
      </c>
      <c r="AD962" s="4" t="s">
        <v>47</v>
      </c>
      <c r="AE962" s="4" t="s">
        <v>47</v>
      </c>
      <c r="AF962" s="4" t="s">
        <v>47</v>
      </c>
      <c r="AG962" s="4" t="s">
        <v>47</v>
      </c>
      <c r="AH962" s="4" t="s">
        <v>47</v>
      </c>
      <c r="AI962" s="4" t="s">
        <v>47</v>
      </c>
      <c r="AJ962" s="4" t="s">
        <v>47</v>
      </c>
      <c r="AK962" s="4" t="s">
        <v>47</v>
      </c>
      <c r="AL962" s="4" t="s">
        <v>47</v>
      </c>
      <c r="AM962" s="4" t="s">
        <v>47</v>
      </c>
      <c r="AN962" s="4" t="s">
        <v>47</v>
      </c>
      <c r="AO962" s="4" t="s">
        <v>47</v>
      </c>
      <c r="AP962" s="4" t="s">
        <v>47</v>
      </c>
      <c r="AQ962" s="4" t="s">
        <v>47</v>
      </c>
      <c r="AR962" s="4" t="s">
        <v>47</v>
      </c>
    </row>
    <row r="963" spans="1:44" x14ac:dyDescent="0.2">
      <c r="A963" s="4" t="s">
        <v>227</v>
      </c>
      <c r="B963" s="4" t="s">
        <v>223</v>
      </c>
      <c r="C963">
        <v>3</v>
      </c>
      <c r="F963">
        <v>1</v>
      </c>
      <c r="I963" s="4" t="s">
        <v>8455</v>
      </c>
      <c r="J963" s="4" t="s">
        <v>8365</v>
      </c>
      <c r="K963" s="4" t="s">
        <v>8491</v>
      </c>
      <c r="L963" s="4" t="s">
        <v>8518</v>
      </c>
      <c r="M963">
        <v>2549</v>
      </c>
      <c r="N963" s="4" t="s">
        <v>8519</v>
      </c>
      <c r="O963" s="4" t="s">
        <v>8520</v>
      </c>
      <c r="P963" s="4" t="s">
        <v>811</v>
      </c>
      <c r="Q963" s="9">
        <v>11153</v>
      </c>
      <c r="R963" s="4" t="s">
        <v>770</v>
      </c>
      <c r="S963" s="4" t="s">
        <v>8521</v>
      </c>
      <c r="T963" s="4" t="s">
        <v>47</v>
      </c>
      <c r="U963" s="4" t="s">
        <v>121</v>
      </c>
      <c r="V963">
        <v>1930</v>
      </c>
      <c r="W963" s="4" t="s">
        <v>8522</v>
      </c>
      <c r="X963" s="4" t="s">
        <v>8523</v>
      </c>
      <c r="Y963" s="4" t="s">
        <v>8524</v>
      </c>
      <c r="Z963" s="4" t="s">
        <v>8525</v>
      </c>
      <c r="AA963" s="4" t="s">
        <v>47</v>
      </c>
      <c r="AB963" s="4" t="s">
        <v>47</v>
      </c>
      <c r="AC963" s="4" t="s">
        <v>47</v>
      </c>
      <c r="AD963" s="4" t="s">
        <v>47</v>
      </c>
      <c r="AE963" s="4" t="s">
        <v>47</v>
      </c>
      <c r="AF963" s="4" t="s">
        <v>47</v>
      </c>
      <c r="AG963" s="4" t="s">
        <v>47</v>
      </c>
      <c r="AH963" s="4" t="s">
        <v>47</v>
      </c>
      <c r="AI963" s="4" t="s">
        <v>47</v>
      </c>
      <c r="AJ963" s="4" t="s">
        <v>47</v>
      </c>
      <c r="AK963" s="4" t="s">
        <v>47</v>
      </c>
      <c r="AL963" s="4" t="s">
        <v>8526</v>
      </c>
      <c r="AM963" s="4" t="s">
        <v>47</v>
      </c>
      <c r="AN963" s="4" t="s">
        <v>47</v>
      </c>
      <c r="AO963" s="4" t="s">
        <v>47</v>
      </c>
      <c r="AP963" s="4" t="s">
        <v>47</v>
      </c>
      <c r="AQ963" s="4" t="s">
        <v>47</v>
      </c>
      <c r="AR963" s="4" t="s">
        <v>47</v>
      </c>
    </row>
    <row r="964" spans="1:44" x14ac:dyDescent="0.2">
      <c r="A964" s="4" t="s">
        <v>102</v>
      </c>
      <c r="B964" s="4" t="s">
        <v>148</v>
      </c>
      <c r="C964">
        <v>3</v>
      </c>
      <c r="F964">
        <v>0</v>
      </c>
      <c r="I964" s="4" t="s">
        <v>8441</v>
      </c>
      <c r="J964" s="4" t="s">
        <v>8442</v>
      </c>
      <c r="K964" s="4" t="s">
        <v>8408</v>
      </c>
      <c r="L964" s="4" t="s">
        <v>8469</v>
      </c>
      <c r="M964">
        <v>18346</v>
      </c>
      <c r="N964" s="4" t="s">
        <v>8496</v>
      </c>
      <c r="O964" s="4" t="s">
        <v>8527</v>
      </c>
      <c r="P964" s="4" t="s">
        <v>811</v>
      </c>
      <c r="Q964" s="9">
        <v>11152</v>
      </c>
      <c r="R964" s="4" t="s">
        <v>638</v>
      </c>
      <c r="S964" s="4" t="s">
        <v>8502</v>
      </c>
      <c r="T964" s="4" t="s">
        <v>47</v>
      </c>
      <c r="U964" s="4" t="s">
        <v>121</v>
      </c>
      <c r="V964">
        <v>1930</v>
      </c>
      <c r="W964" s="4" t="s">
        <v>8528</v>
      </c>
      <c r="X964" s="4" t="s">
        <v>47</v>
      </c>
      <c r="Y964" s="4" t="s">
        <v>8529</v>
      </c>
      <c r="Z964" s="4" t="s">
        <v>47</v>
      </c>
      <c r="AA964" s="4" t="s">
        <v>47</v>
      </c>
      <c r="AB964" s="4" t="s">
        <v>47</v>
      </c>
      <c r="AC964" s="4" t="s">
        <v>47</v>
      </c>
      <c r="AD964" s="4" t="s">
        <v>47</v>
      </c>
      <c r="AE964" s="4" t="s">
        <v>47</v>
      </c>
      <c r="AF964" s="4" t="s">
        <v>47</v>
      </c>
      <c r="AG964" s="4" t="s">
        <v>47</v>
      </c>
      <c r="AH964" s="4" t="s">
        <v>47</v>
      </c>
      <c r="AI964" s="4" t="s">
        <v>47</v>
      </c>
      <c r="AJ964" s="4" t="s">
        <v>47</v>
      </c>
      <c r="AK964" s="4" t="s">
        <v>47</v>
      </c>
      <c r="AL964" s="4" t="s">
        <v>47</v>
      </c>
      <c r="AM964" s="4" t="s">
        <v>47</v>
      </c>
      <c r="AN964" s="4" t="s">
        <v>47</v>
      </c>
      <c r="AO964" s="4" t="s">
        <v>47</v>
      </c>
      <c r="AP964" s="4" t="s">
        <v>47</v>
      </c>
      <c r="AQ964" s="4" t="s">
        <v>47</v>
      </c>
      <c r="AR964" s="4" t="s">
        <v>47</v>
      </c>
    </row>
    <row r="965" spans="1:44" x14ac:dyDescent="0.2">
      <c r="A965" s="4" t="s">
        <v>87</v>
      </c>
      <c r="B965" s="4" t="s">
        <v>106</v>
      </c>
      <c r="C965">
        <v>4</v>
      </c>
      <c r="F965">
        <v>1</v>
      </c>
      <c r="I965" s="4" t="s">
        <v>8475</v>
      </c>
      <c r="J965" s="4" t="s">
        <v>8476</v>
      </c>
      <c r="K965" s="4" t="s">
        <v>8482</v>
      </c>
      <c r="L965" s="4" t="s">
        <v>8483</v>
      </c>
      <c r="M965">
        <v>4444</v>
      </c>
      <c r="N965" s="4" t="s">
        <v>8519</v>
      </c>
      <c r="O965" s="4" t="s">
        <v>8530</v>
      </c>
      <c r="P965" s="4" t="s">
        <v>811</v>
      </c>
      <c r="Q965" s="9">
        <v>11152</v>
      </c>
      <c r="R965" s="4" t="s">
        <v>757</v>
      </c>
      <c r="S965" s="4" t="s">
        <v>8531</v>
      </c>
      <c r="T965" s="4" t="s">
        <v>47</v>
      </c>
      <c r="U965" s="4" t="s">
        <v>121</v>
      </c>
      <c r="V965">
        <v>1930</v>
      </c>
      <c r="W965" s="4" t="s">
        <v>8532</v>
      </c>
      <c r="X965" s="4" t="s">
        <v>8533</v>
      </c>
      <c r="Y965" s="4" t="s">
        <v>8534</v>
      </c>
      <c r="Z965" s="4" t="s">
        <v>8535</v>
      </c>
      <c r="AA965" s="4" t="s">
        <v>47</v>
      </c>
      <c r="AB965" s="4" t="s">
        <v>47</v>
      </c>
      <c r="AC965" s="4" t="s">
        <v>47</v>
      </c>
      <c r="AD965" s="4" t="s">
        <v>47</v>
      </c>
      <c r="AE965" s="4" t="s">
        <v>47</v>
      </c>
      <c r="AF965" s="4" t="s">
        <v>47</v>
      </c>
      <c r="AG965" s="4" t="s">
        <v>47</v>
      </c>
      <c r="AH965" s="4" t="s">
        <v>47</v>
      </c>
      <c r="AI965" s="4" t="s">
        <v>47</v>
      </c>
      <c r="AJ965" s="4" t="s">
        <v>47</v>
      </c>
      <c r="AK965" s="4" t="s">
        <v>47</v>
      </c>
      <c r="AL965" s="4" t="s">
        <v>47</v>
      </c>
      <c r="AM965" s="4" t="s">
        <v>47</v>
      </c>
      <c r="AN965" s="4" t="s">
        <v>47</v>
      </c>
      <c r="AO965" s="4" t="s">
        <v>47</v>
      </c>
      <c r="AP965" s="4" t="s">
        <v>47</v>
      </c>
      <c r="AQ965" s="4" t="s">
        <v>47</v>
      </c>
      <c r="AR965" s="4" t="s">
        <v>47</v>
      </c>
    </row>
  </sheetData>
  <pageMargins left="0.7" right="0.7" top="0.75" bottom="0.75" header="0.3" footer="0.3"/>
  <pageSetup paperSize="9"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77F8-2592-CF44-A905-9CD804B000BD}">
  <dimension ref="A1"/>
  <sheetViews>
    <sheetView workbookViewId="0"/>
  </sheetViews>
  <sheetFormatPr baseColWidth="10" defaultRowHeight="16" x14ac:dyDescent="0.2"/>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808D-9436-1A4E-9E3C-E5C491CF2F3A}">
  <dimension ref="A2:A4"/>
  <sheetViews>
    <sheetView zoomScale="150" workbookViewId="0">
      <selection activeCell="A2" sqref="A2:A4"/>
    </sheetView>
  </sheetViews>
  <sheetFormatPr baseColWidth="10" defaultRowHeight="16" x14ac:dyDescent="0.2"/>
  <sheetData>
    <row r="2" spans="1:1" x14ac:dyDescent="0.2">
      <c r="A2" t="s">
        <v>60</v>
      </c>
    </row>
    <row r="3" spans="1:1" x14ac:dyDescent="0.2">
      <c r="A3" t="s">
        <v>63</v>
      </c>
    </row>
    <row r="4" spans="1:1" x14ac:dyDescent="0.2">
      <c r="A4" t="s">
        <v>65</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147878-4E8D-B64A-94D8-75305BF934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survey</vt:lpstr>
      <vt:lpstr>world_cup</vt:lpstr>
      <vt:lpstr>fifa_ranking_2026-06-08</vt:lpstr>
      <vt:lpstr>fifa_ranking_2022-10-06</vt:lpstr>
      <vt:lpstr>summary</vt:lpstr>
      <vt:lpstr>pivot</vt:lpstr>
      <vt:lpstr>Dashboard</vt:lpstr>
      <vt:lpstr>matches_1930_2022</vt:lpstr>
      <vt:lpstr>Sheet2</vt:lpstr>
      <vt:lpstr>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Lei Aye</dc:creator>
  <cp:lastModifiedBy>Win Lei Aye</cp:lastModifiedBy>
  <cp:lastPrinted>2026-08-13T03:11:37Z</cp:lastPrinted>
  <dcterms:created xsi:type="dcterms:W3CDTF">2026-08-12T15:01:35Z</dcterms:created>
  <dcterms:modified xsi:type="dcterms:W3CDTF">2026-08-13T03:11:42Z</dcterms:modified>
</cp:coreProperties>
</file>